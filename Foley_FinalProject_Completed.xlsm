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ml.chartshap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pivotTables/pivotTable1.xml" ContentType="application/vnd.openxmlformats-officedocument.spreadsheetml.pivotTable+xml"/>
  <Override PartName="/xl/drawings/drawing3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drawings/drawing4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pivotTables/pivotTable4.xml" ContentType="application/vnd.openxmlformats-officedocument.spreadsheetml.pivotTable+xml"/>
  <Override PartName="/xl/drawings/drawing5.xml" ContentType="application/vnd.openxmlformats-officedocument.drawing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drawings/drawing6.xml" ContentType="application/vnd.openxmlformats-officedocument.drawing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drawings/drawing7.xml" ContentType="application/vnd.openxmlformats-officedocument.drawing+xml"/>
  <Override PartName="/xl/tables/table1.xml" ContentType="application/vnd.openxmlformats-officedocument.spreadsheetml.tab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8.xml" ContentType="application/vnd.openxmlformats-officedocument.drawing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9.xml" ContentType="application/vnd.openxmlformats-officedocument.drawing+xml"/>
  <Override PartName="/xl/tables/table3.xml" ContentType="application/vnd.openxmlformats-officedocument.spreadsheetml.table+xml"/>
  <Override PartName="/xl/drawings/drawing10.xml" ContentType="application/vnd.openxmlformats-officedocument.drawing+xml"/>
  <Override PartName="/xl/tables/table4.xml" ContentType="application/vnd.openxmlformats-officedocument.spreadsheetml.tab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1.xml" ContentType="application/vnd.openxmlformats-officedocument.drawingml.chartshapes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12.xml" ContentType="application/vnd.openxmlformats-officedocument.drawingml.chartshapes+xml"/>
  <Override PartName="/xl/drawings/drawing13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225" codeName="{AE6600E7-7A62-396C-DE95-9942FA9DD81E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WolfPack\Documents\UNCW_Grad_school\BAN 500\Project\Final Project\"/>
    </mc:Choice>
  </mc:AlternateContent>
  <xr:revisionPtr revIDLastSave="0" documentId="13_ncr:1_{6EB8608B-3A57-4372-82EC-9D8244D2F8D8}" xr6:coauthVersionLast="47" xr6:coauthVersionMax="47" xr10:uidLastSave="{00000000-0000-0000-0000-000000000000}"/>
  <bookViews>
    <workbookView xWindow="-120" yWindow="-120" windowWidth="29040" windowHeight="15840" tabRatio="840" xr2:uid="{F21C46E0-CDE5-46CB-A968-F82917B543F0}"/>
  </bookViews>
  <sheets>
    <sheet name="DashBoard" sheetId="4" r:id="rId1"/>
    <sheet name="CrudeOilNput" sheetId="21" r:id="rId2"/>
    <sheet name="Cheapest crude price" sheetId="1" r:id="rId3"/>
    <sheet name="Gasoline Prices" sheetId="2" r:id="rId4"/>
    <sheet name="GasPrice at Pump" sheetId="19" r:id="rId5"/>
    <sheet name="Crude to Gas Correlation " sheetId="9" r:id="rId6"/>
    <sheet name="Comparing the Data" sheetId="3" r:id="rId7"/>
    <sheet name="oil and gas price minmax data" sheetId="18" r:id="rId8"/>
    <sheet name="data for which is cheaper " sheetId="15" r:id="rId9"/>
    <sheet name="Speedometer" sheetId="10" r:id="rId10"/>
    <sheet name="Misc boarders" sheetId="11" r:id="rId11"/>
  </sheets>
  <definedNames>
    <definedName name="NativeTimeline_Date">#N/A</definedName>
  </definedNames>
  <calcPr calcId="191029"/>
  <pivotCaches>
    <pivotCache cacheId="13" r:id="rId12"/>
    <pivotCache cacheId="16" r:id="rId13"/>
  </pivotCaches>
  <extLs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4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P9" i="18" l="1"/>
  <c r="P11" i="18" s="1"/>
  <c r="P8" i="18"/>
  <c r="L1" i="18"/>
  <c r="J1" i="18"/>
  <c r="B3" i="18"/>
  <c r="C3" i="18" s="1"/>
  <c r="D3" i="18"/>
  <c r="E3" i="18" s="1"/>
  <c r="E2" i="10"/>
  <c r="E5" i="10"/>
  <c r="A5" i="18"/>
  <c r="K681" i="3"/>
  <c r="K3" i="3"/>
  <c r="K4" i="3"/>
  <c r="K5" i="3"/>
  <c r="K6" i="3"/>
  <c r="K7" i="3"/>
  <c r="K8" i="3"/>
  <c r="K9" i="3"/>
  <c r="K10" i="3"/>
  <c r="K11" i="3"/>
  <c r="K12" i="3"/>
  <c r="K13" i="3"/>
  <c r="K14" i="3"/>
  <c r="K15" i="3"/>
  <c r="K16" i="3"/>
  <c r="K17" i="3"/>
  <c r="K18" i="3"/>
  <c r="K19" i="3"/>
  <c r="K20" i="3"/>
  <c r="K21" i="3"/>
  <c r="K22" i="3"/>
  <c r="K23" i="3"/>
  <c r="K24" i="3"/>
  <c r="K25" i="3"/>
  <c r="K26" i="3"/>
  <c r="K27" i="3"/>
  <c r="K28" i="3"/>
  <c r="K29" i="3"/>
  <c r="K30" i="3"/>
  <c r="K31" i="3"/>
  <c r="K32" i="3"/>
  <c r="K33" i="3"/>
  <c r="K34" i="3"/>
  <c r="K35" i="3"/>
  <c r="K36" i="3"/>
  <c r="K37" i="3"/>
  <c r="K38" i="3"/>
  <c r="K39" i="3"/>
  <c r="K40" i="3"/>
  <c r="K41" i="3"/>
  <c r="K42" i="3"/>
  <c r="K43" i="3"/>
  <c r="K44" i="3"/>
  <c r="K45" i="3"/>
  <c r="K46" i="3"/>
  <c r="K47" i="3"/>
  <c r="K48" i="3"/>
  <c r="K49" i="3"/>
  <c r="K50" i="3"/>
  <c r="K51" i="3"/>
  <c r="K52" i="3"/>
  <c r="K53" i="3"/>
  <c r="K54" i="3"/>
  <c r="K55" i="3"/>
  <c r="K56" i="3"/>
  <c r="K57" i="3"/>
  <c r="K58" i="3"/>
  <c r="K59" i="3"/>
  <c r="K60" i="3"/>
  <c r="K61" i="3"/>
  <c r="K62" i="3"/>
  <c r="K63" i="3"/>
  <c r="K64" i="3"/>
  <c r="K65" i="3"/>
  <c r="K66" i="3"/>
  <c r="K67" i="3"/>
  <c r="K68" i="3"/>
  <c r="K69" i="3"/>
  <c r="K70" i="3"/>
  <c r="K71" i="3"/>
  <c r="K72" i="3"/>
  <c r="K73" i="3"/>
  <c r="K74" i="3"/>
  <c r="K75" i="3"/>
  <c r="K76" i="3"/>
  <c r="K77" i="3"/>
  <c r="K78" i="3"/>
  <c r="K79" i="3"/>
  <c r="K80" i="3"/>
  <c r="K81" i="3"/>
  <c r="K82" i="3"/>
  <c r="K83" i="3"/>
  <c r="K84" i="3"/>
  <c r="K85" i="3"/>
  <c r="K86" i="3"/>
  <c r="K87" i="3"/>
  <c r="K88" i="3"/>
  <c r="K89" i="3"/>
  <c r="K90" i="3"/>
  <c r="K91" i="3"/>
  <c r="K92" i="3"/>
  <c r="K93" i="3"/>
  <c r="K94" i="3"/>
  <c r="K95" i="3"/>
  <c r="K96" i="3"/>
  <c r="K97" i="3"/>
  <c r="K98" i="3"/>
  <c r="K99" i="3"/>
  <c r="K100" i="3"/>
  <c r="K101" i="3"/>
  <c r="K102" i="3"/>
  <c r="K103" i="3"/>
  <c r="K104" i="3"/>
  <c r="K105" i="3"/>
  <c r="K106" i="3"/>
  <c r="K107" i="3"/>
  <c r="K108" i="3"/>
  <c r="K109" i="3"/>
  <c r="K110" i="3"/>
  <c r="K111" i="3"/>
  <c r="K112" i="3"/>
  <c r="K113" i="3"/>
  <c r="K114" i="3"/>
  <c r="K115" i="3"/>
  <c r="K116" i="3"/>
  <c r="K117" i="3"/>
  <c r="K118" i="3"/>
  <c r="K119" i="3"/>
  <c r="K120" i="3"/>
  <c r="K121" i="3"/>
  <c r="K122" i="3"/>
  <c r="K123" i="3"/>
  <c r="K124" i="3"/>
  <c r="K125" i="3"/>
  <c r="K126" i="3"/>
  <c r="K127" i="3"/>
  <c r="K128" i="3"/>
  <c r="K129" i="3"/>
  <c r="K130" i="3"/>
  <c r="K131" i="3"/>
  <c r="K132" i="3"/>
  <c r="K133" i="3"/>
  <c r="K134" i="3"/>
  <c r="K135" i="3"/>
  <c r="K136" i="3"/>
  <c r="K137" i="3"/>
  <c r="K138" i="3"/>
  <c r="K139" i="3"/>
  <c r="K140" i="3"/>
  <c r="K141" i="3"/>
  <c r="K142" i="3"/>
  <c r="K143" i="3"/>
  <c r="K144" i="3"/>
  <c r="K145" i="3"/>
  <c r="K146" i="3"/>
  <c r="K147" i="3"/>
  <c r="K148" i="3"/>
  <c r="K149" i="3"/>
  <c r="K150" i="3"/>
  <c r="K151" i="3"/>
  <c r="K152" i="3"/>
  <c r="K153" i="3"/>
  <c r="K154" i="3"/>
  <c r="K155" i="3"/>
  <c r="K156" i="3"/>
  <c r="K157" i="3"/>
  <c r="K158" i="3"/>
  <c r="K159" i="3"/>
  <c r="K160" i="3"/>
  <c r="K161" i="3"/>
  <c r="K162" i="3"/>
  <c r="K163" i="3"/>
  <c r="K164" i="3"/>
  <c r="K165" i="3"/>
  <c r="K166" i="3"/>
  <c r="K167" i="3"/>
  <c r="K168" i="3"/>
  <c r="K169" i="3"/>
  <c r="K170" i="3"/>
  <c r="K171" i="3"/>
  <c r="K172" i="3"/>
  <c r="K173" i="3"/>
  <c r="K174" i="3"/>
  <c r="K175" i="3"/>
  <c r="K176" i="3"/>
  <c r="K177" i="3"/>
  <c r="K178" i="3"/>
  <c r="K179" i="3"/>
  <c r="K180" i="3"/>
  <c r="K181" i="3"/>
  <c r="K182" i="3"/>
  <c r="K183" i="3"/>
  <c r="K184" i="3"/>
  <c r="K185" i="3"/>
  <c r="K186" i="3"/>
  <c r="K187" i="3"/>
  <c r="K188" i="3"/>
  <c r="K189" i="3"/>
  <c r="K190" i="3"/>
  <c r="K191" i="3"/>
  <c r="K192" i="3"/>
  <c r="K193" i="3"/>
  <c r="K194" i="3"/>
  <c r="K195" i="3"/>
  <c r="K196" i="3"/>
  <c r="K197" i="3"/>
  <c r="K198" i="3"/>
  <c r="K199" i="3"/>
  <c r="K200" i="3"/>
  <c r="K201" i="3"/>
  <c r="K202" i="3"/>
  <c r="K203" i="3"/>
  <c r="K204" i="3"/>
  <c r="K205" i="3"/>
  <c r="K206" i="3"/>
  <c r="K207" i="3"/>
  <c r="K208" i="3"/>
  <c r="K209" i="3"/>
  <c r="K210" i="3"/>
  <c r="K211" i="3"/>
  <c r="K212" i="3"/>
  <c r="K213" i="3"/>
  <c r="K214" i="3"/>
  <c r="K215" i="3"/>
  <c r="K216" i="3"/>
  <c r="K217" i="3"/>
  <c r="K218" i="3"/>
  <c r="K219" i="3"/>
  <c r="K220" i="3"/>
  <c r="K221" i="3"/>
  <c r="K222" i="3"/>
  <c r="K223" i="3"/>
  <c r="K224" i="3"/>
  <c r="K225" i="3"/>
  <c r="K226" i="3"/>
  <c r="K227" i="3"/>
  <c r="K228" i="3"/>
  <c r="K229" i="3"/>
  <c r="K230" i="3"/>
  <c r="K231" i="3"/>
  <c r="K232" i="3"/>
  <c r="K233" i="3"/>
  <c r="K234" i="3"/>
  <c r="K235" i="3"/>
  <c r="K236" i="3"/>
  <c r="K237" i="3"/>
  <c r="K238" i="3"/>
  <c r="K239" i="3"/>
  <c r="K240" i="3"/>
  <c r="K241" i="3"/>
  <c r="K242" i="3"/>
  <c r="K243" i="3"/>
  <c r="K244" i="3"/>
  <c r="K245" i="3"/>
  <c r="K246" i="3"/>
  <c r="K247" i="3"/>
  <c r="K248" i="3"/>
  <c r="K249" i="3"/>
  <c r="K250" i="3"/>
  <c r="K251" i="3"/>
  <c r="K252" i="3"/>
  <c r="K253" i="3"/>
  <c r="K254" i="3"/>
  <c r="K255" i="3"/>
  <c r="K256" i="3"/>
  <c r="K257" i="3"/>
  <c r="K258" i="3"/>
  <c r="K259" i="3"/>
  <c r="K260" i="3"/>
  <c r="K261" i="3"/>
  <c r="K262" i="3"/>
  <c r="K263" i="3"/>
  <c r="K264" i="3"/>
  <c r="K265" i="3"/>
  <c r="K266" i="3"/>
  <c r="K267" i="3"/>
  <c r="K268" i="3"/>
  <c r="K269" i="3"/>
  <c r="K270" i="3"/>
  <c r="K271" i="3"/>
  <c r="K272" i="3"/>
  <c r="K273" i="3"/>
  <c r="K274" i="3"/>
  <c r="K275" i="3"/>
  <c r="K276" i="3"/>
  <c r="K277" i="3"/>
  <c r="K278" i="3"/>
  <c r="K279" i="3"/>
  <c r="K280" i="3"/>
  <c r="K281" i="3"/>
  <c r="K282" i="3"/>
  <c r="K283" i="3"/>
  <c r="K284" i="3"/>
  <c r="K285" i="3"/>
  <c r="K286" i="3"/>
  <c r="K287" i="3"/>
  <c r="K288" i="3"/>
  <c r="K289" i="3"/>
  <c r="K290" i="3"/>
  <c r="K291" i="3"/>
  <c r="K292" i="3"/>
  <c r="K293" i="3"/>
  <c r="K294" i="3"/>
  <c r="K295" i="3"/>
  <c r="K296" i="3"/>
  <c r="K297" i="3"/>
  <c r="K298" i="3"/>
  <c r="K300" i="3"/>
  <c r="K301" i="3"/>
  <c r="K302" i="3"/>
  <c r="K303" i="3"/>
  <c r="K304" i="3"/>
  <c r="K305" i="3"/>
  <c r="K306" i="3"/>
  <c r="K307" i="3"/>
  <c r="K308" i="3"/>
  <c r="K309" i="3"/>
  <c r="K310" i="3"/>
  <c r="K311" i="3"/>
  <c r="K312" i="3"/>
  <c r="K313" i="3"/>
  <c r="K314" i="3"/>
  <c r="K315" i="3"/>
  <c r="K316" i="3"/>
  <c r="K317" i="3"/>
  <c r="K318" i="3"/>
  <c r="K319" i="3"/>
  <c r="K320" i="3"/>
  <c r="K321" i="3"/>
  <c r="K322" i="3"/>
  <c r="K323" i="3"/>
  <c r="K325" i="3"/>
  <c r="K326" i="3"/>
  <c r="K327" i="3"/>
  <c r="K328" i="3"/>
  <c r="K329" i="3"/>
  <c r="K330" i="3"/>
  <c r="K331" i="3"/>
  <c r="K332" i="3"/>
  <c r="K333" i="3"/>
  <c r="K334" i="3"/>
  <c r="K335" i="3"/>
  <c r="K336" i="3"/>
  <c r="K337" i="3"/>
  <c r="K338" i="3"/>
  <c r="K339" i="3"/>
  <c r="K340" i="3"/>
  <c r="K341" i="3"/>
  <c r="K342" i="3"/>
  <c r="K343" i="3"/>
  <c r="K344" i="3"/>
  <c r="K345" i="3"/>
  <c r="K346" i="3"/>
  <c r="K347" i="3"/>
  <c r="K348" i="3"/>
  <c r="K350" i="3"/>
  <c r="K351" i="3"/>
  <c r="K352" i="3"/>
  <c r="K353" i="3"/>
  <c r="K354" i="3"/>
  <c r="K355" i="3"/>
  <c r="K356" i="3"/>
  <c r="K357" i="3"/>
  <c r="K358" i="3"/>
  <c r="K359" i="3"/>
  <c r="K360" i="3"/>
  <c r="K361" i="3"/>
  <c r="K362" i="3"/>
  <c r="K363" i="3"/>
  <c r="K364" i="3"/>
  <c r="K365" i="3"/>
  <c r="K366" i="3"/>
  <c r="K367" i="3"/>
  <c r="K368" i="3"/>
  <c r="K369" i="3"/>
  <c r="K370" i="3"/>
  <c r="K371" i="3"/>
  <c r="K372" i="3"/>
  <c r="K373" i="3"/>
  <c r="K375" i="3"/>
  <c r="K376" i="3"/>
  <c r="K377" i="3"/>
  <c r="K378" i="3"/>
  <c r="K379" i="3"/>
  <c r="K380" i="3"/>
  <c r="K381" i="3"/>
  <c r="K382" i="3"/>
  <c r="K383" i="3"/>
  <c r="K384" i="3"/>
  <c r="K385" i="3"/>
  <c r="K386" i="3"/>
  <c r="K387" i="3"/>
  <c r="K388" i="3"/>
  <c r="K389" i="3"/>
  <c r="K390" i="3"/>
  <c r="K391" i="3"/>
  <c r="K392" i="3"/>
  <c r="K393" i="3"/>
  <c r="K394" i="3"/>
  <c r="K395" i="3"/>
  <c r="K396" i="3"/>
  <c r="K397" i="3"/>
  <c r="K398" i="3"/>
  <c r="K400" i="3"/>
  <c r="K401" i="3"/>
  <c r="K402" i="3"/>
  <c r="K403" i="3"/>
  <c r="K404" i="3"/>
  <c r="K405" i="3"/>
  <c r="K406" i="3"/>
  <c r="K407" i="3"/>
  <c r="K408" i="3"/>
  <c r="K409" i="3"/>
  <c r="K410" i="3"/>
  <c r="K411" i="3"/>
  <c r="K412" i="3"/>
  <c r="K413" i="3"/>
  <c r="K414" i="3"/>
  <c r="K415" i="3"/>
  <c r="K416" i="3"/>
  <c r="K417" i="3"/>
  <c r="K418" i="3"/>
  <c r="K419" i="3"/>
  <c r="K420" i="3"/>
  <c r="K421" i="3"/>
  <c r="K422" i="3"/>
  <c r="K423" i="3"/>
  <c r="K425" i="3"/>
  <c r="K426" i="3"/>
  <c r="K427" i="3"/>
  <c r="K428" i="3"/>
  <c r="K429" i="3"/>
  <c r="K430" i="3"/>
  <c r="K431" i="3"/>
  <c r="K432" i="3"/>
  <c r="K433" i="3"/>
  <c r="K434" i="3"/>
  <c r="K435" i="3"/>
  <c r="K436" i="3"/>
  <c r="K437" i="3"/>
  <c r="K438" i="3"/>
  <c r="K439" i="3"/>
  <c r="K440" i="3"/>
  <c r="K441" i="3"/>
  <c r="K442" i="3"/>
  <c r="K443" i="3"/>
  <c r="K444" i="3"/>
  <c r="K445" i="3"/>
  <c r="K446" i="3"/>
  <c r="K447" i="3"/>
  <c r="K448" i="3"/>
  <c r="K449" i="3"/>
  <c r="K451" i="3"/>
  <c r="K452" i="3"/>
  <c r="K453" i="3"/>
  <c r="K454" i="3"/>
  <c r="K455" i="3"/>
  <c r="K456" i="3"/>
  <c r="K457" i="3"/>
  <c r="K458" i="3"/>
  <c r="K459" i="3"/>
  <c r="K460" i="3"/>
  <c r="K461" i="3"/>
  <c r="K462" i="3"/>
  <c r="K463" i="3"/>
  <c r="K464" i="3"/>
  <c r="K465" i="3"/>
  <c r="K466" i="3"/>
  <c r="K467" i="3"/>
  <c r="K468" i="3"/>
  <c r="K469" i="3"/>
  <c r="K470" i="3"/>
  <c r="K471" i="3"/>
  <c r="K472" i="3"/>
  <c r="K473" i="3"/>
  <c r="K474" i="3"/>
  <c r="K476" i="3"/>
  <c r="K477" i="3"/>
  <c r="K478" i="3"/>
  <c r="K479" i="3"/>
  <c r="K480" i="3"/>
  <c r="K481" i="3"/>
  <c r="K482" i="3"/>
  <c r="K483" i="3"/>
  <c r="K484" i="3"/>
  <c r="K485" i="3"/>
  <c r="K486" i="3"/>
  <c r="K487" i="3"/>
  <c r="K488" i="3"/>
  <c r="K489" i="3"/>
  <c r="K490" i="3"/>
  <c r="K491" i="3"/>
  <c r="K492" i="3"/>
  <c r="K493" i="3"/>
  <c r="K494" i="3"/>
  <c r="K495" i="3"/>
  <c r="K496" i="3"/>
  <c r="K497" i="3"/>
  <c r="K498" i="3"/>
  <c r="K499" i="3"/>
  <c r="K501" i="3"/>
  <c r="K502" i="3"/>
  <c r="K503" i="3"/>
  <c r="K504" i="3"/>
  <c r="K505" i="3"/>
  <c r="K506" i="3"/>
  <c r="K507" i="3"/>
  <c r="K508" i="3"/>
  <c r="K509" i="3"/>
  <c r="K510" i="3"/>
  <c r="K511" i="3"/>
  <c r="K512" i="3"/>
  <c r="K513" i="3"/>
  <c r="K514" i="3"/>
  <c r="K515" i="3"/>
  <c r="K516" i="3"/>
  <c r="K517" i="3"/>
  <c r="K518" i="3"/>
  <c r="K519" i="3"/>
  <c r="K520" i="3"/>
  <c r="K521" i="3"/>
  <c r="K522" i="3"/>
  <c r="K523" i="3"/>
  <c r="K524" i="3"/>
  <c r="K525" i="3"/>
  <c r="K526" i="3"/>
  <c r="K527" i="3"/>
  <c r="K528" i="3"/>
  <c r="K529" i="3"/>
  <c r="K530" i="3"/>
  <c r="K531" i="3"/>
  <c r="K532" i="3"/>
  <c r="K533" i="3"/>
  <c r="K534" i="3"/>
  <c r="K535" i="3"/>
  <c r="K536" i="3"/>
  <c r="K537" i="3"/>
  <c r="K538" i="3"/>
  <c r="K539" i="3"/>
  <c r="K540" i="3"/>
  <c r="K541" i="3"/>
  <c r="K542" i="3"/>
  <c r="K543" i="3"/>
  <c r="K544" i="3"/>
  <c r="K545" i="3"/>
  <c r="K546" i="3"/>
  <c r="K547" i="3"/>
  <c r="K548" i="3"/>
  <c r="K549" i="3"/>
  <c r="K551" i="3"/>
  <c r="K552" i="3"/>
  <c r="K553" i="3"/>
  <c r="K554" i="3"/>
  <c r="K555" i="3"/>
  <c r="K556" i="3"/>
  <c r="K557" i="3"/>
  <c r="K558" i="3"/>
  <c r="K559" i="3"/>
  <c r="K560" i="3"/>
  <c r="K561" i="3"/>
  <c r="K562" i="3"/>
  <c r="K563" i="3"/>
  <c r="K564" i="3"/>
  <c r="K565" i="3"/>
  <c r="K566" i="3"/>
  <c r="K567" i="3"/>
  <c r="K568" i="3"/>
  <c r="K569" i="3"/>
  <c r="K570" i="3"/>
  <c r="K571" i="3"/>
  <c r="K572" i="3"/>
  <c r="K573" i="3"/>
  <c r="K574" i="3"/>
  <c r="K576" i="3"/>
  <c r="K577" i="3"/>
  <c r="K578" i="3"/>
  <c r="K579" i="3"/>
  <c r="K580" i="3"/>
  <c r="K581" i="3"/>
  <c r="K582" i="3"/>
  <c r="K583" i="3"/>
  <c r="K584" i="3"/>
  <c r="K585" i="3"/>
  <c r="K586" i="3"/>
  <c r="K587" i="3"/>
  <c r="K588" i="3"/>
  <c r="K589" i="3"/>
  <c r="K590" i="3"/>
  <c r="K591" i="3"/>
  <c r="K592" i="3"/>
  <c r="K593" i="3"/>
  <c r="K594" i="3"/>
  <c r="K595" i="3"/>
  <c r="K596" i="3"/>
  <c r="K597" i="3"/>
  <c r="K598" i="3"/>
  <c r="K599" i="3"/>
  <c r="K600" i="3"/>
  <c r="K602" i="3"/>
  <c r="K603" i="3"/>
  <c r="K604" i="3"/>
  <c r="K605" i="3"/>
  <c r="K606" i="3"/>
  <c r="K607" i="3"/>
  <c r="K608" i="3"/>
  <c r="K609" i="3"/>
  <c r="K610" i="3"/>
  <c r="K611" i="3"/>
  <c r="K612" i="3"/>
  <c r="K613" i="3"/>
  <c r="K614" i="3"/>
  <c r="K615" i="3"/>
  <c r="K616" i="3"/>
  <c r="K617" i="3"/>
  <c r="K618" i="3"/>
  <c r="K619" i="3"/>
  <c r="K620" i="3"/>
  <c r="K621" i="3"/>
  <c r="K622" i="3"/>
  <c r="K623" i="3"/>
  <c r="K624" i="3"/>
  <c r="K625" i="3"/>
  <c r="K627" i="3"/>
  <c r="K628" i="3"/>
  <c r="K629" i="3"/>
  <c r="K630" i="3"/>
  <c r="K631" i="3"/>
  <c r="K632" i="3"/>
  <c r="K633" i="3"/>
  <c r="K634" i="3"/>
  <c r="K635" i="3"/>
  <c r="K636" i="3"/>
  <c r="K637" i="3"/>
  <c r="K638" i="3"/>
  <c r="K639" i="3"/>
  <c r="K640" i="3"/>
  <c r="K641" i="3"/>
  <c r="K642" i="3"/>
  <c r="K643" i="3"/>
  <c r="K644" i="3"/>
  <c r="K645" i="3"/>
  <c r="K646" i="3"/>
  <c r="K647" i="3"/>
  <c r="K648" i="3"/>
  <c r="K649" i="3"/>
  <c r="K650" i="3"/>
  <c r="K652" i="3"/>
  <c r="K653" i="3"/>
  <c r="K654" i="3"/>
  <c r="K655" i="3"/>
  <c r="K656" i="3"/>
  <c r="K657" i="3"/>
  <c r="K658" i="3"/>
  <c r="K659" i="3"/>
  <c r="K660" i="3"/>
  <c r="K661" i="3"/>
  <c r="K662" i="3"/>
  <c r="K663" i="3"/>
  <c r="K664" i="3"/>
  <c r="K665" i="3"/>
  <c r="K666" i="3"/>
  <c r="K667" i="3"/>
  <c r="K668" i="3"/>
  <c r="K669" i="3"/>
  <c r="K670" i="3"/>
  <c r="K671" i="3"/>
  <c r="K672" i="3"/>
  <c r="K673" i="3"/>
  <c r="K674" i="3"/>
  <c r="K675" i="3"/>
  <c r="K677" i="3"/>
  <c r="K678" i="3"/>
  <c r="K679" i="3"/>
  <c r="K680" i="3"/>
  <c r="K682" i="3"/>
  <c r="K683" i="3"/>
  <c r="K684" i="3"/>
  <c r="K685" i="3"/>
  <c r="K686" i="3"/>
  <c r="K687" i="3"/>
  <c r="K688" i="3"/>
  <c r="K689" i="3"/>
  <c r="K690" i="3"/>
  <c r="K691" i="3"/>
  <c r="K692" i="3"/>
  <c r="K693" i="3"/>
  <c r="K694" i="3"/>
  <c r="K695" i="3"/>
  <c r="K696" i="3"/>
  <c r="K697" i="3"/>
  <c r="K698" i="3"/>
  <c r="K699" i="3"/>
  <c r="K700" i="3"/>
  <c r="K701" i="3"/>
  <c r="K2" i="3"/>
  <c r="K676" i="3" l="1"/>
  <c r="K651" i="3"/>
  <c r="K626" i="3"/>
  <c r="K601" i="3"/>
  <c r="K575" i="3"/>
  <c r="K550" i="3"/>
  <c r="K500" i="3"/>
  <c r="J475" i="3"/>
  <c r="K475" i="3" s="1"/>
  <c r="J450" i="3"/>
  <c r="K450" i="3" s="1"/>
  <c r="J424" i="3"/>
  <c r="K424" i="3" s="1"/>
  <c r="J399" i="3"/>
  <c r="K399" i="3" s="1"/>
  <c r="J374" i="3"/>
  <c r="K374" i="3" s="1"/>
  <c r="J349" i="3"/>
  <c r="K349" i="3" s="1"/>
  <c r="K324" i="3"/>
  <c r="J299" i="3"/>
  <c r="K299" i="3" s="1"/>
  <c r="J198" i="3"/>
  <c r="J122" i="3"/>
  <c r="F2" i="3"/>
  <c r="F3" i="3"/>
  <c r="F4" i="3"/>
  <c r="F5" i="3"/>
  <c r="F6" i="3"/>
  <c r="G2" i="3"/>
  <c r="G3" i="3"/>
  <c r="G4" i="3"/>
  <c r="G5" i="3"/>
  <c r="G6" i="3"/>
  <c r="H2" i="3"/>
  <c r="H3" i="3"/>
  <c r="H4" i="3"/>
  <c r="H5" i="3"/>
  <c r="H6" i="3"/>
  <c r="G9" i="18"/>
  <c r="G17" i="18"/>
  <c r="G15" i="18"/>
  <c r="G13" i="18"/>
  <c r="G11" i="18"/>
  <c r="G7" i="18"/>
  <c r="D2" i="18"/>
  <c r="E2" i="18" s="1"/>
  <c r="B2" i="18"/>
  <c r="C2" i="1" l="1"/>
  <c r="C3" i="1" s="1"/>
  <c r="C2" i="18"/>
  <c r="T8" i="18" s="1"/>
  <c r="G2" i="18"/>
  <c r="A21" i="10"/>
  <c r="E6" i="10" a="1"/>
  <c r="E6" i="10" s="1"/>
  <c r="E3" i="10"/>
  <c r="G3" i="10" s="1"/>
  <c r="G2" i="10"/>
  <c r="H2" i="15"/>
  <c r="G2" i="15"/>
  <c r="F2" i="15"/>
  <c r="H3" i="15"/>
  <c r="G3" i="15"/>
  <c r="F3" i="15"/>
  <c r="H4" i="15"/>
  <c r="G4" i="15"/>
  <c r="F4" i="15"/>
  <c r="H5" i="15"/>
  <c r="G5" i="15"/>
  <c r="F5" i="15"/>
  <c r="H6" i="15"/>
  <c r="G6" i="15"/>
  <c r="F6" i="15"/>
  <c r="H7" i="15"/>
  <c r="G7" i="15"/>
  <c r="F7" i="15"/>
  <c r="H8" i="15"/>
  <c r="G8" i="15"/>
  <c r="F8" i="15"/>
  <c r="H9" i="15"/>
  <c r="G9" i="15"/>
  <c r="F9" i="15"/>
  <c r="H10" i="15"/>
  <c r="G10" i="15"/>
  <c r="F10" i="15"/>
  <c r="H11" i="15"/>
  <c r="G11" i="15"/>
  <c r="F11" i="15"/>
  <c r="H12" i="15"/>
  <c r="G12" i="15"/>
  <c r="F12" i="15"/>
  <c r="H13" i="15"/>
  <c r="G13" i="15"/>
  <c r="F13" i="15"/>
  <c r="H14" i="15"/>
  <c r="G14" i="15"/>
  <c r="F14" i="15"/>
  <c r="H15" i="15"/>
  <c r="G15" i="15"/>
  <c r="F15" i="15"/>
  <c r="H16" i="15"/>
  <c r="G16" i="15"/>
  <c r="F16" i="15"/>
  <c r="H17" i="15"/>
  <c r="G17" i="15"/>
  <c r="F17" i="15"/>
  <c r="H18" i="15"/>
  <c r="G18" i="15"/>
  <c r="F18" i="15"/>
  <c r="H19" i="15"/>
  <c r="G19" i="15"/>
  <c r="F19" i="15"/>
  <c r="H20" i="15"/>
  <c r="G20" i="15"/>
  <c r="F20" i="15"/>
  <c r="H21" i="15"/>
  <c r="G21" i="15"/>
  <c r="F21" i="15"/>
  <c r="H22" i="15"/>
  <c r="G22" i="15"/>
  <c r="F22" i="15"/>
  <c r="H23" i="15"/>
  <c r="G23" i="15"/>
  <c r="F23" i="15"/>
  <c r="H24" i="15"/>
  <c r="G24" i="15"/>
  <c r="F24" i="15"/>
  <c r="H25" i="15"/>
  <c r="G25" i="15"/>
  <c r="F25" i="15"/>
  <c r="H26" i="15"/>
  <c r="G26" i="15"/>
  <c r="F26" i="15"/>
  <c r="H27" i="15"/>
  <c r="G27" i="15"/>
  <c r="F27" i="15"/>
  <c r="H28" i="15"/>
  <c r="G28" i="15"/>
  <c r="F28" i="15"/>
  <c r="H29" i="15"/>
  <c r="G29" i="15"/>
  <c r="F29" i="15"/>
  <c r="H30" i="15"/>
  <c r="G30" i="15"/>
  <c r="F30" i="15"/>
  <c r="H31" i="15"/>
  <c r="G31" i="15"/>
  <c r="F31" i="15"/>
  <c r="H32" i="15"/>
  <c r="G32" i="15"/>
  <c r="F32" i="15"/>
  <c r="H33" i="15"/>
  <c r="G33" i="15"/>
  <c r="F33" i="15"/>
  <c r="H34" i="15"/>
  <c r="G34" i="15"/>
  <c r="F34" i="15"/>
  <c r="H35" i="15"/>
  <c r="G35" i="15"/>
  <c r="F35" i="15"/>
  <c r="H36" i="15"/>
  <c r="G36" i="15"/>
  <c r="F36" i="15"/>
  <c r="H37" i="15"/>
  <c r="G37" i="15"/>
  <c r="F37" i="15"/>
  <c r="H38" i="15"/>
  <c r="G38" i="15"/>
  <c r="F38" i="15"/>
  <c r="H39" i="15"/>
  <c r="G39" i="15"/>
  <c r="F39" i="15"/>
  <c r="H40" i="15"/>
  <c r="G40" i="15"/>
  <c r="F40" i="15"/>
  <c r="H41" i="15"/>
  <c r="G41" i="15"/>
  <c r="F41" i="15"/>
  <c r="H42" i="15"/>
  <c r="G42" i="15"/>
  <c r="F42" i="15"/>
  <c r="H43" i="15"/>
  <c r="G43" i="15"/>
  <c r="F43" i="15"/>
  <c r="H44" i="15"/>
  <c r="G44" i="15"/>
  <c r="F44" i="15"/>
  <c r="H45" i="15"/>
  <c r="G45" i="15"/>
  <c r="F45" i="15"/>
  <c r="H46" i="15"/>
  <c r="G46" i="15"/>
  <c r="F46" i="15"/>
  <c r="H47" i="15"/>
  <c r="G47" i="15"/>
  <c r="F47" i="15"/>
  <c r="H48" i="15"/>
  <c r="G48" i="15"/>
  <c r="F48" i="15"/>
  <c r="H49" i="15"/>
  <c r="G49" i="15"/>
  <c r="F49" i="15"/>
  <c r="H50" i="15"/>
  <c r="G50" i="15"/>
  <c r="F50" i="15"/>
  <c r="H51" i="15"/>
  <c r="G51" i="15"/>
  <c r="F51" i="15"/>
  <c r="H52" i="15"/>
  <c r="G52" i="15"/>
  <c r="F52" i="15"/>
  <c r="H53" i="15"/>
  <c r="G53" i="15"/>
  <c r="F53" i="15"/>
  <c r="H54" i="15"/>
  <c r="G54" i="15"/>
  <c r="F54" i="15"/>
  <c r="H55" i="15"/>
  <c r="G55" i="15"/>
  <c r="F55" i="15"/>
  <c r="H56" i="15"/>
  <c r="G56" i="15"/>
  <c r="F56" i="15"/>
  <c r="H57" i="15"/>
  <c r="G57" i="15"/>
  <c r="F57" i="15"/>
  <c r="H58" i="15"/>
  <c r="G58" i="15"/>
  <c r="F58" i="15"/>
  <c r="H59" i="15"/>
  <c r="G59" i="15"/>
  <c r="F59" i="15"/>
  <c r="H60" i="15"/>
  <c r="G60" i="15"/>
  <c r="F60" i="15"/>
  <c r="H61" i="15"/>
  <c r="G61" i="15"/>
  <c r="F61" i="15"/>
  <c r="H62" i="15"/>
  <c r="G62" i="15"/>
  <c r="F62" i="15"/>
  <c r="H63" i="15"/>
  <c r="G63" i="15"/>
  <c r="F63" i="15"/>
  <c r="H64" i="15"/>
  <c r="G64" i="15"/>
  <c r="F64" i="15"/>
  <c r="H65" i="15"/>
  <c r="G65" i="15"/>
  <c r="F65" i="15"/>
  <c r="H66" i="15"/>
  <c r="G66" i="15"/>
  <c r="F66" i="15"/>
  <c r="H67" i="15"/>
  <c r="G67" i="15"/>
  <c r="F67" i="15"/>
  <c r="H68" i="15"/>
  <c r="G68" i="15"/>
  <c r="F68" i="15"/>
  <c r="H69" i="15"/>
  <c r="G69" i="15"/>
  <c r="F69" i="15"/>
  <c r="H70" i="15"/>
  <c r="G70" i="15"/>
  <c r="F70" i="15"/>
  <c r="H71" i="15"/>
  <c r="G71" i="15"/>
  <c r="F71" i="15"/>
  <c r="H72" i="15"/>
  <c r="G72" i="15"/>
  <c r="F72" i="15"/>
  <c r="H73" i="15"/>
  <c r="G73" i="15"/>
  <c r="F73" i="15"/>
  <c r="H74" i="15"/>
  <c r="G74" i="15"/>
  <c r="F74" i="15"/>
  <c r="H75" i="15"/>
  <c r="G75" i="15"/>
  <c r="F75" i="15"/>
  <c r="H76" i="15"/>
  <c r="G76" i="15"/>
  <c r="F76" i="15"/>
  <c r="H77" i="15"/>
  <c r="G77" i="15"/>
  <c r="F77" i="15"/>
  <c r="H78" i="15"/>
  <c r="G78" i="15"/>
  <c r="F78" i="15"/>
  <c r="H79" i="15"/>
  <c r="G79" i="15"/>
  <c r="F79" i="15"/>
  <c r="H80" i="15"/>
  <c r="G80" i="15"/>
  <c r="F80" i="15"/>
  <c r="H81" i="15"/>
  <c r="G81" i="15"/>
  <c r="F81" i="15"/>
  <c r="H82" i="15"/>
  <c r="G82" i="15"/>
  <c r="F82" i="15"/>
  <c r="H83" i="15"/>
  <c r="G83" i="15"/>
  <c r="F83" i="15"/>
  <c r="H84" i="15"/>
  <c r="G84" i="15"/>
  <c r="F84" i="15"/>
  <c r="H85" i="15"/>
  <c r="G85" i="15"/>
  <c r="F85" i="15"/>
  <c r="H86" i="15"/>
  <c r="G86" i="15"/>
  <c r="F86" i="15"/>
  <c r="H87" i="15"/>
  <c r="G87" i="15"/>
  <c r="F87" i="15"/>
  <c r="H88" i="15"/>
  <c r="G88" i="15"/>
  <c r="F88" i="15"/>
  <c r="H89" i="15"/>
  <c r="G89" i="15"/>
  <c r="F89" i="15"/>
  <c r="H90" i="15"/>
  <c r="G90" i="15"/>
  <c r="F90" i="15"/>
  <c r="H91" i="15"/>
  <c r="G91" i="15"/>
  <c r="F91" i="15"/>
  <c r="H92" i="15"/>
  <c r="G92" i="15"/>
  <c r="F92" i="15"/>
  <c r="H93" i="15"/>
  <c r="G93" i="15"/>
  <c r="F93" i="15"/>
  <c r="H94" i="15"/>
  <c r="G94" i="15"/>
  <c r="F94" i="15"/>
  <c r="H95" i="15"/>
  <c r="G95" i="15"/>
  <c r="F95" i="15"/>
  <c r="H96" i="15"/>
  <c r="G96" i="15"/>
  <c r="F96" i="15"/>
  <c r="H97" i="15"/>
  <c r="G97" i="15"/>
  <c r="F97" i="15"/>
  <c r="H98" i="15"/>
  <c r="G98" i="15"/>
  <c r="F98" i="15"/>
  <c r="H99" i="15"/>
  <c r="G99" i="15"/>
  <c r="F99" i="15"/>
  <c r="H100" i="15"/>
  <c r="G100" i="15"/>
  <c r="F100" i="15"/>
  <c r="H101" i="15"/>
  <c r="G101" i="15"/>
  <c r="F101" i="15"/>
  <c r="H102" i="15"/>
  <c r="G102" i="15"/>
  <c r="F102" i="15"/>
  <c r="H103" i="15"/>
  <c r="G103" i="15"/>
  <c r="F103" i="15"/>
  <c r="H104" i="15"/>
  <c r="G104" i="15"/>
  <c r="F104" i="15"/>
  <c r="H105" i="15"/>
  <c r="G105" i="15"/>
  <c r="F105" i="15"/>
  <c r="H106" i="15"/>
  <c r="G106" i="15"/>
  <c r="F106" i="15"/>
  <c r="H107" i="15"/>
  <c r="G107" i="15"/>
  <c r="F107" i="15"/>
  <c r="H108" i="15"/>
  <c r="G108" i="15"/>
  <c r="F108" i="15"/>
  <c r="H109" i="15"/>
  <c r="G109" i="15"/>
  <c r="F109" i="15"/>
  <c r="H110" i="15"/>
  <c r="G110" i="15"/>
  <c r="F110" i="15"/>
  <c r="H111" i="15"/>
  <c r="G111" i="15"/>
  <c r="F111" i="15"/>
  <c r="H112" i="15"/>
  <c r="G112" i="15"/>
  <c r="F112" i="15"/>
  <c r="H113" i="15"/>
  <c r="G113" i="15"/>
  <c r="F113" i="15"/>
  <c r="H114" i="15"/>
  <c r="G114" i="15"/>
  <c r="F114" i="15"/>
  <c r="H115" i="15"/>
  <c r="G115" i="15"/>
  <c r="F115" i="15"/>
  <c r="H116" i="15"/>
  <c r="G116" i="15"/>
  <c r="F116" i="15"/>
  <c r="H117" i="15"/>
  <c r="G117" i="15"/>
  <c r="F117" i="15"/>
  <c r="H118" i="15"/>
  <c r="G118" i="15"/>
  <c r="F118" i="15"/>
  <c r="H119" i="15"/>
  <c r="G119" i="15"/>
  <c r="F119" i="15"/>
  <c r="H120" i="15"/>
  <c r="G120" i="15"/>
  <c r="F120" i="15"/>
  <c r="H121" i="15"/>
  <c r="G121" i="15"/>
  <c r="F121" i="15"/>
  <c r="H122" i="15"/>
  <c r="G122" i="15"/>
  <c r="F122" i="15"/>
  <c r="H123" i="15"/>
  <c r="G123" i="15"/>
  <c r="F123" i="15"/>
  <c r="H124" i="15"/>
  <c r="G124" i="15"/>
  <c r="F124" i="15"/>
  <c r="H125" i="15"/>
  <c r="G125" i="15"/>
  <c r="F125" i="15"/>
  <c r="H126" i="15"/>
  <c r="G126" i="15"/>
  <c r="F126" i="15"/>
  <c r="H127" i="15"/>
  <c r="G127" i="15"/>
  <c r="F127" i="15"/>
  <c r="H128" i="15"/>
  <c r="G128" i="15"/>
  <c r="F128" i="15"/>
  <c r="H129" i="15"/>
  <c r="G129" i="15"/>
  <c r="F129" i="15"/>
  <c r="H130" i="15"/>
  <c r="G130" i="15"/>
  <c r="F130" i="15"/>
  <c r="H131" i="15"/>
  <c r="G131" i="15"/>
  <c r="F131" i="15"/>
  <c r="H132" i="15"/>
  <c r="G132" i="15"/>
  <c r="F132" i="15"/>
  <c r="H133" i="15"/>
  <c r="G133" i="15"/>
  <c r="F133" i="15"/>
  <c r="H134" i="15"/>
  <c r="G134" i="15"/>
  <c r="F134" i="15"/>
  <c r="H135" i="15"/>
  <c r="G135" i="15"/>
  <c r="F135" i="15"/>
  <c r="H136" i="15"/>
  <c r="G136" i="15"/>
  <c r="F136" i="15"/>
  <c r="H137" i="15"/>
  <c r="G137" i="15"/>
  <c r="F137" i="15"/>
  <c r="H138" i="15"/>
  <c r="G138" i="15"/>
  <c r="F138" i="15"/>
  <c r="H139" i="15"/>
  <c r="G139" i="15"/>
  <c r="F139" i="15"/>
  <c r="H140" i="15"/>
  <c r="G140" i="15"/>
  <c r="F140" i="15"/>
  <c r="H141" i="15"/>
  <c r="G141" i="15"/>
  <c r="F141" i="15"/>
  <c r="H142" i="15"/>
  <c r="G142" i="15"/>
  <c r="F142" i="15"/>
  <c r="H143" i="15"/>
  <c r="G143" i="15"/>
  <c r="F143" i="15"/>
  <c r="H144" i="15"/>
  <c r="G144" i="15"/>
  <c r="F144" i="15"/>
  <c r="H145" i="15"/>
  <c r="G145" i="15"/>
  <c r="F145" i="15"/>
  <c r="H146" i="15"/>
  <c r="G146" i="15"/>
  <c r="F146" i="15"/>
  <c r="H147" i="15"/>
  <c r="G147" i="15"/>
  <c r="F147" i="15"/>
  <c r="H148" i="15"/>
  <c r="G148" i="15"/>
  <c r="F148" i="15"/>
  <c r="H149" i="15"/>
  <c r="G149" i="15"/>
  <c r="F149" i="15"/>
  <c r="H150" i="15"/>
  <c r="G150" i="15"/>
  <c r="F150" i="15"/>
  <c r="H151" i="15"/>
  <c r="G151" i="15"/>
  <c r="F151" i="15"/>
  <c r="H152" i="15"/>
  <c r="G152" i="15"/>
  <c r="F152" i="15"/>
  <c r="H153" i="15"/>
  <c r="G153" i="15"/>
  <c r="F153" i="15"/>
  <c r="H154" i="15"/>
  <c r="G154" i="15"/>
  <c r="F154" i="15"/>
  <c r="H155" i="15"/>
  <c r="G155" i="15"/>
  <c r="F155" i="15"/>
  <c r="H156" i="15"/>
  <c r="G156" i="15"/>
  <c r="F156" i="15"/>
  <c r="H157" i="15"/>
  <c r="G157" i="15"/>
  <c r="F157" i="15"/>
  <c r="H158" i="15"/>
  <c r="G158" i="15"/>
  <c r="F158" i="15"/>
  <c r="H159" i="15"/>
  <c r="G159" i="15"/>
  <c r="F159" i="15"/>
  <c r="H160" i="15"/>
  <c r="G160" i="15"/>
  <c r="F160" i="15"/>
  <c r="H161" i="15"/>
  <c r="G161" i="15"/>
  <c r="F161" i="15"/>
  <c r="H162" i="15"/>
  <c r="G162" i="15"/>
  <c r="F162" i="15"/>
  <c r="H163" i="15"/>
  <c r="G163" i="15"/>
  <c r="F163" i="15"/>
  <c r="H164" i="15"/>
  <c r="G164" i="15"/>
  <c r="F164" i="15"/>
  <c r="H165" i="15"/>
  <c r="G165" i="15"/>
  <c r="F165" i="15"/>
  <c r="H166" i="15"/>
  <c r="G166" i="15"/>
  <c r="F166" i="15"/>
  <c r="H167" i="15"/>
  <c r="G167" i="15"/>
  <c r="F167" i="15"/>
  <c r="H168" i="15"/>
  <c r="G168" i="15"/>
  <c r="F168" i="15"/>
  <c r="H169" i="15"/>
  <c r="G169" i="15"/>
  <c r="F169" i="15"/>
  <c r="H170" i="15"/>
  <c r="G170" i="15"/>
  <c r="F170" i="15"/>
  <c r="H171" i="15"/>
  <c r="G171" i="15"/>
  <c r="F171" i="15"/>
  <c r="H172" i="15"/>
  <c r="G172" i="15"/>
  <c r="F172" i="15"/>
  <c r="H173" i="15"/>
  <c r="G173" i="15"/>
  <c r="F173" i="15"/>
  <c r="H174" i="15"/>
  <c r="G174" i="15"/>
  <c r="F174" i="15"/>
  <c r="H175" i="15"/>
  <c r="G175" i="15"/>
  <c r="F175" i="15"/>
  <c r="H176" i="15"/>
  <c r="G176" i="15"/>
  <c r="F176" i="15"/>
  <c r="H177" i="15"/>
  <c r="G177" i="15"/>
  <c r="F177" i="15"/>
  <c r="H178" i="15"/>
  <c r="G178" i="15"/>
  <c r="F178" i="15"/>
  <c r="H179" i="15"/>
  <c r="G179" i="15"/>
  <c r="F179" i="15"/>
  <c r="H180" i="15"/>
  <c r="G180" i="15"/>
  <c r="F180" i="15"/>
  <c r="H181" i="15"/>
  <c r="G181" i="15"/>
  <c r="F181" i="15"/>
  <c r="H182" i="15"/>
  <c r="G182" i="15"/>
  <c r="F182" i="15"/>
  <c r="H183" i="15"/>
  <c r="G183" i="15"/>
  <c r="F183" i="15"/>
  <c r="H184" i="15"/>
  <c r="G184" i="15"/>
  <c r="F184" i="15"/>
  <c r="H185" i="15"/>
  <c r="G185" i="15"/>
  <c r="F185" i="15"/>
  <c r="H186" i="15"/>
  <c r="G186" i="15"/>
  <c r="F186" i="15"/>
  <c r="H187" i="15"/>
  <c r="G187" i="15"/>
  <c r="F187" i="15"/>
  <c r="H188" i="15"/>
  <c r="G188" i="15"/>
  <c r="F188" i="15"/>
  <c r="H189" i="15"/>
  <c r="G189" i="15"/>
  <c r="F189" i="15"/>
  <c r="H190" i="15"/>
  <c r="G190" i="15"/>
  <c r="F190" i="15"/>
  <c r="H191" i="15"/>
  <c r="G191" i="15"/>
  <c r="F191" i="15"/>
  <c r="H192" i="15"/>
  <c r="G192" i="15"/>
  <c r="F192" i="15"/>
  <c r="H193" i="15"/>
  <c r="G193" i="15"/>
  <c r="F193" i="15"/>
  <c r="H194" i="15"/>
  <c r="G194" i="15"/>
  <c r="F194" i="15"/>
  <c r="H195" i="15"/>
  <c r="G195" i="15"/>
  <c r="F195" i="15"/>
  <c r="H196" i="15"/>
  <c r="G196" i="15"/>
  <c r="F196" i="15"/>
  <c r="H197" i="15"/>
  <c r="G197" i="15"/>
  <c r="F197" i="15"/>
  <c r="H198" i="15"/>
  <c r="G198" i="15"/>
  <c r="F198" i="15"/>
  <c r="H199" i="15"/>
  <c r="G199" i="15"/>
  <c r="F199" i="15"/>
  <c r="H200" i="15"/>
  <c r="G200" i="15"/>
  <c r="F200" i="15"/>
  <c r="H201" i="15"/>
  <c r="G201" i="15"/>
  <c r="F201" i="15"/>
  <c r="H202" i="15"/>
  <c r="G202" i="15"/>
  <c r="F202" i="15"/>
  <c r="H203" i="15"/>
  <c r="G203" i="15"/>
  <c r="F203" i="15"/>
  <c r="H204" i="15"/>
  <c r="G204" i="15"/>
  <c r="F204" i="15"/>
  <c r="H205" i="15"/>
  <c r="G205" i="15"/>
  <c r="F205" i="15"/>
  <c r="H206" i="15"/>
  <c r="G206" i="15"/>
  <c r="F206" i="15"/>
  <c r="H207" i="15"/>
  <c r="G207" i="15"/>
  <c r="F207" i="15"/>
  <c r="H208" i="15"/>
  <c r="G208" i="15"/>
  <c r="F208" i="15"/>
  <c r="H209" i="15"/>
  <c r="G209" i="15"/>
  <c r="F209" i="15"/>
  <c r="H210" i="15"/>
  <c r="G210" i="15"/>
  <c r="F210" i="15"/>
  <c r="H211" i="15"/>
  <c r="G211" i="15"/>
  <c r="F211" i="15"/>
  <c r="H212" i="15"/>
  <c r="G212" i="15"/>
  <c r="F212" i="15"/>
  <c r="H213" i="15"/>
  <c r="G213" i="15"/>
  <c r="F213" i="15"/>
  <c r="H214" i="15"/>
  <c r="G214" i="15"/>
  <c r="F214" i="15"/>
  <c r="H215" i="15"/>
  <c r="G215" i="15"/>
  <c r="F215" i="15"/>
  <c r="H216" i="15"/>
  <c r="G216" i="15"/>
  <c r="F216" i="15"/>
  <c r="H217" i="15"/>
  <c r="G217" i="15"/>
  <c r="F217" i="15"/>
  <c r="H218" i="15"/>
  <c r="G218" i="15"/>
  <c r="F218" i="15"/>
  <c r="H219" i="15"/>
  <c r="G219" i="15"/>
  <c r="F219" i="15"/>
  <c r="H220" i="15"/>
  <c r="G220" i="15"/>
  <c r="F220" i="15"/>
  <c r="H221" i="15"/>
  <c r="G221" i="15"/>
  <c r="F221" i="15"/>
  <c r="H222" i="15"/>
  <c r="G222" i="15"/>
  <c r="F222" i="15"/>
  <c r="H223" i="15"/>
  <c r="G223" i="15"/>
  <c r="F223" i="15"/>
  <c r="H224" i="15"/>
  <c r="G224" i="15"/>
  <c r="F224" i="15"/>
  <c r="H225" i="15"/>
  <c r="G225" i="15"/>
  <c r="F225" i="15"/>
  <c r="H226" i="15"/>
  <c r="G226" i="15"/>
  <c r="F226" i="15"/>
  <c r="H227" i="15"/>
  <c r="G227" i="15"/>
  <c r="F227" i="15"/>
  <c r="H228" i="15"/>
  <c r="G228" i="15"/>
  <c r="F228" i="15"/>
  <c r="H229" i="15"/>
  <c r="G229" i="15"/>
  <c r="F229" i="15"/>
  <c r="H230" i="15"/>
  <c r="G230" i="15"/>
  <c r="F230" i="15"/>
  <c r="H231" i="15"/>
  <c r="G231" i="15"/>
  <c r="F231" i="15"/>
  <c r="H232" i="15"/>
  <c r="G232" i="15"/>
  <c r="F232" i="15"/>
  <c r="H233" i="15"/>
  <c r="G233" i="15"/>
  <c r="F233" i="15"/>
  <c r="H234" i="15"/>
  <c r="G234" i="15"/>
  <c r="F234" i="15"/>
  <c r="H235" i="15"/>
  <c r="G235" i="15"/>
  <c r="F235" i="15"/>
  <c r="H236" i="15"/>
  <c r="G236" i="15"/>
  <c r="F236" i="15"/>
  <c r="H237" i="15"/>
  <c r="G237" i="15"/>
  <c r="F237" i="15"/>
  <c r="H238" i="15"/>
  <c r="G238" i="15"/>
  <c r="F238" i="15"/>
  <c r="H239" i="15"/>
  <c r="G239" i="15"/>
  <c r="F239" i="15"/>
  <c r="H240" i="15"/>
  <c r="G240" i="15"/>
  <c r="F240" i="15"/>
  <c r="H241" i="15"/>
  <c r="G241" i="15"/>
  <c r="F241" i="15"/>
  <c r="H242" i="15"/>
  <c r="G242" i="15"/>
  <c r="F242" i="15"/>
  <c r="H243" i="15"/>
  <c r="G243" i="15"/>
  <c r="F243" i="15"/>
  <c r="H244" i="15"/>
  <c r="G244" i="15"/>
  <c r="F244" i="15"/>
  <c r="H245" i="15"/>
  <c r="G245" i="15"/>
  <c r="F245" i="15"/>
  <c r="H246" i="15"/>
  <c r="G246" i="15"/>
  <c r="F246" i="15"/>
  <c r="H247" i="15"/>
  <c r="G247" i="15"/>
  <c r="F247" i="15"/>
  <c r="H248" i="15"/>
  <c r="G248" i="15"/>
  <c r="F248" i="15"/>
  <c r="H249" i="15"/>
  <c r="G249" i="15"/>
  <c r="F249" i="15"/>
  <c r="H250" i="15"/>
  <c r="G250" i="15"/>
  <c r="F250" i="15"/>
  <c r="H251" i="15"/>
  <c r="G251" i="15"/>
  <c r="F251" i="15"/>
  <c r="H252" i="15"/>
  <c r="G252" i="15"/>
  <c r="F252" i="15"/>
  <c r="H253" i="15"/>
  <c r="G253" i="15"/>
  <c r="F253" i="15"/>
  <c r="H254" i="15"/>
  <c r="G254" i="15"/>
  <c r="F254" i="15"/>
  <c r="H255" i="15"/>
  <c r="G255" i="15"/>
  <c r="F255" i="15"/>
  <c r="H256" i="15"/>
  <c r="G256" i="15"/>
  <c r="F256" i="15"/>
  <c r="H257" i="15"/>
  <c r="G257" i="15"/>
  <c r="F257" i="15"/>
  <c r="H258" i="15"/>
  <c r="G258" i="15"/>
  <c r="F258" i="15"/>
  <c r="H259" i="15"/>
  <c r="G259" i="15"/>
  <c r="F259" i="15"/>
  <c r="H260" i="15"/>
  <c r="G260" i="15"/>
  <c r="F260" i="15"/>
  <c r="H261" i="15"/>
  <c r="G261" i="15"/>
  <c r="F261" i="15"/>
  <c r="H262" i="15"/>
  <c r="G262" i="15"/>
  <c r="F262" i="15"/>
  <c r="H263" i="15"/>
  <c r="G263" i="15"/>
  <c r="F263" i="15"/>
  <c r="H264" i="15"/>
  <c r="G264" i="15"/>
  <c r="F264" i="15"/>
  <c r="H265" i="15"/>
  <c r="G265" i="15"/>
  <c r="F265" i="15"/>
  <c r="H266" i="15"/>
  <c r="G266" i="15"/>
  <c r="F266" i="15"/>
  <c r="H267" i="15"/>
  <c r="G267" i="15"/>
  <c r="F267" i="15"/>
  <c r="H268" i="15"/>
  <c r="G268" i="15"/>
  <c r="F268" i="15"/>
  <c r="H269" i="15"/>
  <c r="G269" i="15"/>
  <c r="F269" i="15"/>
  <c r="H270" i="15"/>
  <c r="G270" i="15"/>
  <c r="F270" i="15"/>
  <c r="H271" i="15"/>
  <c r="G271" i="15"/>
  <c r="F271" i="15"/>
  <c r="H272" i="15"/>
  <c r="G272" i="15"/>
  <c r="F272" i="15"/>
  <c r="H273" i="15"/>
  <c r="G273" i="15"/>
  <c r="F273" i="15"/>
  <c r="H274" i="15"/>
  <c r="G274" i="15"/>
  <c r="F274" i="15"/>
  <c r="H275" i="15"/>
  <c r="G275" i="15"/>
  <c r="F275" i="15"/>
  <c r="H276" i="15"/>
  <c r="G276" i="15"/>
  <c r="F276" i="15"/>
  <c r="H277" i="15"/>
  <c r="G277" i="15"/>
  <c r="F277" i="15"/>
  <c r="H278" i="15"/>
  <c r="G278" i="15"/>
  <c r="F278" i="15"/>
  <c r="H279" i="15"/>
  <c r="G279" i="15"/>
  <c r="F279" i="15"/>
  <c r="H280" i="15"/>
  <c r="G280" i="15"/>
  <c r="F280" i="15"/>
  <c r="H281" i="15"/>
  <c r="G281" i="15"/>
  <c r="F281" i="15"/>
  <c r="H282" i="15"/>
  <c r="G282" i="15"/>
  <c r="F282" i="15"/>
  <c r="H283" i="15"/>
  <c r="G283" i="15"/>
  <c r="F283" i="15"/>
  <c r="H284" i="15"/>
  <c r="G284" i="15"/>
  <c r="F284" i="15"/>
  <c r="H285" i="15"/>
  <c r="G285" i="15"/>
  <c r="F285" i="15"/>
  <c r="H286" i="15"/>
  <c r="G286" i="15"/>
  <c r="F286" i="15"/>
  <c r="H287" i="15"/>
  <c r="G287" i="15"/>
  <c r="F287" i="15"/>
  <c r="H288" i="15"/>
  <c r="G288" i="15"/>
  <c r="F288" i="15"/>
  <c r="H289" i="15"/>
  <c r="G289" i="15"/>
  <c r="F289" i="15"/>
  <c r="H290" i="15"/>
  <c r="G290" i="15"/>
  <c r="F290" i="15"/>
  <c r="H291" i="15"/>
  <c r="G291" i="15"/>
  <c r="F291" i="15"/>
  <c r="H292" i="15"/>
  <c r="G292" i="15"/>
  <c r="F292" i="15"/>
  <c r="H293" i="15"/>
  <c r="G293" i="15"/>
  <c r="F293" i="15"/>
  <c r="H294" i="15"/>
  <c r="G294" i="15"/>
  <c r="F294" i="15"/>
  <c r="H295" i="15"/>
  <c r="G295" i="15"/>
  <c r="F295" i="15"/>
  <c r="H296" i="15"/>
  <c r="G296" i="15"/>
  <c r="F296" i="15"/>
  <c r="H297" i="15"/>
  <c r="G297" i="15"/>
  <c r="F297" i="15"/>
  <c r="H298" i="15"/>
  <c r="G298" i="15"/>
  <c r="F298" i="15"/>
  <c r="H299" i="15"/>
  <c r="G299" i="15"/>
  <c r="F299" i="15"/>
  <c r="H300" i="15"/>
  <c r="G300" i="15"/>
  <c r="F300" i="15"/>
  <c r="H301" i="15"/>
  <c r="G301" i="15"/>
  <c r="F301" i="15"/>
  <c r="H302" i="15"/>
  <c r="G302" i="15"/>
  <c r="F302" i="15"/>
  <c r="H303" i="15"/>
  <c r="G303" i="15"/>
  <c r="F303" i="15"/>
  <c r="H304" i="15"/>
  <c r="G304" i="15"/>
  <c r="F304" i="15"/>
  <c r="H305" i="15"/>
  <c r="G305" i="15"/>
  <c r="F305" i="15"/>
  <c r="H306" i="15"/>
  <c r="G306" i="15"/>
  <c r="F306" i="15"/>
  <c r="H307" i="15"/>
  <c r="G307" i="15"/>
  <c r="F307" i="15"/>
  <c r="H308" i="15"/>
  <c r="G308" i="15"/>
  <c r="F308" i="15"/>
  <c r="H309" i="15"/>
  <c r="G309" i="15"/>
  <c r="F309" i="15"/>
  <c r="H310" i="15"/>
  <c r="G310" i="15"/>
  <c r="F310" i="15"/>
  <c r="H311" i="15"/>
  <c r="G311" i="15"/>
  <c r="F311" i="15"/>
  <c r="H312" i="15"/>
  <c r="G312" i="15"/>
  <c r="F312" i="15"/>
  <c r="H313" i="15"/>
  <c r="G313" i="15"/>
  <c r="F313" i="15"/>
  <c r="H314" i="15"/>
  <c r="G314" i="15"/>
  <c r="F314" i="15"/>
  <c r="H315" i="15"/>
  <c r="G315" i="15"/>
  <c r="F315" i="15"/>
  <c r="H316" i="15"/>
  <c r="G316" i="15"/>
  <c r="F316" i="15"/>
  <c r="H317" i="15"/>
  <c r="G317" i="15"/>
  <c r="F317" i="15"/>
  <c r="H318" i="15"/>
  <c r="G318" i="15"/>
  <c r="F318" i="15"/>
  <c r="H319" i="15"/>
  <c r="G319" i="15"/>
  <c r="F319" i="15"/>
  <c r="H320" i="15"/>
  <c r="G320" i="15"/>
  <c r="F320" i="15"/>
  <c r="H321" i="15"/>
  <c r="G321" i="15"/>
  <c r="F321" i="15"/>
  <c r="H322" i="15"/>
  <c r="G322" i="15"/>
  <c r="F322" i="15"/>
  <c r="H323" i="15"/>
  <c r="G323" i="15"/>
  <c r="F323" i="15"/>
  <c r="H324" i="15"/>
  <c r="G324" i="15"/>
  <c r="F324" i="15"/>
  <c r="H325" i="15"/>
  <c r="G325" i="15"/>
  <c r="F325" i="15"/>
  <c r="H326" i="15"/>
  <c r="G326" i="15"/>
  <c r="F326" i="15"/>
  <c r="H327" i="15"/>
  <c r="G327" i="15"/>
  <c r="F327" i="15"/>
  <c r="H328" i="15"/>
  <c r="G328" i="15"/>
  <c r="F328" i="15"/>
  <c r="H329" i="15"/>
  <c r="G329" i="15"/>
  <c r="F329" i="15"/>
  <c r="H330" i="15"/>
  <c r="G330" i="15"/>
  <c r="F330" i="15"/>
  <c r="H331" i="15"/>
  <c r="G331" i="15"/>
  <c r="F331" i="15"/>
  <c r="H332" i="15"/>
  <c r="G332" i="15"/>
  <c r="F332" i="15"/>
  <c r="H333" i="15"/>
  <c r="G333" i="15"/>
  <c r="F333" i="15"/>
  <c r="H334" i="15"/>
  <c r="G334" i="15"/>
  <c r="F334" i="15"/>
  <c r="H335" i="15"/>
  <c r="G335" i="15"/>
  <c r="F335" i="15"/>
  <c r="H336" i="15"/>
  <c r="G336" i="15"/>
  <c r="F336" i="15"/>
  <c r="H337" i="15"/>
  <c r="G337" i="15"/>
  <c r="F337" i="15"/>
  <c r="H338" i="15"/>
  <c r="G338" i="15"/>
  <c r="F338" i="15"/>
  <c r="H339" i="15"/>
  <c r="G339" i="15"/>
  <c r="F339" i="15"/>
  <c r="H340" i="15"/>
  <c r="G340" i="15"/>
  <c r="F340" i="15"/>
  <c r="H341" i="15"/>
  <c r="G341" i="15"/>
  <c r="F341" i="15"/>
  <c r="H342" i="15"/>
  <c r="G342" i="15"/>
  <c r="F342" i="15"/>
  <c r="H343" i="15"/>
  <c r="G343" i="15"/>
  <c r="F343" i="15"/>
  <c r="H344" i="15"/>
  <c r="G344" i="15"/>
  <c r="F344" i="15"/>
  <c r="H345" i="15"/>
  <c r="G345" i="15"/>
  <c r="F345" i="15"/>
  <c r="H346" i="15"/>
  <c r="G346" i="15"/>
  <c r="F346" i="15"/>
  <c r="H347" i="15"/>
  <c r="G347" i="15"/>
  <c r="F347" i="15"/>
  <c r="H348" i="15"/>
  <c r="G348" i="15"/>
  <c r="F348" i="15"/>
  <c r="H349" i="15"/>
  <c r="G349" i="15"/>
  <c r="F349" i="15"/>
  <c r="H350" i="15"/>
  <c r="G350" i="15"/>
  <c r="F350" i="15"/>
  <c r="H351" i="15"/>
  <c r="G351" i="15"/>
  <c r="F351" i="15"/>
  <c r="H352" i="15"/>
  <c r="G352" i="15"/>
  <c r="F352" i="15"/>
  <c r="H353" i="15"/>
  <c r="G353" i="15"/>
  <c r="F353" i="15"/>
  <c r="H354" i="15"/>
  <c r="G354" i="15"/>
  <c r="F354" i="15"/>
  <c r="H355" i="15"/>
  <c r="G355" i="15"/>
  <c r="F355" i="15"/>
  <c r="H356" i="15"/>
  <c r="G356" i="15"/>
  <c r="F356" i="15"/>
  <c r="H357" i="15"/>
  <c r="G357" i="15"/>
  <c r="F357" i="15"/>
  <c r="H358" i="15"/>
  <c r="G358" i="15"/>
  <c r="F358" i="15"/>
  <c r="H359" i="15"/>
  <c r="G359" i="15"/>
  <c r="F359" i="15"/>
  <c r="H360" i="15"/>
  <c r="G360" i="15"/>
  <c r="F360" i="15"/>
  <c r="H361" i="15"/>
  <c r="G361" i="15"/>
  <c r="F361" i="15"/>
  <c r="H362" i="15"/>
  <c r="G362" i="15"/>
  <c r="F362" i="15"/>
  <c r="H363" i="15"/>
  <c r="G363" i="15"/>
  <c r="F363" i="15"/>
  <c r="H364" i="15"/>
  <c r="G364" i="15"/>
  <c r="F364" i="15"/>
  <c r="H365" i="15"/>
  <c r="G365" i="15"/>
  <c r="F365" i="15"/>
  <c r="H366" i="15"/>
  <c r="G366" i="15"/>
  <c r="F366" i="15"/>
  <c r="H367" i="15"/>
  <c r="G367" i="15"/>
  <c r="F367" i="15"/>
  <c r="H368" i="15"/>
  <c r="G368" i="15"/>
  <c r="F368" i="15"/>
  <c r="H369" i="15"/>
  <c r="G369" i="15"/>
  <c r="F369" i="15"/>
  <c r="H370" i="15"/>
  <c r="G370" i="15"/>
  <c r="F370" i="15"/>
  <c r="H371" i="15"/>
  <c r="G371" i="15"/>
  <c r="F371" i="15"/>
  <c r="H372" i="15"/>
  <c r="G372" i="15"/>
  <c r="F372" i="15"/>
  <c r="H373" i="15"/>
  <c r="G373" i="15"/>
  <c r="F373" i="15"/>
  <c r="H374" i="15"/>
  <c r="G374" i="15"/>
  <c r="F374" i="15"/>
  <c r="H375" i="15"/>
  <c r="G375" i="15"/>
  <c r="F375" i="15"/>
  <c r="H376" i="15"/>
  <c r="G376" i="15"/>
  <c r="F376" i="15"/>
  <c r="H377" i="15"/>
  <c r="G377" i="15"/>
  <c r="F377" i="15"/>
  <c r="H378" i="15"/>
  <c r="G378" i="15"/>
  <c r="F378" i="15"/>
  <c r="H379" i="15"/>
  <c r="G379" i="15"/>
  <c r="F379" i="15"/>
  <c r="H380" i="15"/>
  <c r="G380" i="15"/>
  <c r="F380" i="15"/>
  <c r="H381" i="15"/>
  <c r="G381" i="15"/>
  <c r="F381" i="15"/>
  <c r="H382" i="15"/>
  <c r="G382" i="15"/>
  <c r="F382" i="15"/>
  <c r="H383" i="15"/>
  <c r="G383" i="15"/>
  <c r="F383" i="15"/>
  <c r="H384" i="15"/>
  <c r="G384" i="15"/>
  <c r="F384" i="15"/>
  <c r="H385" i="15"/>
  <c r="G385" i="15"/>
  <c r="F385" i="15"/>
  <c r="H386" i="15"/>
  <c r="G386" i="15"/>
  <c r="F386" i="15"/>
  <c r="H387" i="15"/>
  <c r="G387" i="15"/>
  <c r="F387" i="15"/>
  <c r="H388" i="15"/>
  <c r="G388" i="15"/>
  <c r="F388" i="15"/>
  <c r="H389" i="15"/>
  <c r="G389" i="15"/>
  <c r="F389" i="15"/>
  <c r="H390" i="15"/>
  <c r="G390" i="15"/>
  <c r="F390" i="15"/>
  <c r="H391" i="15"/>
  <c r="G391" i="15"/>
  <c r="F391" i="15"/>
  <c r="H392" i="15"/>
  <c r="G392" i="15"/>
  <c r="F392" i="15"/>
  <c r="H393" i="15"/>
  <c r="G393" i="15"/>
  <c r="F393" i="15"/>
  <c r="H394" i="15"/>
  <c r="G394" i="15"/>
  <c r="F394" i="15"/>
  <c r="H395" i="15"/>
  <c r="G395" i="15"/>
  <c r="F395" i="15"/>
  <c r="H396" i="15"/>
  <c r="G396" i="15"/>
  <c r="F396" i="15"/>
  <c r="H397" i="15"/>
  <c r="G397" i="15"/>
  <c r="F397" i="15"/>
  <c r="H398" i="15"/>
  <c r="G398" i="15"/>
  <c r="F398" i="15"/>
  <c r="H399" i="15"/>
  <c r="G399" i="15"/>
  <c r="F399" i="15"/>
  <c r="H400" i="15"/>
  <c r="G400" i="15"/>
  <c r="F400" i="15"/>
  <c r="H401" i="15"/>
  <c r="G401" i="15"/>
  <c r="F401" i="15"/>
  <c r="H402" i="15"/>
  <c r="G402" i="15"/>
  <c r="F402" i="15"/>
  <c r="H403" i="15"/>
  <c r="G403" i="15"/>
  <c r="F403" i="15"/>
  <c r="H404" i="15"/>
  <c r="G404" i="15"/>
  <c r="F404" i="15"/>
  <c r="H405" i="15"/>
  <c r="G405" i="15"/>
  <c r="F405" i="15"/>
  <c r="H406" i="15"/>
  <c r="G406" i="15"/>
  <c r="F406" i="15"/>
  <c r="H407" i="15"/>
  <c r="G407" i="15"/>
  <c r="F407" i="15"/>
  <c r="H408" i="15"/>
  <c r="G408" i="15"/>
  <c r="F408" i="15"/>
  <c r="H409" i="15"/>
  <c r="G409" i="15"/>
  <c r="F409" i="15"/>
  <c r="H410" i="15"/>
  <c r="G410" i="15"/>
  <c r="F410" i="15"/>
  <c r="H411" i="15"/>
  <c r="G411" i="15"/>
  <c r="F411" i="15"/>
  <c r="H412" i="15"/>
  <c r="G412" i="15"/>
  <c r="F412" i="15"/>
  <c r="H413" i="15"/>
  <c r="G413" i="15"/>
  <c r="F413" i="15"/>
  <c r="H414" i="15"/>
  <c r="G414" i="15"/>
  <c r="F414" i="15"/>
  <c r="H415" i="15"/>
  <c r="G415" i="15"/>
  <c r="F415" i="15"/>
  <c r="H416" i="15"/>
  <c r="G416" i="15"/>
  <c r="F416" i="15"/>
  <c r="H417" i="15"/>
  <c r="G417" i="15"/>
  <c r="F417" i="15"/>
  <c r="H418" i="15"/>
  <c r="G418" i="15"/>
  <c r="F418" i="15"/>
  <c r="H419" i="15"/>
  <c r="G419" i="15"/>
  <c r="F419" i="15"/>
  <c r="H420" i="15"/>
  <c r="G420" i="15"/>
  <c r="F420" i="15"/>
  <c r="H421" i="15"/>
  <c r="G421" i="15"/>
  <c r="F421" i="15"/>
  <c r="H422" i="15"/>
  <c r="G422" i="15"/>
  <c r="F422" i="15"/>
  <c r="H423" i="15"/>
  <c r="G423" i="15"/>
  <c r="F423" i="15"/>
  <c r="H424" i="15"/>
  <c r="G424" i="15"/>
  <c r="F424" i="15"/>
  <c r="H425" i="15"/>
  <c r="G425" i="15"/>
  <c r="F425" i="15"/>
  <c r="H426" i="15"/>
  <c r="G426" i="15"/>
  <c r="F426" i="15"/>
  <c r="H427" i="15"/>
  <c r="G427" i="15"/>
  <c r="F427" i="15"/>
  <c r="H428" i="15"/>
  <c r="G428" i="15"/>
  <c r="F428" i="15"/>
  <c r="H429" i="15"/>
  <c r="G429" i="15"/>
  <c r="F429" i="15"/>
  <c r="H430" i="15"/>
  <c r="G430" i="15"/>
  <c r="F430" i="15"/>
  <c r="H431" i="15"/>
  <c r="G431" i="15"/>
  <c r="F431" i="15"/>
  <c r="H432" i="15"/>
  <c r="G432" i="15"/>
  <c r="F432" i="15"/>
  <c r="H433" i="15"/>
  <c r="G433" i="15"/>
  <c r="F433" i="15"/>
  <c r="H434" i="15"/>
  <c r="G434" i="15"/>
  <c r="F434" i="15"/>
  <c r="H435" i="15"/>
  <c r="G435" i="15"/>
  <c r="F435" i="15"/>
  <c r="H436" i="15"/>
  <c r="G436" i="15"/>
  <c r="F436" i="15"/>
  <c r="H437" i="15"/>
  <c r="G437" i="15"/>
  <c r="F437" i="15"/>
  <c r="H438" i="15"/>
  <c r="G438" i="15"/>
  <c r="F438" i="15"/>
  <c r="H439" i="15"/>
  <c r="G439" i="15"/>
  <c r="F439" i="15"/>
  <c r="H440" i="15"/>
  <c r="G440" i="15"/>
  <c r="F440" i="15"/>
  <c r="H441" i="15"/>
  <c r="G441" i="15"/>
  <c r="F441" i="15"/>
  <c r="H442" i="15"/>
  <c r="G442" i="15"/>
  <c r="F442" i="15"/>
  <c r="H443" i="15"/>
  <c r="G443" i="15"/>
  <c r="F443" i="15"/>
  <c r="H444" i="15"/>
  <c r="G444" i="15"/>
  <c r="F444" i="15"/>
  <c r="H445" i="15"/>
  <c r="G445" i="15"/>
  <c r="F445" i="15"/>
  <c r="H446" i="15"/>
  <c r="G446" i="15"/>
  <c r="F446" i="15"/>
  <c r="H447" i="15"/>
  <c r="G447" i="15"/>
  <c r="F447" i="15"/>
  <c r="H448" i="15"/>
  <c r="G448" i="15"/>
  <c r="F448" i="15"/>
  <c r="H449" i="15"/>
  <c r="G449" i="15"/>
  <c r="F449" i="15"/>
  <c r="H450" i="15"/>
  <c r="G450" i="15"/>
  <c r="F450" i="15"/>
  <c r="H451" i="15"/>
  <c r="G451" i="15"/>
  <c r="F451" i="15"/>
  <c r="H452" i="15"/>
  <c r="G452" i="15"/>
  <c r="F452" i="15"/>
  <c r="H453" i="15"/>
  <c r="G453" i="15"/>
  <c r="F453" i="15"/>
  <c r="H454" i="15"/>
  <c r="G454" i="15"/>
  <c r="F454" i="15"/>
  <c r="H455" i="15"/>
  <c r="G455" i="15"/>
  <c r="F455" i="15"/>
  <c r="H456" i="15"/>
  <c r="G456" i="15"/>
  <c r="F456" i="15"/>
  <c r="H457" i="15"/>
  <c r="G457" i="15"/>
  <c r="F457" i="15"/>
  <c r="H458" i="15"/>
  <c r="G458" i="15"/>
  <c r="F458" i="15"/>
  <c r="H459" i="15"/>
  <c r="G459" i="15"/>
  <c r="F459" i="15"/>
  <c r="H460" i="15"/>
  <c r="G460" i="15"/>
  <c r="F460" i="15"/>
  <c r="H461" i="15"/>
  <c r="G461" i="15"/>
  <c r="F461" i="15"/>
  <c r="H462" i="15"/>
  <c r="G462" i="15"/>
  <c r="F462" i="15"/>
  <c r="H463" i="15"/>
  <c r="G463" i="15"/>
  <c r="F463" i="15"/>
  <c r="H464" i="15"/>
  <c r="G464" i="15"/>
  <c r="F464" i="15"/>
  <c r="H465" i="15"/>
  <c r="G465" i="15"/>
  <c r="F465" i="15"/>
  <c r="H466" i="15"/>
  <c r="G466" i="15"/>
  <c r="F466" i="15"/>
  <c r="H467" i="15"/>
  <c r="G467" i="15"/>
  <c r="F467" i="15"/>
  <c r="H468" i="15"/>
  <c r="G468" i="15"/>
  <c r="F468" i="15"/>
  <c r="H469" i="15"/>
  <c r="G469" i="15"/>
  <c r="F469" i="15"/>
  <c r="H470" i="15"/>
  <c r="G470" i="15"/>
  <c r="F470" i="15"/>
  <c r="H471" i="15"/>
  <c r="G471" i="15"/>
  <c r="F471" i="15"/>
  <c r="H472" i="15"/>
  <c r="G472" i="15"/>
  <c r="F472" i="15"/>
  <c r="H473" i="15"/>
  <c r="G473" i="15"/>
  <c r="F473" i="15"/>
  <c r="H474" i="15"/>
  <c r="G474" i="15"/>
  <c r="F474" i="15"/>
  <c r="H475" i="15"/>
  <c r="G475" i="15"/>
  <c r="F475" i="15"/>
  <c r="H476" i="15"/>
  <c r="G476" i="15"/>
  <c r="F476" i="15"/>
  <c r="H477" i="15"/>
  <c r="G477" i="15"/>
  <c r="F477" i="15"/>
  <c r="H478" i="15"/>
  <c r="G478" i="15"/>
  <c r="F478" i="15"/>
  <c r="H479" i="15"/>
  <c r="G479" i="15"/>
  <c r="F479" i="15"/>
  <c r="H480" i="15"/>
  <c r="G480" i="15"/>
  <c r="F480" i="15"/>
  <c r="H481" i="15"/>
  <c r="G481" i="15"/>
  <c r="F481" i="15"/>
  <c r="H482" i="15"/>
  <c r="G482" i="15"/>
  <c r="F482" i="15"/>
  <c r="H483" i="15"/>
  <c r="G483" i="15"/>
  <c r="F483" i="15"/>
  <c r="H484" i="15"/>
  <c r="G484" i="15"/>
  <c r="F484" i="15"/>
  <c r="H485" i="15"/>
  <c r="G485" i="15"/>
  <c r="F485" i="15"/>
  <c r="H486" i="15"/>
  <c r="G486" i="15"/>
  <c r="F486" i="15"/>
  <c r="H487" i="15"/>
  <c r="G487" i="15"/>
  <c r="F487" i="15"/>
  <c r="H488" i="15"/>
  <c r="G488" i="15"/>
  <c r="F488" i="15"/>
  <c r="H489" i="15"/>
  <c r="G489" i="15"/>
  <c r="F489" i="15"/>
  <c r="H490" i="15"/>
  <c r="G490" i="15"/>
  <c r="F490" i="15"/>
  <c r="H491" i="15"/>
  <c r="G491" i="15"/>
  <c r="F491" i="15"/>
  <c r="H492" i="15"/>
  <c r="G492" i="15"/>
  <c r="F492" i="15"/>
  <c r="H493" i="15"/>
  <c r="G493" i="15"/>
  <c r="F493" i="15"/>
  <c r="H494" i="15"/>
  <c r="G494" i="15"/>
  <c r="F494" i="15"/>
  <c r="H495" i="15"/>
  <c r="G495" i="15"/>
  <c r="F495" i="15"/>
  <c r="H496" i="15"/>
  <c r="G496" i="15"/>
  <c r="F496" i="15"/>
  <c r="H497" i="15"/>
  <c r="G497" i="15"/>
  <c r="F497" i="15"/>
  <c r="H498" i="15"/>
  <c r="G498" i="15"/>
  <c r="F498" i="15"/>
  <c r="H499" i="15"/>
  <c r="G499" i="15"/>
  <c r="F499" i="15"/>
  <c r="H500" i="15"/>
  <c r="G500" i="15"/>
  <c r="F500" i="15"/>
  <c r="H501" i="15"/>
  <c r="G501" i="15"/>
  <c r="F501" i="15"/>
  <c r="H502" i="15"/>
  <c r="G502" i="15"/>
  <c r="F502" i="15"/>
  <c r="H503" i="15"/>
  <c r="G503" i="15"/>
  <c r="F503" i="15"/>
  <c r="H504" i="15"/>
  <c r="G504" i="15"/>
  <c r="F504" i="15"/>
  <c r="H505" i="15"/>
  <c r="G505" i="15"/>
  <c r="F505" i="15"/>
  <c r="H506" i="15"/>
  <c r="G506" i="15"/>
  <c r="F506" i="15"/>
  <c r="H507" i="15"/>
  <c r="G507" i="15"/>
  <c r="F507" i="15"/>
  <c r="H508" i="15"/>
  <c r="G508" i="15"/>
  <c r="F508" i="15"/>
  <c r="H509" i="15"/>
  <c r="G509" i="15"/>
  <c r="F509" i="15"/>
  <c r="H510" i="15"/>
  <c r="G510" i="15"/>
  <c r="F510" i="15"/>
  <c r="H511" i="15"/>
  <c r="G511" i="15"/>
  <c r="F511" i="15"/>
  <c r="H512" i="15"/>
  <c r="G512" i="15"/>
  <c r="F512" i="15"/>
  <c r="H513" i="15"/>
  <c r="G513" i="15"/>
  <c r="F513" i="15"/>
  <c r="H514" i="15"/>
  <c r="G514" i="15"/>
  <c r="F514" i="15"/>
  <c r="H515" i="15"/>
  <c r="G515" i="15"/>
  <c r="F515" i="15"/>
  <c r="H516" i="15"/>
  <c r="G516" i="15"/>
  <c r="F516" i="15"/>
  <c r="H517" i="15"/>
  <c r="G517" i="15"/>
  <c r="F517" i="15"/>
  <c r="H518" i="15"/>
  <c r="G518" i="15"/>
  <c r="F518" i="15"/>
  <c r="H519" i="15"/>
  <c r="G519" i="15"/>
  <c r="F519" i="15"/>
  <c r="H520" i="15"/>
  <c r="G520" i="15"/>
  <c r="F520" i="15"/>
  <c r="H521" i="15"/>
  <c r="G521" i="15"/>
  <c r="F521" i="15"/>
  <c r="H522" i="15"/>
  <c r="G522" i="15"/>
  <c r="F522" i="15"/>
  <c r="H523" i="15"/>
  <c r="G523" i="15"/>
  <c r="F523" i="15"/>
  <c r="H524" i="15"/>
  <c r="G524" i="15"/>
  <c r="F524" i="15"/>
  <c r="H525" i="15"/>
  <c r="G525" i="15"/>
  <c r="F525" i="15"/>
  <c r="H526" i="15"/>
  <c r="G526" i="15"/>
  <c r="F526" i="15"/>
  <c r="H527" i="15"/>
  <c r="G527" i="15"/>
  <c r="F527" i="15"/>
  <c r="H528" i="15"/>
  <c r="G528" i="15"/>
  <c r="F528" i="15"/>
  <c r="H529" i="15"/>
  <c r="G529" i="15"/>
  <c r="F529" i="15"/>
  <c r="H530" i="15"/>
  <c r="G530" i="15"/>
  <c r="F530" i="15"/>
  <c r="H531" i="15"/>
  <c r="G531" i="15"/>
  <c r="F531" i="15"/>
  <c r="H532" i="15"/>
  <c r="G532" i="15"/>
  <c r="F532" i="15"/>
  <c r="H533" i="15"/>
  <c r="G533" i="15"/>
  <c r="F533" i="15"/>
  <c r="H534" i="15"/>
  <c r="G534" i="15"/>
  <c r="F534" i="15"/>
  <c r="H535" i="15"/>
  <c r="G535" i="15"/>
  <c r="F535" i="15"/>
  <c r="H536" i="15"/>
  <c r="G536" i="15"/>
  <c r="F536" i="15"/>
  <c r="H537" i="15"/>
  <c r="G537" i="15"/>
  <c r="F537" i="15"/>
  <c r="H538" i="15"/>
  <c r="G538" i="15"/>
  <c r="F538" i="15"/>
  <c r="H539" i="15"/>
  <c r="G539" i="15"/>
  <c r="F539" i="15"/>
  <c r="H540" i="15"/>
  <c r="G540" i="15"/>
  <c r="F540" i="15"/>
  <c r="H541" i="15"/>
  <c r="G541" i="15"/>
  <c r="F541" i="15"/>
  <c r="H542" i="15"/>
  <c r="G542" i="15"/>
  <c r="F542" i="15"/>
  <c r="H543" i="15"/>
  <c r="G543" i="15"/>
  <c r="F543" i="15"/>
  <c r="H544" i="15"/>
  <c r="G544" i="15"/>
  <c r="F544" i="15"/>
  <c r="H545" i="15"/>
  <c r="G545" i="15"/>
  <c r="F545" i="15"/>
  <c r="H546" i="15"/>
  <c r="G546" i="15"/>
  <c r="F546" i="15"/>
  <c r="H547" i="15"/>
  <c r="G547" i="15"/>
  <c r="F547" i="15"/>
  <c r="H548" i="15"/>
  <c r="G548" i="15"/>
  <c r="F548" i="15"/>
  <c r="H549" i="15"/>
  <c r="G549" i="15"/>
  <c r="F549" i="15"/>
  <c r="H550" i="15"/>
  <c r="G550" i="15"/>
  <c r="F550" i="15"/>
  <c r="H551" i="15"/>
  <c r="G551" i="15"/>
  <c r="F551" i="15"/>
  <c r="H552" i="15"/>
  <c r="G552" i="15"/>
  <c r="F552" i="15"/>
  <c r="H553" i="15"/>
  <c r="G553" i="15"/>
  <c r="F553" i="15"/>
  <c r="H554" i="15"/>
  <c r="G554" i="15"/>
  <c r="F554" i="15"/>
  <c r="H555" i="15"/>
  <c r="G555" i="15"/>
  <c r="F555" i="15"/>
  <c r="H556" i="15"/>
  <c r="G556" i="15"/>
  <c r="F556" i="15"/>
  <c r="H557" i="15"/>
  <c r="G557" i="15"/>
  <c r="F557" i="15"/>
  <c r="H558" i="15"/>
  <c r="G558" i="15"/>
  <c r="F558" i="15"/>
  <c r="H559" i="15"/>
  <c r="G559" i="15"/>
  <c r="F559" i="15"/>
  <c r="H560" i="15"/>
  <c r="G560" i="15"/>
  <c r="F560" i="15"/>
  <c r="H561" i="15"/>
  <c r="G561" i="15"/>
  <c r="F561" i="15"/>
  <c r="H562" i="15"/>
  <c r="G562" i="15"/>
  <c r="F562" i="15"/>
  <c r="H563" i="15"/>
  <c r="G563" i="15"/>
  <c r="F563" i="15"/>
  <c r="H564" i="15"/>
  <c r="G564" i="15"/>
  <c r="F564" i="15"/>
  <c r="H565" i="15"/>
  <c r="G565" i="15"/>
  <c r="F565" i="15"/>
  <c r="H566" i="15"/>
  <c r="G566" i="15"/>
  <c r="F566" i="15"/>
  <c r="H567" i="15"/>
  <c r="G567" i="15"/>
  <c r="F567" i="15"/>
  <c r="H568" i="15"/>
  <c r="G568" i="15"/>
  <c r="F568" i="15"/>
  <c r="H569" i="15"/>
  <c r="G569" i="15"/>
  <c r="F569" i="15"/>
  <c r="H570" i="15"/>
  <c r="G570" i="15"/>
  <c r="F570" i="15"/>
  <c r="H571" i="15"/>
  <c r="G571" i="15"/>
  <c r="F571" i="15"/>
  <c r="H572" i="15"/>
  <c r="G572" i="15"/>
  <c r="F572" i="15"/>
  <c r="H573" i="15"/>
  <c r="G573" i="15"/>
  <c r="F573" i="15"/>
  <c r="H574" i="15"/>
  <c r="G574" i="15"/>
  <c r="F574" i="15"/>
  <c r="H575" i="15"/>
  <c r="G575" i="15"/>
  <c r="F575" i="15"/>
  <c r="H576" i="15"/>
  <c r="G576" i="15"/>
  <c r="F576" i="15"/>
  <c r="H577" i="15"/>
  <c r="G577" i="15"/>
  <c r="F577" i="15"/>
  <c r="H578" i="15"/>
  <c r="G578" i="15"/>
  <c r="F578" i="15"/>
  <c r="H579" i="15"/>
  <c r="G579" i="15"/>
  <c r="F579" i="15"/>
  <c r="H580" i="15"/>
  <c r="G580" i="15"/>
  <c r="F580" i="15"/>
  <c r="H581" i="15"/>
  <c r="G581" i="15"/>
  <c r="F581" i="15"/>
  <c r="H582" i="15"/>
  <c r="G582" i="15"/>
  <c r="F582" i="15"/>
  <c r="H583" i="15"/>
  <c r="G583" i="15"/>
  <c r="F583" i="15"/>
  <c r="H584" i="15"/>
  <c r="G584" i="15"/>
  <c r="F584" i="15"/>
  <c r="H585" i="15"/>
  <c r="G585" i="15"/>
  <c r="F585" i="15"/>
  <c r="H586" i="15"/>
  <c r="G586" i="15"/>
  <c r="F586" i="15"/>
  <c r="H587" i="15"/>
  <c r="G587" i="15"/>
  <c r="F587" i="15"/>
  <c r="H588" i="15"/>
  <c r="G588" i="15"/>
  <c r="F588" i="15"/>
  <c r="H589" i="15"/>
  <c r="G589" i="15"/>
  <c r="F589" i="15"/>
  <c r="H590" i="15"/>
  <c r="G590" i="15"/>
  <c r="F590" i="15"/>
  <c r="H591" i="15"/>
  <c r="G591" i="15"/>
  <c r="F591" i="15"/>
  <c r="H592" i="15"/>
  <c r="G592" i="15"/>
  <c r="F592" i="15"/>
  <c r="H593" i="15"/>
  <c r="G593" i="15"/>
  <c r="F593" i="15"/>
  <c r="H594" i="15"/>
  <c r="G594" i="15"/>
  <c r="F594" i="15"/>
  <c r="H595" i="15"/>
  <c r="G595" i="15"/>
  <c r="F595" i="15"/>
  <c r="H596" i="15"/>
  <c r="G596" i="15"/>
  <c r="F596" i="15"/>
  <c r="H597" i="15"/>
  <c r="G597" i="15"/>
  <c r="F597" i="15"/>
  <c r="H598" i="15"/>
  <c r="G598" i="15"/>
  <c r="F598" i="15"/>
  <c r="H599" i="15"/>
  <c r="G599" i="15"/>
  <c r="F599" i="15"/>
  <c r="H600" i="15"/>
  <c r="G600" i="15"/>
  <c r="F600" i="15"/>
  <c r="H601" i="15"/>
  <c r="G601" i="15"/>
  <c r="F601" i="15"/>
  <c r="H602" i="15"/>
  <c r="G602" i="15"/>
  <c r="F602" i="15"/>
  <c r="H603" i="15"/>
  <c r="G603" i="15"/>
  <c r="F603" i="15"/>
  <c r="H604" i="15"/>
  <c r="G604" i="15"/>
  <c r="F604" i="15"/>
  <c r="H605" i="15"/>
  <c r="G605" i="15"/>
  <c r="F605" i="15"/>
  <c r="H606" i="15"/>
  <c r="G606" i="15"/>
  <c r="F606" i="15"/>
  <c r="H607" i="15"/>
  <c r="G607" i="15"/>
  <c r="F607" i="15"/>
  <c r="H608" i="15"/>
  <c r="G608" i="15"/>
  <c r="F608" i="15"/>
  <c r="H609" i="15"/>
  <c r="G609" i="15"/>
  <c r="F609" i="15"/>
  <c r="H610" i="15"/>
  <c r="G610" i="15"/>
  <c r="F610" i="15"/>
  <c r="H611" i="15"/>
  <c r="G611" i="15"/>
  <c r="F611" i="15"/>
  <c r="H612" i="15"/>
  <c r="G612" i="15"/>
  <c r="F612" i="15"/>
  <c r="H613" i="15"/>
  <c r="G613" i="15"/>
  <c r="F613" i="15"/>
  <c r="H614" i="15"/>
  <c r="G614" i="15"/>
  <c r="F614" i="15"/>
  <c r="H615" i="15"/>
  <c r="G615" i="15"/>
  <c r="F615" i="15"/>
  <c r="H616" i="15"/>
  <c r="G616" i="15"/>
  <c r="F616" i="15"/>
  <c r="H617" i="15"/>
  <c r="G617" i="15"/>
  <c r="F617" i="15"/>
  <c r="H618" i="15"/>
  <c r="G618" i="15"/>
  <c r="F618" i="15"/>
  <c r="H619" i="15"/>
  <c r="G619" i="15"/>
  <c r="F619" i="15"/>
  <c r="H620" i="15"/>
  <c r="G620" i="15"/>
  <c r="F620" i="15"/>
  <c r="H621" i="15"/>
  <c r="G621" i="15"/>
  <c r="F621" i="15"/>
  <c r="H622" i="15"/>
  <c r="G622" i="15"/>
  <c r="F622" i="15"/>
  <c r="H623" i="15"/>
  <c r="G623" i="15"/>
  <c r="F623" i="15"/>
  <c r="H624" i="15"/>
  <c r="G624" i="15"/>
  <c r="F624" i="15"/>
  <c r="H625" i="15"/>
  <c r="G625" i="15"/>
  <c r="F625" i="15"/>
  <c r="H626" i="15"/>
  <c r="G626" i="15"/>
  <c r="F626" i="15"/>
  <c r="H627" i="15"/>
  <c r="G627" i="15"/>
  <c r="F627" i="15"/>
  <c r="H628" i="15"/>
  <c r="G628" i="15"/>
  <c r="F628" i="15"/>
  <c r="H629" i="15"/>
  <c r="G629" i="15"/>
  <c r="F629" i="15"/>
  <c r="H630" i="15"/>
  <c r="G630" i="15"/>
  <c r="F630" i="15"/>
  <c r="H631" i="15"/>
  <c r="G631" i="15"/>
  <c r="F631" i="15"/>
  <c r="H632" i="15"/>
  <c r="G632" i="15"/>
  <c r="F632" i="15"/>
  <c r="H633" i="15"/>
  <c r="G633" i="15"/>
  <c r="F633" i="15"/>
  <c r="H634" i="15"/>
  <c r="G634" i="15"/>
  <c r="F634" i="15"/>
  <c r="H635" i="15"/>
  <c r="G635" i="15"/>
  <c r="F635" i="15"/>
  <c r="H636" i="15"/>
  <c r="G636" i="15"/>
  <c r="F636" i="15"/>
  <c r="H637" i="15"/>
  <c r="G637" i="15"/>
  <c r="F637" i="15"/>
  <c r="H638" i="15"/>
  <c r="G638" i="15"/>
  <c r="F638" i="15"/>
  <c r="H639" i="15"/>
  <c r="G639" i="15"/>
  <c r="F639" i="15"/>
  <c r="H640" i="15"/>
  <c r="G640" i="15"/>
  <c r="F640" i="15"/>
  <c r="H641" i="15"/>
  <c r="G641" i="15"/>
  <c r="F641" i="15"/>
  <c r="H642" i="15"/>
  <c r="G642" i="15"/>
  <c r="F642" i="15"/>
  <c r="H643" i="15"/>
  <c r="G643" i="15"/>
  <c r="F643" i="15"/>
  <c r="H644" i="15"/>
  <c r="G644" i="15"/>
  <c r="F644" i="15"/>
  <c r="H645" i="15"/>
  <c r="G645" i="15"/>
  <c r="F645" i="15"/>
  <c r="H646" i="15"/>
  <c r="G646" i="15"/>
  <c r="F646" i="15"/>
  <c r="H647" i="15"/>
  <c r="G647" i="15"/>
  <c r="F647" i="15"/>
  <c r="H648" i="15"/>
  <c r="G648" i="15"/>
  <c r="F648" i="15"/>
  <c r="H649" i="15"/>
  <c r="G649" i="15"/>
  <c r="F649" i="15"/>
  <c r="H650" i="15"/>
  <c r="G650" i="15"/>
  <c r="F650" i="15"/>
  <c r="H651" i="15"/>
  <c r="G651" i="15"/>
  <c r="F651" i="15"/>
  <c r="H652" i="15"/>
  <c r="G652" i="15"/>
  <c r="F652" i="15"/>
  <c r="H653" i="15"/>
  <c r="G653" i="15"/>
  <c r="F653" i="15"/>
  <c r="H654" i="15"/>
  <c r="G654" i="15"/>
  <c r="F654" i="15"/>
  <c r="H655" i="15"/>
  <c r="G655" i="15"/>
  <c r="F655" i="15"/>
  <c r="H656" i="15"/>
  <c r="G656" i="15"/>
  <c r="F656" i="15"/>
  <c r="H657" i="15"/>
  <c r="G657" i="15"/>
  <c r="F657" i="15"/>
  <c r="H658" i="15"/>
  <c r="G658" i="15"/>
  <c r="F658" i="15"/>
  <c r="H659" i="15"/>
  <c r="G659" i="15"/>
  <c r="F659" i="15"/>
  <c r="H660" i="15"/>
  <c r="G660" i="15"/>
  <c r="F660" i="15"/>
  <c r="H661" i="15"/>
  <c r="G661" i="15"/>
  <c r="F661" i="15"/>
  <c r="H662" i="15"/>
  <c r="G662" i="15"/>
  <c r="F662" i="15"/>
  <c r="H663" i="15"/>
  <c r="G663" i="15"/>
  <c r="F663" i="15"/>
  <c r="H664" i="15"/>
  <c r="G664" i="15"/>
  <c r="F664" i="15"/>
  <c r="H665" i="15"/>
  <c r="G665" i="15"/>
  <c r="F665" i="15"/>
  <c r="H666" i="15"/>
  <c r="G666" i="15"/>
  <c r="F666" i="15"/>
  <c r="H667" i="15"/>
  <c r="G667" i="15"/>
  <c r="F667" i="15"/>
  <c r="H668" i="15"/>
  <c r="G668" i="15"/>
  <c r="F668" i="15"/>
  <c r="H669" i="15"/>
  <c r="G669" i="15"/>
  <c r="F669" i="15"/>
  <c r="H670" i="15"/>
  <c r="G670" i="15"/>
  <c r="F670" i="15"/>
  <c r="H671" i="15"/>
  <c r="G671" i="15"/>
  <c r="F671" i="15"/>
  <c r="H672" i="15"/>
  <c r="G672" i="15"/>
  <c r="F672" i="15"/>
  <c r="H673" i="15"/>
  <c r="G673" i="15"/>
  <c r="F673" i="15"/>
  <c r="H674" i="15"/>
  <c r="G674" i="15"/>
  <c r="F674" i="15"/>
  <c r="H675" i="15"/>
  <c r="G675" i="15"/>
  <c r="F675" i="15"/>
  <c r="H676" i="15"/>
  <c r="G676" i="15"/>
  <c r="F676" i="15"/>
  <c r="H677" i="15"/>
  <c r="G677" i="15"/>
  <c r="F677" i="15"/>
  <c r="H678" i="15"/>
  <c r="G678" i="15"/>
  <c r="F678" i="15"/>
  <c r="H679" i="15"/>
  <c r="G679" i="15"/>
  <c r="F679" i="15"/>
  <c r="H680" i="15"/>
  <c r="G680" i="15"/>
  <c r="F680" i="15"/>
  <c r="I1272" i="3"/>
  <c r="H7" i="3"/>
  <c r="G7" i="3"/>
  <c r="F7" i="3"/>
  <c r="H8" i="3"/>
  <c r="G8" i="3"/>
  <c r="F8" i="3"/>
  <c r="H9" i="3"/>
  <c r="G9" i="3"/>
  <c r="F9" i="3"/>
  <c r="H10" i="3"/>
  <c r="G10" i="3"/>
  <c r="F10" i="3"/>
  <c r="H11" i="3"/>
  <c r="G11" i="3"/>
  <c r="F11" i="3"/>
  <c r="H12" i="3"/>
  <c r="G12" i="3"/>
  <c r="F12" i="3"/>
  <c r="H13" i="3"/>
  <c r="G13" i="3"/>
  <c r="F13" i="3"/>
  <c r="H14" i="3"/>
  <c r="G14" i="3"/>
  <c r="F14" i="3"/>
  <c r="H15" i="3"/>
  <c r="G15" i="3"/>
  <c r="F15" i="3"/>
  <c r="H16" i="3"/>
  <c r="G16" i="3"/>
  <c r="F16" i="3"/>
  <c r="H17" i="3"/>
  <c r="G17" i="3"/>
  <c r="F17" i="3"/>
  <c r="H18" i="3"/>
  <c r="G18" i="3"/>
  <c r="F18" i="3"/>
  <c r="H19" i="3"/>
  <c r="G19" i="3"/>
  <c r="F19" i="3"/>
  <c r="H20" i="3"/>
  <c r="G20" i="3"/>
  <c r="F20" i="3"/>
  <c r="H21" i="3"/>
  <c r="G21" i="3"/>
  <c r="F21" i="3"/>
  <c r="H22" i="3"/>
  <c r="G22" i="3"/>
  <c r="F22" i="3"/>
  <c r="H23" i="3"/>
  <c r="G23" i="3"/>
  <c r="F23" i="3"/>
  <c r="H24" i="3"/>
  <c r="G24" i="3"/>
  <c r="F24" i="3"/>
  <c r="H25" i="3"/>
  <c r="G25" i="3"/>
  <c r="F25" i="3"/>
  <c r="H26" i="3"/>
  <c r="G26" i="3"/>
  <c r="F26" i="3"/>
  <c r="H27" i="3"/>
  <c r="G27" i="3"/>
  <c r="F27" i="3"/>
  <c r="H28" i="3"/>
  <c r="G28" i="3"/>
  <c r="F28" i="3"/>
  <c r="H29" i="3"/>
  <c r="G29" i="3"/>
  <c r="F29" i="3"/>
  <c r="H30" i="3"/>
  <c r="G30" i="3"/>
  <c r="F30" i="3"/>
  <c r="H31" i="3"/>
  <c r="G31" i="3"/>
  <c r="F31" i="3"/>
  <c r="H32" i="3"/>
  <c r="G32" i="3"/>
  <c r="F32" i="3"/>
  <c r="H33" i="3"/>
  <c r="G33" i="3"/>
  <c r="F33" i="3"/>
  <c r="H34" i="3"/>
  <c r="G34" i="3"/>
  <c r="F34" i="3"/>
  <c r="H35" i="3"/>
  <c r="G35" i="3"/>
  <c r="F35" i="3"/>
  <c r="H36" i="3"/>
  <c r="G36" i="3"/>
  <c r="F36" i="3"/>
  <c r="H37" i="3"/>
  <c r="G37" i="3"/>
  <c r="F37" i="3"/>
  <c r="H38" i="3"/>
  <c r="G38" i="3"/>
  <c r="F38" i="3"/>
  <c r="H39" i="3"/>
  <c r="G39" i="3"/>
  <c r="F39" i="3"/>
  <c r="H40" i="3"/>
  <c r="G40" i="3"/>
  <c r="F40" i="3"/>
  <c r="H41" i="3"/>
  <c r="G41" i="3"/>
  <c r="F41" i="3"/>
  <c r="H42" i="3"/>
  <c r="G42" i="3"/>
  <c r="F42" i="3"/>
  <c r="H43" i="3"/>
  <c r="G43" i="3"/>
  <c r="F43" i="3"/>
  <c r="H44" i="3"/>
  <c r="G44" i="3"/>
  <c r="F44" i="3"/>
  <c r="H45" i="3"/>
  <c r="G45" i="3"/>
  <c r="F45" i="3"/>
  <c r="H46" i="3"/>
  <c r="G46" i="3"/>
  <c r="F46" i="3"/>
  <c r="H47" i="3"/>
  <c r="G47" i="3"/>
  <c r="F47" i="3"/>
  <c r="H48" i="3"/>
  <c r="G48" i="3"/>
  <c r="F48" i="3"/>
  <c r="H49" i="3"/>
  <c r="G49" i="3"/>
  <c r="F49" i="3"/>
  <c r="H50" i="3"/>
  <c r="G50" i="3"/>
  <c r="F50" i="3"/>
  <c r="H51" i="3"/>
  <c r="G51" i="3"/>
  <c r="F51" i="3"/>
  <c r="H52" i="3"/>
  <c r="G52" i="3"/>
  <c r="F52" i="3"/>
  <c r="H53" i="3"/>
  <c r="G53" i="3"/>
  <c r="F53" i="3"/>
  <c r="H54" i="3"/>
  <c r="G54" i="3"/>
  <c r="F54" i="3"/>
  <c r="H55" i="3"/>
  <c r="G55" i="3"/>
  <c r="F55" i="3"/>
  <c r="H56" i="3"/>
  <c r="G56" i="3"/>
  <c r="F56" i="3"/>
  <c r="H57" i="3"/>
  <c r="G57" i="3"/>
  <c r="F57" i="3"/>
  <c r="H58" i="3"/>
  <c r="G58" i="3"/>
  <c r="F58" i="3"/>
  <c r="H59" i="3"/>
  <c r="G59" i="3"/>
  <c r="F59" i="3"/>
  <c r="H60" i="3"/>
  <c r="G60" i="3"/>
  <c r="F60" i="3"/>
  <c r="H61" i="3"/>
  <c r="G61" i="3"/>
  <c r="F61" i="3"/>
  <c r="H62" i="3"/>
  <c r="G62" i="3"/>
  <c r="F62" i="3"/>
  <c r="H63" i="3"/>
  <c r="G63" i="3"/>
  <c r="F63" i="3"/>
  <c r="H64" i="3"/>
  <c r="G64" i="3"/>
  <c r="F64" i="3"/>
  <c r="H65" i="3"/>
  <c r="G65" i="3"/>
  <c r="F65" i="3"/>
  <c r="H66" i="3"/>
  <c r="G66" i="3"/>
  <c r="F66" i="3"/>
  <c r="H67" i="3"/>
  <c r="G67" i="3"/>
  <c r="F67" i="3"/>
  <c r="H68" i="3"/>
  <c r="G68" i="3"/>
  <c r="F68" i="3"/>
  <c r="H69" i="3"/>
  <c r="G69" i="3"/>
  <c r="F69" i="3"/>
  <c r="H70" i="3"/>
  <c r="G70" i="3"/>
  <c r="F70" i="3"/>
  <c r="H71" i="3"/>
  <c r="G71" i="3"/>
  <c r="F71" i="3"/>
  <c r="H72" i="3"/>
  <c r="G72" i="3"/>
  <c r="F72" i="3"/>
  <c r="H73" i="3"/>
  <c r="G73" i="3"/>
  <c r="F73" i="3"/>
  <c r="H74" i="3"/>
  <c r="G74" i="3"/>
  <c r="F74" i="3"/>
  <c r="H75" i="3"/>
  <c r="G75" i="3"/>
  <c r="F75" i="3"/>
  <c r="H76" i="3"/>
  <c r="G76" i="3"/>
  <c r="F76" i="3"/>
  <c r="H77" i="3"/>
  <c r="G77" i="3"/>
  <c r="F77" i="3"/>
  <c r="H78" i="3"/>
  <c r="G78" i="3"/>
  <c r="F78" i="3"/>
  <c r="H79" i="3"/>
  <c r="G79" i="3"/>
  <c r="F79" i="3"/>
  <c r="H80" i="3"/>
  <c r="G80" i="3"/>
  <c r="F80" i="3"/>
  <c r="H81" i="3"/>
  <c r="G81" i="3"/>
  <c r="F81" i="3"/>
  <c r="H82" i="3"/>
  <c r="G82" i="3"/>
  <c r="F82" i="3"/>
  <c r="H83" i="3"/>
  <c r="G83" i="3"/>
  <c r="F83" i="3"/>
  <c r="H84" i="3"/>
  <c r="G84" i="3"/>
  <c r="F84" i="3"/>
  <c r="H85" i="3"/>
  <c r="G85" i="3"/>
  <c r="F85" i="3"/>
  <c r="H86" i="3"/>
  <c r="G86" i="3"/>
  <c r="F86" i="3"/>
  <c r="H87" i="3"/>
  <c r="G87" i="3"/>
  <c r="F87" i="3"/>
  <c r="H88" i="3"/>
  <c r="G88" i="3"/>
  <c r="F88" i="3"/>
  <c r="H89" i="3"/>
  <c r="G89" i="3"/>
  <c r="F89" i="3"/>
  <c r="H90" i="3"/>
  <c r="G90" i="3"/>
  <c r="F90" i="3"/>
  <c r="H91" i="3"/>
  <c r="G91" i="3"/>
  <c r="F91" i="3"/>
  <c r="H92" i="3"/>
  <c r="G92" i="3"/>
  <c r="F92" i="3"/>
  <c r="H93" i="3"/>
  <c r="G93" i="3"/>
  <c r="F93" i="3"/>
  <c r="H94" i="3"/>
  <c r="G94" i="3"/>
  <c r="F94" i="3"/>
  <c r="H95" i="3"/>
  <c r="G95" i="3"/>
  <c r="F95" i="3"/>
  <c r="H96" i="3"/>
  <c r="G96" i="3"/>
  <c r="F96" i="3"/>
  <c r="H97" i="3"/>
  <c r="G97" i="3"/>
  <c r="F97" i="3"/>
  <c r="H98" i="3"/>
  <c r="G98" i="3"/>
  <c r="F98" i="3"/>
  <c r="H99" i="3"/>
  <c r="G99" i="3"/>
  <c r="F99" i="3"/>
  <c r="H100" i="3"/>
  <c r="G100" i="3"/>
  <c r="F100" i="3"/>
  <c r="H101" i="3"/>
  <c r="G101" i="3"/>
  <c r="F101" i="3"/>
  <c r="H102" i="3"/>
  <c r="G102" i="3"/>
  <c r="F102" i="3"/>
  <c r="H103" i="3"/>
  <c r="G103" i="3"/>
  <c r="F103" i="3"/>
  <c r="H104" i="3"/>
  <c r="G104" i="3"/>
  <c r="F104" i="3"/>
  <c r="H105" i="3"/>
  <c r="G105" i="3"/>
  <c r="F105" i="3"/>
  <c r="H106" i="3"/>
  <c r="G106" i="3"/>
  <c r="F106" i="3"/>
  <c r="H107" i="3"/>
  <c r="G107" i="3"/>
  <c r="F107" i="3"/>
  <c r="H108" i="3"/>
  <c r="G108" i="3"/>
  <c r="F108" i="3"/>
  <c r="H109" i="3"/>
  <c r="G109" i="3"/>
  <c r="F109" i="3"/>
  <c r="H110" i="3"/>
  <c r="G110" i="3"/>
  <c r="F110" i="3"/>
  <c r="H111" i="3"/>
  <c r="G111" i="3"/>
  <c r="F111" i="3"/>
  <c r="H112" i="3"/>
  <c r="G112" i="3"/>
  <c r="F112" i="3"/>
  <c r="H113" i="3"/>
  <c r="G113" i="3"/>
  <c r="F113" i="3"/>
  <c r="H114" i="3"/>
  <c r="G114" i="3"/>
  <c r="F114" i="3"/>
  <c r="H115" i="3"/>
  <c r="G115" i="3"/>
  <c r="F115" i="3"/>
  <c r="H116" i="3"/>
  <c r="G116" i="3"/>
  <c r="F116" i="3"/>
  <c r="H117" i="3"/>
  <c r="G117" i="3"/>
  <c r="F117" i="3"/>
  <c r="H118" i="3"/>
  <c r="G118" i="3"/>
  <c r="F118" i="3"/>
  <c r="H119" i="3"/>
  <c r="G119" i="3"/>
  <c r="F119" i="3"/>
  <c r="H120" i="3"/>
  <c r="G120" i="3"/>
  <c r="F120" i="3"/>
  <c r="H121" i="3"/>
  <c r="G121" i="3"/>
  <c r="F121" i="3"/>
  <c r="H122" i="3"/>
  <c r="G122" i="3"/>
  <c r="F122" i="3"/>
  <c r="H123" i="3"/>
  <c r="G123" i="3"/>
  <c r="F123" i="3"/>
  <c r="H124" i="3"/>
  <c r="G124" i="3"/>
  <c r="F124" i="3"/>
  <c r="H125" i="3"/>
  <c r="G125" i="3"/>
  <c r="F125" i="3"/>
  <c r="H126" i="3"/>
  <c r="G126" i="3"/>
  <c r="F126" i="3"/>
  <c r="H127" i="3"/>
  <c r="G127" i="3"/>
  <c r="F127" i="3"/>
  <c r="H128" i="3"/>
  <c r="G128" i="3"/>
  <c r="F128" i="3"/>
  <c r="H129" i="3"/>
  <c r="G129" i="3"/>
  <c r="F129" i="3"/>
  <c r="H130" i="3"/>
  <c r="G130" i="3"/>
  <c r="F130" i="3"/>
  <c r="H131" i="3"/>
  <c r="G131" i="3"/>
  <c r="F131" i="3"/>
  <c r="H132" i="3"/>
  <c r="G132" i="3"/>
  <c r="F132" i="3"/>
  <c r="H133" i="3"/>
  <c r="G133" i="3"/>
  <c r="F133" i="3"/>
  <c r="H134" i="3"/>
  <c r="G134" i="3"/>
  <c r="F134" i="3"/>
  <c r="H135" i="3"/>
  <c r="G135" i="3"/>
  <c r="F135" i="3"/>
  <c r="H136" i="3"/>
  <c r="G136" i="3"/>
  <c r="F136" i="3"/>
  <c r="H137" i="3"/>
  <c r="G137" i="3"/>
  <c r="F137" i="3"/>
  <c r="H138" i="3"/>
  <c r="G138" i="3"/>
  <c r="F138" i="3"/>
  <c r="H139" i="3"/>
  <c r="G139" i="3"/>
  <c r="F139" i="3"/>
  <c r="H140" i="3"/>
  <c r="G140" i="3"/>
  <c r="F140" i="3"/>
  <c r="H141" i="3"/>
  <c r="G141" i="3"/>
  <c r="F141" i="3"/>
  <c r="H142" i="3"/>
  <c r="G142" i="3"/>
  <c r="F142" i="3"/>
  <c r="H143" i="3"/>
  <c r="G143" i="3"/>
  <c r="F143" i="3"/>
  <c r="H144" i="3"/>
  <c r="G144" i="3"/>
  <c r="F144" i="3"/>
  <c r="H145" i="3"/>
  <c r="G145" i="3"/>
  <c r="F145" i="3"/>
  <c r="H146" i="3"/>
  <c r="G146" i="3"/>
  <c r="F146" i="3"/>
  <c r="H147" i="3"/>
  <c r="G147" i="3"/>
  <c r="F147" i="3"/>
  <c r="H148" i="3"/>
  <c r="G148" i="3"/>
  <c r="F148" i="3"/>
  <c r="H149" i="3"/>
  <c r="G149" i="3"/>
  <c r="F149" i="3"/>
  <c r="H150" i="3"/>
  <c r="G150" i="3"/>
  <c r="F150" i="3"/>
  <c r="H151" i="3"/>
  <c r="G151" i="3"/>
  <c r="F151" i="3"/>
  <c r="H152" i="3"/>
  <c r="G152" i="3"/>
  <c r="F152" i="3"/>
  <c r="H153" i="3"/>
  <c r="G153" i="3"/>
  <c r="F153" i="3"/>
  <c r="H154" i="3"/>
  <c r="G154" i="3"/>
  <c r="F154" i="3"/>
  <c r="H155" i="3"/>
  <c r="G155" i="3"/>
  <c r="F155" i="3"/>
  <c r="H156" i="3"/>
  <c r="G156" i="3"/>
  <c r="F156" i="3"/>
  <c r="H157" i="3"/>
  <c r="G157" i="3"/>
  <c r="F157" i="3"/>
  <c r="H158" i="3"/>
  <c r="G158" i="3"/>
  <c r="F158" i="3"/>
  <c r="H159" i="3"/>
  <c r="G159" i="3"/>
  <c r="F159" i="3"/>
  <c r="H160" i="3"/>
  <c r="G160" i="3"/>
  <c r="F160" i="3"/>
  <c r="H161" i="3"/>
  <c r="G161" i="3"/>
  <c r="F161" i="3"/>
  <c r="H162" i="3"/>
  <c r="G162" i="3"/>
  <c r="F162" i="3"/>
  <c r="H163" i="3"/>
  <c r="G163" i="3"/>
  <c r="F163" i="3"/>
  <c r="H164" i="3"/>
  <c r="G164" i="3"/>
  <c r="F164" i="3"/>
  <c r="H165" i="3"/>
  <c r="G165" i="3"/>
  <c r="F165" i="3"/>
  <c r="H166" i="3"/>
  <c r="G166" i="3"/>
  <c r="F166" i="3"/>
  <c r="H167" i="3"/>
  <c r="G167" i="3"/>
  <c r="F167" i="3"/>
  <c r="H168" i="3"/>
  <c r="G168" i="3"/>
  <c r="F168" i="3"/>
  <c r="H169" i="3"/>
  <c r="G169" i="3"/>
  <c r="F169" i="3"/>
  <c r="H170" i="3"/>
  <c r="G170" i="3"/>
  <c r="F170" i="3"/>
  <c r="H171" i="3"/>
  <c r="G171" i="3"/>
  <c r="F171" i="3"/>
  <c r="H172" i="3"/>
  <c r="G172" i="3"/>
  <c r="F172" i="3"/>
  <c r="H173" i="3"/>
  <c r="G173" i="3"/>
  <c r="F173" i="3"/>
  <c r="H174" i="3"/>
  <c r="G174" i="3"/>
  <c r="F174" i="3"/>
  <c r="H175" i="3"/>
  <c r="G175" i="3"/>
  <c r="F175" i="3"/>
  <c r="H176" i="3"/>
  <c r="G176" i="3"/>
  <c r="F176" i="3"/>
  <c r="H177" i="3"/>
  <c r="G177" i="3"/>
  <c r="F177" i="3"/>
  <c r="H178" i="3"/>
  <c r="G178" i="3"/>
  <c r="F178" i="3"/>
  <c r="H179" i="3"/>
  <c r="G179" i="3"/>
  <c r="F179" i="3"/>
  <c r="H180" i="3"/>
  <c r="G180" i="3"/>
  <c r="F180" i="3"/>
  <c r="H181" i="3"/>
  <c r="G181" i="3"/>
  <c r="F181" i="3"/>
  <c r="H182" i="3"/>
  <c r="G182" i="3"/>
  <c r="F182" i="3"/>
  <c r="H183" i="3"/>
  <c r="G183" i="3"/>
  <c r="F183" i="3"/>
  <c r="H184" i="3"/>
  <c r="G184" i="3"/>
  <c r="F184" i="3"/>
  <c r="H185" i="3"/>
  <c r="G185" i="3"/>
  <c r="F185" i="3"/>
  <c r="H186" i="3"/>
  <c r="G186" i="3"/>
  <c r="F186" i="3"/>
  <c r="H187" i="3"/>
  <c r="G187" i="3"/>
  <c r="F187" i="3"/>
  <c r="H188" i="3"/>
  <c r="G188" i="3"/>
  <c r="F188" i="3"/>
  <c r="H189" i="3"/>
  <c r="G189" i="3"/>
  <c r="F189" i="3"/>
  <c r="H190" i="3"/>
  <c r="G190" i="3"/>
  <c r="F190" i="3"/>
  <c r="H191" i="3"/>
  <c r="G191" i="3"/>
  <c r="F191" i="3"/>
  <c r="H192" i="3"/>
  <c r="G192" i="3"/>
  <c r="F192" i="3"/>
  <c r="H193" i="3"/>
  <c r="G193" i="3"/>
  <c r="F193" i="3"/>
  <c r="H194" i="3"/>
  <c r="G194" i="3"/>
  <c r="F194" i="3"/>
  <c r="H195" i="3"/>
  <c r="G195" i="3"/>
  <c r="F195" i="3"/>
  <c r="H196" i="3"/>
  <c r="G196" i="3"/>
  <c r="F196" i="3"/>
  <c r="H197" i="3"/>
  <c r="G197" i="3"/>
  <c r="F197" i="3"/>
  <c r="H198" i="3"/>
  <c r="G198" i="3"/>
  <c r="F198" i="3"/>
  <c r="H199" i="3"/>
  <c r="G199" i="3"/>
  <c r="F199" i="3"/>
  <c r="H200" i="3"/>
  <c r="G200" i="3"/>
  <c r="F200" i="3"/>
  <c r="H201" i="3"/>
  <c r="G201" i="3"/>
  <c r="F201" i="3"/>
  <c r="H202" i="3"/>
  <c r="G202" i="3"/>
  <c r="F202" i="3"/>
  <c r="H203" i="3"/>
  <c r="G203" i="3"/>
  <c r="F203" i="3"/>
  <c r="H204" i="3"/>
  <c r="G204" i="3"/>
  <c r="F204" i="3"/>
  <c r="H205" i="3"/>
  <c r="G205" i="3"/>
  <c r="F205" i="3"/>
  <c r="H206" i="3"/>
  <c r="G206" i="3"/>
  <c r="F206" i="3"/>
  <c r="H207" i="3"/>
  <c r="G207" i="3"/>
  <c r="F207" i="3"/>
  <c r="H208" i="3"/>
  <c r="G208" i="3"/>
  <c r="F208" i="3"/>
  <c r="H209" i="3"/>
  <c r="G209" i="3"/>
  <c r="F209" i="3"/>
  <c r="H210" i="3"/>
  <c r="G210" i="3"/>
  <c r="F210" i="3"/>
  <c r="H211" i="3"/>
  <c r="G211" i="3"/>
  <c r="F211" i="3"/>
  <c r="H212" i="3"/>
  <c r="G212" i="3"/>
  <c r="F212" i="3"/>
  <c r="H213" i="3"/>
  <c r="G213" i="3"/>
  <c r="F213" i="3"/>
  <c r="H214" i="3"/>
  <c r="G214" i="3"/>
  <c r="F214" i="3"/>
  <c r="H215" i="3"/>
  <c r="G215" i="3"/>
  <c r="F215" i="3"/>
  <c r="H216" i="3"/>
  <c r="G216" i="3"/>
  <c r="F216" i="3"/>
  <c r="H217" i="3"/>
  <c r="G217" i="3"/>
  <c r="F217" i="3"/>
  <c r="H218" i="3"/>
  <c r="G218" i="3"/>
  <c r="F218" i="3"/>
  <c r="H219" i="3"/>
  <c r="G219" i="3"/>
  <c r="F219" i="3"/>
  <c r="H220" i="3"/>
  <c r="G220" i="3"/>
  <c r="F220" i="3"/>
  <c r="H221" i="3"/>
  <c r="G221" i="3"/>
  <c r="F221" i="3"/>
  <c r="H222" i="3"/>
  <c r="G222" i="3"/>
  <c r="F222" i="3"/>
  <c r="H223" i="3"/>
  <c r="G223" i="3"/>
  <c r="F223" i="3"/>
  <c r="H224" i="3"/>
  <c r="G224" i="3"/>
  <c r="F224" i="3"/>
  <c r="H225" i="3"/>
  <c r="G225" i="3"/>
  <c r="F225" i="3"/>
  <c r="H226" i="3"/>
  <c r="G226" i="3"/>
  <c r="F226" i="3"/>
  <c r="H227" i="3"/>
  <c r="G227" i="3"/>
  <c r="F227" i="3"/>
  <c r="H228" i="3"/>
  <c r="G228" i="3"/>
  <c r="F228" i="3"/>
  <c r="H229" i="3"/>
  <c r="G229" i="3"/>
  <c r="F229" i="3"/>
  <c r="H230" i="3"/>
  <c r="G230" i="3"/>
  <c r="F230" i="3"/>
  <c r="H231" i="3"/>
  <c r="G231" i="3"/>
  <c r="F231" i="3"/>
  <c r="H232" i="3"/>
  <c r="G232" i="3"/>
  <c r="F232" i="3"/>
  <c r="H233" i="3"/>
  <c r="G233" i="3"/>
  <c r="F233" i="3"/>
  <c r="H234" i="3"/>
  <c r="G234" i="3"/>
  <c r="F234" i="3"/>
  <c r="H235" i="3"/>
  <c r="G235" i="3"/>
  <c r="F235" i="3"/>
  <c r="H236" i="3"/>
  <c r="G236" i="3"/>
  <c r="F236" i="3"/>
  <c r="H237" i="3"/>
  <c r="G237" i="3"/>
  <c r="F237" i="3"/>
  <c r="H238" i="3"/>
  <c r="G238" i="3"/>
  <c r="F238" i="3"/>
  <c r="H239" i="3"/>
  <c r="G239" i="3"/>
  <c r="F239" i="3"/>
  <c r="H240" i="3"/>
  <c r="G240" i="3"/>
  <c r="F240" i="3"/>
  <c r="H241" i="3"/>
  <c r="G241" i="3"/>
  <c r="F241" i="3"/>
  <c r="H242" i="3"/>
  <c r="G242" i="3"/>
  <c r="F242" i="3"/>
  <c r="H243" i="3"/>
  <c r="G243" i="3"/>
  <c r="F243" i="3"/>
  <c r="H244" i="3"/>
  <c r="G244" i="3"/>
  <c r="F244" i="3"/>
  <c r="H245" i="3"/>
  <c r="G245" i="3"/>
  <c r="F245" i="3"/>
  <c r="H246" i="3"/>
  <c r="G246" i="3"/>
  <c r="F246" i="3"/>
  <c r="H247" i="3"/>
  <c r="G247" i="3"/>
  <c r="F247" i="3"/>
  <c r="H248" i="3"/>
  <c r="G248" i="3"/>
  <c r="F248" i="3"/>
  <c r="H249" i="3"/>
  <c r="G249" i="3"/>
  <c r="F249" i="3"/>
  <c r="H250" i="3"/>
  <c r="G250" i="3"/>
  <c r="F250" i="3"/>
  <c r="H251" i="3"/>
  <c r="G251" i="3"/>
  <c r="F251" i="3"/>
  <c r="H252" i="3"/>
  <c r="G252" i="3"/>
  <c r="F252" i="3"/>
  <c r="H253" i="3"/>
  <c r="G253" i="3"/>
  <c r="F253" i="3"/>
  <c r="H254" i="3"/>
  <c r="G254" i="3"/>
  <c r="F254" i="3"/>
  <c r="H255" i="3"/>
  <c r="G255" i="3"/>
  <c r="F255" i="3"/>
  <c r="H256" i="3"/>
  <c r="G256" i="3"/>
  <c r="F256" i="3"/>
  <c r="H257" i="3"/>
  <c r="G257" i="3"/>
  <c r="F257" i="3"/>
  <c r="H258" i="3"/>
  <c r="G258" i="3"/>
  <c r="F258" i="3"/>
  <c r="H259" i="3"/>
  <c r="G259" i="3"/>
  <c r="F259" i="3"/>
  <c r="H260" i="3"/>
  <c r="G260" i="3"/>
  <c r="F260" i="3"/>
  <c r="H261" i="3"/>
  <c r="G261" i="3"/>
  <c r="F261" i="3"/>
  <c r="H262" i="3"/>
  <c r="G262" i="3"/>
  <c r="F262" i="3"/>
  <c r="H263" i="3"/>
  <c r="G263" i="3"/>
  <c r="F263" i="3"/>
  <c r="H264" i="3"/>
  <c r="G264" i="3"/>
  <c r="F264" i="3"/>
  <c r="H265" i="3"/>
  <c r="G265" i="3"/>
  <c r="F265" i="3"/>
  <c r="H266" i="3"/>
  <c r="G266" i="3"/>
  <c r="F266" i="3"/>
  <c r="H267" i="3"/>
  <c r="G267" i="3"/>
  <c r="F267" i="3"/>
  <c r="H268" i="3"/>
  <c r="G268" i="3"/>
  <c r="F268" i="3"/>
  <c r="H269" i="3"/>
  <c r="G269" i="3"/>
  <c r="F269" i="3"/>
  <c r="H270" i="3"/>
  <c r="G270" i="3"/>
  <c r="F270" i="3"/>
  <c r="H271" i="3"/>
  <c r="G271" i="3"/>
  <c r="F271" i="3"/>
  <c r="H272" i="3"/>
  <c r="G272" i="3"/>
  <c r="F272" i="3"/>
  <c r="H273" i="3"/>
  <c r="G273" i="3"/>
  <c r="F273" i="3"/>
  <c r="H274" i="3"/>
  <c r="G274" i="3"/>
  <c r="F274" i="3"/>
  <c r="H275" i="3"/>
  <c r="G275" i="3"/>
  <c r="F275" i="3"/>
  <c r="H276" i="3"/>
  <c r="G276" i="3"/>
  <c r="F276" i="3"/>
  <c r="H277" i="3"/>
  <c r="G277" i="3"/>
  <c r="F277" i="3"/>
  <c r="H278" i="3"/>
  <c r="G278" i="3"/>
  <c r="F278" i="3"/>
  <c r="H279" i="3"/>
  <c r="G279" i="3"/>
  <c r="F279" i="3"/>
  <c r="H280" i="3"/>
  <c r="G280" i="3"/>
  <c r="F280" i="3"/>
  <c r="H281" i="3"/>
  <c r="G281" i="3"/>
  <c r="F281" i="3"/>
  <c r="H282" i="3"/>
  <c r="G282" i="3"/>
  <c r="F282" i="3"/>
  <c r="H283" i="3"/>
  <c r="G283" i="3"/>
  <c r="F283" i="3"/>
  <c r="H284" i="3"/>
  <c r="G284" i="3"/>
  <c r="F284" i="3"/>
  <c r="H285" i="3"/>
  <c r="G285" i="3"/>
  <c r="F285" i="3"/>
  <c r="H286" i="3"/>
  <c r="G286" i="3"/>
  <c r="F286" i="3"/>
  <c r="H287" i="3"/>
  <c r="G287" i="3"/>
  <c r="F287" i="3"/>
  <c r="H288" i="3"/>
  <c r="G288" i="3"/>
  <c r="F288" i="3"/>
  <c r="H289" i="3"/>
  <c r="G289" i="3"/>
  <c r="F289" i="3"/>
  <c r="H290" i="3"/>
  <c r="G290" i="3"/>
  <c r="F290" i="3"/>
  <c r="H291" i="3"/>
  <c r="G291" i="3"/>
  <c r="F291" i="3"/>
  <c r="H292" i="3"/>
  <c r="G292" i="3"/>
  <c r="F292" i="3"/>
  <c r="H293" i="3"/>
  <c r="G293" i="3"/>
  <c r="F293" i="3"/>
  <c r="H294" i="3"/>
  <c r="G294" i="3"/>
  <c r="F294" i="3"/>
  <c r="H295" i="3"/>
  <c r="G295" i="3"/>
  <c r="F295" i="3"/>
  <c r="H296" i="3"/>
  <c r="G296" i="3"/>
  <c r="F296" i="3"/>
  <c r="H297" i="3"/>
  <c r="G297" i="3"/>
  <c r="F297" i="3"/>
  <c r="H298" i="3"/>
  <c r="G298" i="3"/>
  <c r="F298" i="3"/>
  <c r="H299" i="3"/>
  <c r="G299" i="3"/>
  <c r="F299" i="3"/>
  <c r="H300" i="3"/>
  <c r="G300" i="3"/>
  <c r="F300" i="3"/>
  <c r="H301" i="3"/>
  <c r="G301" i="3"/>
  <c r="F301" i="3"/>
  <c r="H302" i="3"/>
  <c r="G302" i="3"/>
  <c r="F302" i="3"/>
  <c r="H303" i="3"/>
  <c r="G303" i="3"/>
  <c r="F303" i="3"/>
  <c r="H304" i="3"/>
  <c r="G304" i="3"/>
  <c r="F304" i="3"/>
  <c r="H305" i="3"/>
  <c r="G305" i="3"/>
  <c r="F305" i="3"/>
  <c r="H306" i="3"/>
  <c r="G306" i="3"/>
  <c r="F306" i="3"/>
  <c r="H307" i="3"/>
  <c r="G307" i="3"/>
  <c r="F307" i="3"/>
  <c r="H308" i="3"/>
  <c r="G308" i="3"/>
  <c r="F308" i="3"/>
  <c r="H309" i="3"/>
  <c r="G309" i="3"/>
  <c r="F309" i="3"/>
  <c r="H310" i="3"/>
  <c r="G310" i="3"/>
  <c r="F310" i="3"/>
  <c r="H311" i="3"/>
  <c r="G311" i="3"/>
  <c r="F311" i="3"/>
  <c r="H312" i="3"/>
  <c r="G312" i="3"/>
  <c r="F312" i="3"/>
  <c r="H313" i="3"/>
  <c r="G313" i="3"/>
  <c r="F313" i="3"/>
  <c r="H314" i="3"/>
  <c r="G314" i="3"/>
  <c r="F314" i="3"/>
  <c r="H315" i="3"/>
  <c r="G315" i="3"/>
  <c r="F315" i="3"/>
  <c r="H316" i="3"/>
  <c r="G316" i="3"/>
  <c r="F316" i="3"/>
  <c r="H317" i="3"/>
  <c r="G317" i="3"/>
  <c r="F317" i="3"/>
  <c r="H318" i="3"/>
  <c r="G318" i="3"/>
  <c r="F318" i="3"/>
  <c r="H319" i="3"/>
  <c r="G319" i="3"/>
  <c r="F319" i="3"/>
  <c r="H320" i="3"/>
  <c r="G320" i="3"/>
  <c r="F320" i="3"/>
  <c r="H321" i="3"/>
  <c r="G321" i="3"/>
  <c r="F321" i="3"/>
  <c r="H322" i="3"/>
  <c r="G322" i="3"/>
  <c r="F322" i="3"/>
  <c r="H323" i="3"/>
  <c r="G323" i="3"/>
  <c r="F323" i="3"/>
  <c r="H324" i="3"/>
  <c r="G324" i="3"/>
  <c r="F324" i="3"/>
  <c r="H325" i="3"/>
  <c r="G325" i="3"/>
  <c r="F325" i="3"/>
  <c r="H326" i="3"/>
  <c r="G326" i="3"/>
  <c r="F326" i="3"/>
  <c r="H327" i="3"/>
  <c r="G327" i="3"/>
  <c r="F327" i="3"/>
  <c r="H328" i="3"/>
  <c r="G328" i="3"/>
  <c r="F328" i="3"/>
  <c r="H329" i="3"/>
  <c r="G329" i="3"/>
  <c r="F329" i="3"/>
  <c r="H330" i="3"/>
  <c r="G330" i="3"/>
  <c r="F330" i="3"/>
  <c r="H331" i="3"/>
  <c r="G331" i="3"/>
  <c r="F331" i="3"/>
  <c r="H332" i="3"/>
  <c r="G332" i="3"/>
  <c r="F332" i="3"/>
  <c r="H333" i="3"/>
  <c r="G333" i="3"/>
  <c r="F333" i="3"/>
  <c r="H334" i="3"/>
  <c r="G334" i="3"/>
  <c r="F334" i="3"/>
  <c r="H335" i="3"/>
  <c r="G335" i="3"/>
  <c r="F335" i="3"/>
  <c r="H336" i="3"/>
  <c r="G336" i="3"/>
  <c r="F336" i="3"/>
  <c r="H337" i="3"/>
  <c r="G337" i="3"/>
  <c r="F337" i="3"/>
  <c r="H338" i="3"/>
  <c r="G338" i="3"/>
  <c r="F338" i="3"/>
  <c r="H339" i="3"/>
  <c r="G339" i="3"/>
  <c r="F339" i="3"/>
  <c r="H340" i="3"/>
  <c r="G340" i="3"/>
  <c r="F340" i="3"/>
  <c r="H341" i="3"/>
  <c r="G341" i="3"/>
  <c r="F341" i="3"/>
  <c r="H342" i="3"/>
  <c r="G342" i="3"/>
  <c r="F342" i="3"/>
  <c r="H343" i="3"/>
  <c r="G343" i="3"/>
  <c r="F343" i="3"/>
  <c r="H344" i="3"/>
  <c r="G344" i="3"/>
  <c r="F344" i="3"/>
  <c r="H345" i="3"/>
  <c r="G345" i="3"/>
  <c r="F345" i="3"/>
  <c r="H346" i="3"/>
  <c r="G346" i="3"/>
  <c r="F346" i="3"/>
  <c r="H347" i="3"/>
  <c r="G347" i="3"/>
  <c r="F347" i="3"/>
  <c r="H348" i="3"/>
  <c r="G348" i="3"/>
  <c r="F348" i="3"/>
  <c r="H349" i="3"/>
  <c r="G349" i="3"/>
  <c r="F349" i="3"/>
  <c r="H350" i="3"/>
  <c r="G350" i="3"/>
  <c r="F350" i="3"/>
  <c r="H351" i="3"/>
  <c r="G351" i="3"/>
  <c r="F351" i="3"/>
  <c r="H352" i="3"/>
  <c r="G352" i="3"/>
  <c r="F352" i="3"/>
  <c r="H353" i="3"/>
  <c r="G353" i="3"/>
  <c r="F353" i="3"/>
  <c r="H354" i="3"/>
  <c r="G354" i="3"/>
  <c r="F354" i="3"/>
  <c r="H355" i="3"/>
  <c r="G355" i="3"/>
  <c r="F355" i="3"/>
  <c r="H356" i="3"/>
  <c r="G356" i="3"/>
  <c r="F356" i="3"/>
  <c r="H357" i="3"/>
  <c r="G357" i="3"/>
  <c r="F357" i="3"/>
  <c r="H358" i="3"/>
  <c r="G358" i="3"/>
  <c r="F358" i="3"/>
  <c r="H359" i="3"/>
  <c r="G359" i="3"/>
  <c r="F359" i="3"/>
  <c r="H360" i="3"/>
  <c r="G360" i="3"/>
  <c r="F360" i="3"/>
  <c r="H361" i="3"/>
  <c r="G361" i="3"/>
  <c r="F361" i="3"/>
  <c r="H362" i="3"/>
  <c r="G362" i="3"/>
  <c r="F362" i="3"/>
  <c r="H363" i="3"/>
  <c r="G363" i="3"/>
  <c r="F363" i="3"/>
  <c r="H364" i="3"/>
  <c r="G364" i="3"/>
  <c r="F364" i="3"/>
  <c r="H365" i="3"/>
  <c r="G365" i="3"/>
  <c r="F365" i="3"/>
  <c r="H366" i="3"/>
  <c r="G366" i="3"/>
  <c r="F366" i="3"/>
  <c r="H367" i="3"/>
  <c r="G367" i="3"/>
  <c r="F367" i="3"/>
  <c r="H368" i="3"/>
  <c r="G368" i="3"/>
  <c r="F368" i="3"/>
  <c r="H369" i="3"/>
  <c r="G369" i="3"/>
  <c r="F369" i="3"/>
  <c r="H370" i="3"/>
  <c r="G370" i="3"/>
  <c r="F370" i="3"/>
  <c r="H371" i="3"/>
  <c r="G371" i="3"/>
  <c r="F371" i="3"/>
  <c r="H372" i="3"/>
  <c r="G372" i="3"/>
  <c r="F372" i="3"/>
  <c r="H373" i="3"/>
  <c r="G373" i="3"/>
  <c r="F373" i="3"/>
  <c r="H374" i="3"/>
  <c r="G374" i="3"/>
  <c r="F374" i="3"/>
  <c r="H375" i="3"/>
  <c r="G375" i="3"/>
  <c r="F375" i="3"/>
  <c r="H376" i="3"/>
  <c r="G376" i="3"/>
  <c r="F376" i="3"/>
  <c r="H377" i="3"/>
  <c r="G377" i="3"/>
  <c r="F377" i="3"/>
  <c r="H378" i="3"/>
  <c r="G378" i="3"/>
  <c r="F378" i="3"/>
  <c r="H379" i="3"/>
  <c r="G379" i="3"/>
  <c r="F379" i="3"/>
  <c r="H380" i="3"/>
  <c r="G380" i="3"/>
  <c r="F380" i="3"/>
  <c r="H381" i="3"/>
  <c r="G381" i="3"/>
  <c r="F381" i="3"/>
  <c r="H382" i="3"/>
  <c r="G382" i="3"/>
  <c r="F382" i="3"/>
  <c r="H383" i="3"/>
  <c r="G383" i="3"/>
  <c r="F383" i="3"/>
  <c r="H384" i="3"/>
  <c r="G384" i="3"/>
  <c r="F384" i="3"/>
  <c r="H385" i="3"/>
  <c r="G385" i="3"/>
  <c r="F385" i="3"/>
  <c r="H386" i="3"/>
  <c r="G386" i="3"/>
  <c r="F386" i="3"/>
  <c r="H387" i="3"/>
  <c r="G387" i="3"/>
  <c r="F387" i="3"/>
  <c r="H388" i="3"/>
  <c r="G388" i="3"/>
  <c r="F388" i="3"/>
  <c r="H389" i="3"/>
  <c r="G389" i="3"/>
  <c r="F389" i="3"/>
  <c r="H390" i="3"/>
  <c r="G390" i="3"/>
  <c r="F390" i="3"/>
  <c r="H391" i="3"/>
  <c r="G391" i="3"/>
  <c r="F391" i="3"/>
  <c r="H392" i="3"/>
  <c r="G392" i="3"/>
  <c r="F392" i="3"/>
  <c r="H393" i="3"/>
  <c r="G393" i="3"/>
  <c r="F393" i="3"/>
  <c r="H394" i="3"/>
  <c r="G394" i="3"/>
  <c r="F394" i="3"/>
  <c r="H395" i="3"/>
  <c r="G395" i="3"/>
  <c r="F395" i="3"/>
  <c r="H396" i="3"/>
  <c r="G396" i="3"/>
  <c r="F396" i="3"/>
  <c r="H397" i="3"/>
  <c r="G397" i="3"/>
  <c r="F397" i="3"/>
  <c r="H398" i="3"/>
  <c r="G398" i="3"/>
  <c r="F398" i="3"/>
  <c r="H399" i="3"/>
  <c r="G399" i="3"/>
  <c r="F399" i="3"/>
  <c r="H400" i="3"/>
  <c r="G400" i="3"/>
  <c r="F400" i="3"/>
  <c r="H401" i="3"/>
  <c r="G401" i="3"/>
  <c r="F401" i="3"/>
  <c r="H402" i="3"/>
  <c r="G402" i="3"/>
  <c r="F402" i="3"/>
  <c r="H403" i="3"/>
  <c r="G403" i="3"/>
  <c r="F403" i="3"/>
  <c r="H404" i="3"/>
  <c r="G404" i="3"/>
  <c r="F404" i="3"/>
  <c r="H405" i="3"/>
  <c r="G405" i="3"/>
  <c r="F405" i="3"/>
  <c r="H406" i="3"/>
  <c r="G406" i="3"/>
  <c r="F406" i="3"/>
  <c r="H407" i="3"/>
  <c r="G407" i="3"/>
  <c r="F407" i="3"/>
  <c r="H408" i="3"/>
  <c r="G408" i="3"/>
  <c r="F408" i="3"/>
  <c r="H409" i="3"/>
  <c r="G409" i="3"/>
  <c r="F409" i="3"/>
  <c r="H410" i="3"/>
  <c r="G410" i="3"/>
  <c r="F410" i="3"/>
  <c r="H411" i="3"/>
  <c r="G411" i="3"/>
  <c r="F411" i="3"/>
  <c r="H412" i="3"/>
  <c r="G412" i="3"/>
  <c r="F412" i="3"/>
  <c r="H413" i="3"/>
  <c r="G413" i="3"/>
  <c r="F413" i="3"/>
  <c r="H414" i="3"/>
  <c r="G414" i="3"/>
  <c r="F414" i="3"/>
  <c r="H415" i="3"/>
  <c r="G415" i="3"/>
  <c r="F415" i="3"/>
  <c r="H416" i="3"/>
  <c r="G416" i="3"/>
  <c r="F416" i="3"/>
  <c r="H417" i="3"/>
  <c r="G417" i="3"/>
  <c r="F417" i="3"/>
  <c r="H418" i="3"/>
  <c r="G418" i="3"/>
  <c r="F418" i="3"/>
  <c r="H419" i="3"/>
  <c r="G419" i="3"/>
  <c r="F419" i="3"/>
  <c r="H420" i="3"/>
  <c r="G420" i="3"/>
  <c r="F420" i="3"/>
  <c r="H421" i="3"/>
  <c r="G421" i="3"/>
  <c r="F421" i="3"/>
  <c r="H422" i="3"/>
  <c r="G422" i="3"/>
  <c r="F422" i="3"/>
  <c r="H423" i="3"/>
  <c r="G423" i="3"/>
  <c r="F423" i="3"/>
  <c r="H424" i="3"/>
  <c r="G424" i="3"/>
  <c r="F424" i="3"/>
  <c r="H425" i="3"/>
  <c r="G425" i="3"/>
  <c r="F425" i="3"/>
  <c r="H426" i="3"/>
  <c r="G426" i="3"/>
  <c r="F426" i="3"/>
  <c r="H427" i="3"/>
  <c r="G427" i="3"/>
  <c r="F427" i="3"/>
  <c r="H428" i="3"/>
  <c r="G428" i="3"/>
  <c r="F428" i="3"/>
  <c r="H429" i="3"/>
  <c r="G429" i="3"/>
  <c r="F429" i="3"/>
  <c r="H430" i="3"/>
  <c r="G430" i="3"/>
  <c r="F430" i="3"/>
  <c r="H431" i="3"/>
  <c r="G431" i="3"/>
  <c r="F431" i="3"/>
  <c r="H432" i="3"/>
  <c r="G432" i="3"/>
  <c r="F432" i="3"/>
  <c r="H433" i="3"/>
  <c r="G433" i="3"/>
  <c r="F433" i="3"/>
  <c r="H434" i="3"/>
  <c r="G434" i="3"/>
  <c r="F434" i="3"/>
  <c r="H435" i="3"/>
  <c r="G435" i="3"/>
  <c r="F435" i="3"/>
  <c r="H436" i="3"/>
  <c r="G436" i="3"/>
  <c r="F436" i="3"/>
  <c r="H437" i="3"/>
  <c r="G437" i="3"/>
  <c r="F437" i="3"/>
  <c r="H438" i="3"/>
  <c r="G438" i="3"/>
  <c r="F438" i="3"/>
  <c r="H439" i="3"/>
  <c r="G439" i="3"/>
  <c r="F439" i="3"/>
  <c r="H440" i="3"/>
  <c r="G440" i="3"/>
  <c r="F440" i="3"/>
  <c r="H441" i="3"/>
  <c r="G441" i="3"/>
  <c r="F441" i="3"/>
  <c r="H442" i="3"/>
  <c r="G442" i="3"/>
  <c r="F442" i="3"/>
  <c r="H443" i="3"/>
  <c r="G443" i="3"/>
  <c r="F443" i="3"/>
  <c r="H444" i="3"/>
  <c r="G444" i="3"/>
  <c r="F444" i="3"/>
  <c r="H445" i="3"/>
  <c r="G445" i="3"/>
  <c r="F445" i="3"/>
  <c r="H446" i="3"/>
  <c r="G446" i="3"/>
  <c r="F446" i="3"/>
  <c r="H447" i="3"/>
  <c r="G447" i="3"/>
  <c r="F447" i="3"/>
  <c r="H448" i="3"/>
  <c r="G448" i="3"/>
  <c r="F448" i="3"/>
  <c r="H449" i="3"/>
  <c r="G449" i="3"/>
  <c r="F449" i="3"/>
  <c r="H450" i="3"/>
  <c r="G450" i="3"/>
  <c r="F450" i="3"/>
  <c r="H451" i="3"/>
  <c r="G451" i="3"/>
  <c r="F451" i="3"/>
  <c r="H452" i="3"/>
  <c r="G452" i="3"/>
  <c r="F452" i="3"/>
  <c r="H453" i="3"/>
  <c r="G453" i="3"/>
  <c r="F453" i="3"/>
  <c r="H454" i="3"/>
  <c r="G454" i="3"/>
  <c r="F454" i="3"/>
  <c r="H455" i="3"/>
  <c r="G455" i="3"/>
  <c r="F455" i="3"/>
  <c r="H456" i="3"/>
  <c r="G456" i="3"/>
  <c r="F456" i="3"/>
  <c r="H457" i="3"/>
  <c r="G457" i="3"/>
  <c r="F457" i="3"/>
  <c r="H458" i="3"/>
  <c r="G458" i="3"/>
  <c r="F458" i="3"/>
  <c r="H459" i="3"/>
  <c r="G459" i="3"/>
  <c r="F459" i="3"/>
  <c r="H460" i="3"/>
  <c r="G460" i="3"/>
  <c r="F460" i="3"/>
  <c r="H461" i="3"/>
  <c r="G461" i="3"/>
  <c r="F461" i="3"/>
  <c r="H462" i="3"/>
  <c r="G462" i="3"/>
  <c r="F462" i="3"/>
  <c r="H463" i="3"/>
  <c r="G463" i="3"/>
  <c r="F463" i="3"/>
  <c r="H464" i="3"/>
  <c r="G464" i="3"/>
  <c r="F464" i="3"/>
  <c r="H465" i="3"/>
  <c r="G465" i="3"/>
  <c r="F465" i="3"/>
  <c r="H466" i="3"/>
  <c r="G466" i="3"/>
  <c r="F466" i="3"/>
  <c r="H467" i="3"/>
  <c r="G467" i="3"/>
  <c r="F467" i="3"/>
  <c r="H468" i="3"/>
  <c r="G468" i="3"/>
  <c r="F468" i="3"/>
  <c r="H469" i="3"/>
  <c r="G469" i="3"/>
  <c r="F469" i="3"/>
  <c r="H470" i="3"/>
  <c r="G470" i="3"/>
  <c r="F470" i="3"/>
  <c r="H471" i="3"/>
  <c r="G471" i="3"/>
  <c r="F471" i="3"/>
  <c r="H472" i="3"/>
  <c r="G472" i="3"/>
  <c r="F472" i="3"/>
  <c r="H473" i="3"/>
  <c r="G473" i="3"/>
  <c r="F473" i="3"/>
  <c r="H474" i="3"/>
  <c r="G474" i="3"/>
  <c r="F474" i="3"/>
  <c r="H475" i="3"/>
  <c r="G475" i="3"/>
  <c r="F475" i="3"/>
  <c r="H476" i="3"/>
  <c r="G476" i="3"/>
  <c r="F476" i="3"/>
  <c r="H477" i="3"/>
  <c r="G477" i="3"/>
  <c r="F477" i="3"/>
  <c r="H478" i="3"/>
  <c r="G478" i="3"/>
  <c r="F478" i="3"/>
  <c r="H479" i="3"/>
  <c r="G479" i="3"/>
  <c r="F479" i="3"/>
  <c r="H480" i="3"/>
  <c r="G480" i="3"/>
  <c r="F480" i="3"/>
  <c r="H481" i="3"/>
  <c r="G481" i="3"/>
  <c r="F481" i="3"/>
  <c r="H482" i="3"/>
  <c r="G482" i="3"/>
  <c r="F482" i="3"/>
  <c r="H483" i="3"/>
  <c r="G483" i="3"/>
  <c r="F483" i="3"/>
  <c r="H484" i="3"/>
  <c r="G484" i="3"/>
  <c r="F484" i="3"/>
  <c r="H485" i="3"/>
  <c r="G485" i="3"/>
  <c r="F485" i="3"/>
  <c r="H486" i="3"/>
  <c r="G486" i="3"/>
  <c r="F486" i="3"/>
  <c r="H487" i="3"/>
  <c r="G487" i="3"/>
  <c r="F487" i="3"/>
  <c r="H488" i="3"/>
  <c r="G488" i="3"/>
  <c r="F488" i="3"/>
  <c r="H489" i="3"/>
  <c r="G489" i="3"/>
  <c r="F489" i="3"/>
  <c r="H490" i="3"/>
  <c r="G490" i="3"/>
  <c r="F490" i="3"/>
  <c r="H491" i="3"/>
  <c r="G491" i="3"/>
  <c r="F491" i="3"/>
  <c r="H492" i="3"/>
  <c r="G492" i="3"/>
  <c r="F492" i="3"/>
  <c r="H493" i="3"/>
  <c r="G493" i="3"/>
  <c r="F493" i="3"/>
  <c r="H494" i="3"/>
  <c r="G494" i="3"/>
  <c r="F494" i="3"/>
  <c r="H495" i="3"/>
  <c r="G495" i="3"/>
  <c r="F495" i="3"/>
  <c r="H496" i="3"/>
  <c r="G496" i="3"/>
  <c r="F496" i="3"/>
  <c r="H497" i="3"/>
  <c r="G497" i="3"/>
  <c r="F497" i="3"/>
  <c r="H498" i="3"/>
  <c r="G498" i="3"/>
  <c r="F498" i="3"/>
  <c r="H499" i="3"/>
  <c r="G499" i="3"/>
  <c r="F499" i="3"/>
  <c r="H500" i="3"/>
  <c r="G500" i="3"/>
  <c r="F500" i="3"/>
  <c r="H501" i="3"/>
  <c r="G501" i="3"/>
  <c r="F501" i="3"/>
  <c r="H502" i="3"/>
  <c r="G502" i="3"/>
  <c r="F502" i="3"/>
  <c r="H503" i="3"/>
  <c r="G503" i="3"/>
  <c r="F503" i="3"/>
  <c r="H504" i="3"/>
  <c r="G504" i="3"/>
  <c r="F504" i="3"/>
  <c r="H505" i="3"/>
  <c r="G505" i="3"/>
  <c r="F505" i="3"/>
  <c r="H506" i="3"/>
  <c r="G506" i="3"/>
  <c r="F506" i="3"/>
  <c r="H507" i="3"/>
  <c r="G507" i="3"/>
  <c r="F507" i="3"/>
  <c r="H508" i="3"/>
  <c r="G508" i="3"/>
  <c r="F508" i="3"/>
  <c r="H509" i="3"/>
  <c r="G509" i="3"/>
  <c r="F509" i="3"/>
  <c r="H510" i="3"/>
  <c r="G510" i="3"/>
  <c r="F510" i="3"/>
  <c r="H511" i="3"/>
  <c r="G511" i="3"/>
  <c r="F511" i="3"/>
  <c r="H512" i="3"/>
  <c r="G512" i="3"/>
  <c r="F512" i="3"/>
  <c r="H513" i="3"/>
  <c r="G513" i="3"/>
  <c r="F513" i="3"/>
  <c r="H514" i="3"/>
  <c r="G514" i="3"/>
  <c r="F514" i="3"/>
  <c r="H515" i="3"/>
  <c r="G515" i="3"/>
  <c r="F515" i="3"/>
  <c r="H516" i="3"/>
  <c r="G516" i="3"/>
  <c r="F516" i="3"/>
  <c r="H517" i="3"/>
  <c r="G517" i="3"/>
  <c r="F517" i="3"/>
  <c r="H518" i="3"/>
  <c r="G518" i="3"/>
  <c r="F518" i="3"/>
  <c r="H519" i="3"/>
  <c r="G519" i="3"/>
  <c r="F519" i="3"/>
  <c r="H520" i="3"/>
  <c r="G520" i="3"/>
  <c r="F520" i="3"/>
  <c r="H521" i="3"/>
  <c r="G521" i="3"/>
  <c r="F521" i="3"/>
  <c r="H522" i="3"/>
  <c r="G522" i="3"/>
  <c r="F522" i="3"/>
  <c r="H523" i="3"/>
  <c r="G523" i="3"/>
  <c r="F523" i="3"/>
  <c r="H524" i="3"/>
  <c r="G524" i="3"/>
  <c r="F524" i="3"/>
  <c r="H525" i="3"/>
  <c r="G525" i="3"/>
  <c r="F525" i="3"/>
  <c r="H526" i="3"/>
  <c r="G526" i="3"/>
  <c r="F526" i="3"/>
  <c r="H527" i="3"/>
  <c r="G527" i="3"/>
  <c r="F527" i="3"/>
  <c r="H528" i="3"/>
  <c r="G528" i="3"/>
  <c r="F528" i="3"/>
  <c r="H529" i="3"/>
  <c r="G529" i="3"/>
  <c r="F529" i="3"/>
  <c r="H530" i="3"/>
  <c r="G530" i="3"/>
  <c r="F530" i="3"/>
  <c r="H531" i="3"/>
  <c r="G531" i="3"/>
  <c r="F531" i="3"/>
  <c r="H532" i="3"/>
  <c r="G532" i="3"/>
  <c r="F532" i="3"/>
  <c r="H533" i="3"/>
  <c r="G533" i="3"/>
  <c r="F533" i="3"/>
  <c r="H534" i="3"/>
  <c r="G534" i="3"/>
  <c r="F534" i="3"/>
  <c r="H535" i="3"/>
  <c r="G535" i="3"/>
  <c r="F535" i="3"/>
  <c r="H536" i="3"/>
  <c r="G536" i="3"/>
  <c r="F536" i="3"/>
  <c r="H537" i="3"/>
  <c r="G537" i="3"/>
  <c r="F537" i="3"/>
  <c r="H538" i="3"/>
  <c r="G538" i="3"/>
  <c r="F538" i="3"/>
  <c r="H539" i="3"/>
  <c r="G539" i="3"/>
  <c r="F539" i="3"/>
  <c r="H540" i="3"/>
  <c r="G540" i="3"/>
  <c r="F540" i="3"/>
  <c r="H541" i="3"/>
  <c r="G541" i="3"/>
  <c r="F541" i="3"/>
  <c r="H542" i="3"/>
  <c r="G542" i="3"/>
  <c r="F542" i="3"/>
  <c r="H543" i="3"/>
  <c r="G543" i="3"/>
  <c r="F543" i="3"/>
  <c r="H544" i="3"/>
  <c r="G544" i="3"/>
  <c r="F544" i="3"/>
  <c r="H545" i="3"/>
  <c r="G545" i="3"/>
  <c r="F545" i="3"/>
  <c r="H546" i="3"/>
  <c r="G546" i="3"/>
  <c r="F546" i="3"/>
  <c r="H547" i="3"/>
  <c r="G547" i="3"/>
  <c r="F547" i="3"/>
  <c r="H548" i="3"/>
  <c r="G548" i="3"/>
  <c r="F548" i="3"/>
  <c r="H549" i="3"/>
  <c r="G549" i="3"/>
  <c r="F549" i="3"/>
  <c r="H550" i="3"/>
  <c r="G550" i="3"/>
  <c r="F550" i="3"/>
  <c r="H551" i="3"/>
  <c r="G551" i="3"/>
  <c r="F551" i="3"/>
  <c r="H552" i="3"/>
  <c r="G552" i="3"/>
  <c r="F552" i="3"/>
  <c r="H553" i="3"/>
  <c r="G553" i="3"/>
  <c r="F553" i="3"/>
  <c r="H554" i="3"/>
  <c r="G554" i="3"/>
  <c r="F554" i="3"/>
  <c r="H555" i="3"/>
  <c r="G555" i="3"/>
  <c r="F555" i="3"/>
  <c r="H556" i="3"/>
  <c r="G556" i="3"/>
  <c r="F556" i="3"/>
  <c r="H557" i="3"/>
  <c r="G557" i="3"/>
  <c r="F557" i="3"/>
  <c r="H558" i="3"/>
  <c r="G558" i="3"/>
  <c r="F558" i="3"/>
  <c r="H559" i="3"/>
  <c r="G559" i="3"/>
  <c r="F559" i="3"/>
  <c r="H560" i="3"/>
  <c r="G560" i="3"/>
  <c r="F560" i="3"/>
  <c r="H561" i="3"/>
  <c r="G561" i="3"/>
  <c r="F561" i="3"/>
  <c r="H562" i="3"/>
  <c r="G562" i="3"/>
  <c r="F562" i="3"/>
  <c r="H563" i="3"/>
  <c r="G563" i="3"/>
  <c r="F563" i="3"/>
  <c r="H564" i="3"/>
  <c r="G564" i="3"/>
  <c r="F564" i="3"/>
  <c r="H565" i="3"/>
  <c r="G565" i="3"/>
  <c r="F565" i="3"/>
  <c r="H566" i="3"/>
  <c r="G566" i="3"/>
  <c r="F566" i="3"/>
  <c r="H567" i="3"/>
  <c r="G567" i="3"/>
  <c r="F567" i="3"/>
  <c r="H568" i="3"/>
  <c r="G568" i="3"/>
  <c r="F568" i="3"/>
  <c r="H569" i="3"/>
  <c r="G569" i="3"/>
  <c r="F569" i="3"/>
  <c r="H570" i="3"/>
  <c r="G570" i="3"/>
  <c r="F570" i="3"/>
  <c r="H571" i="3"/>
  <c r="G571" i="3"/>
  <c r="F571" i="3"/>
  <c r="H572" i="3"/>
  <c r="G572" i="3"/>
  <c r="F572" i="3"/>
  <c r="H573" i="3"/>
  <c r="G573" i="3"/>
  <c r="F573" i="3"/>
  <c r="H574" i="3"/>
  <c r="G574" i="3"/>
  <c r="F574" i="3"/>
  <c r="H575" i="3"/>
  <c r="G575" i="3"/>
  <c r="F575" i="3"/>
  <c r="H576" i="3"/>
  <c r="G576" i="3"/>
  <c r="F576" i="3"/>
  <c r="H577" i="3"/>
  <c r="G577" i="3"/>
  <c r="F577" i="3"/>
  <c r="H578" i="3"/>
  <c r="G578" i="3"/>
  <c r="F578" i="3"/>
  <c r="H579" i="3"/>
  <c r="G579" i="3"/>
  <c r="F579" i="3"/>
  <c r="H580" i="3"/>
  <c r="G580" i="3"/>
  <c r="F580" i="3"/>
  <c r="H581" i="3"/>
  <c r="G581" i="3"/>
  <c r="F581" i="3"/>
  <c r="H582" i="3"/>
  <c r="G582" i="3"/>
  <c r="F582" i="3"/>
  <c r="H583" i="3"/>
  <c r="G583" i="3"/>
  <c r="F583" i="3"/>
  <c r="H584" i="3"/>
  <c r="G584" i="3"/>
  <c r="F584" i="3"/>
  <c r="H585" i="3"/>
  <c r="G585" i="3"/>
  <c r="F585" i="3"/>
  <c r="H586" i="3"/>
  <c r="G586" i="3"/>
  <c r="F586" i="3"/>
  <c r="H587" i="3"/>
  <c r="G587" i="3"/>
  <c r="F587" i="3"/>
  <c r="H588" i="3"/>
  <c r="G588" i="3"/>
  <c r="F588" i="3"/>
  <c r="H589" i="3"/>
  <c r="G589" i="3"/>
  <c r="F589" i="3"/>
  <c r="H590" i="3"/>
  <c r="G590" i="3"/>
  <c r="F590" i="3"/>
  <c r="H591" i="3"/>
  <c r="G591" i="3"/>
  <c r="F591" i="3"/>
  <c r="H592" i="3"/>
  <c r="G592" i="3"/>
  <c r="F592" i="3"/>
  <c r="H593" i="3"/>
  <c r="G593" i="3"/>
  <c r="F593" i="3"/>
  <c r="H594" i="3"/>
  <c r="G594" i="3"/>
  <c r="F594" i="3"/>
  <c r="H595" i="3"/>
  <c r="G595" i="3"/>
  <c r="F595" i="3"/>
  <c r="H596" i="3"/>
  <c r="G596" i="3"/>
  <c r="F596" i="3"/>
  <c r="H597" i="3"/>
  <c r="G597" i="3"/>
  <c r="F597" i="3"/>
  <c r="H598" i="3"/>
  <c r="G598" i="3"/>
  <c r="F598" i="3"/>
  <c r="H599" i="3"/>
  <c r="G599" i="3"/>
  <c r="F599" i="3"/>
  <c r="H600" i="3"/>
  <c r="G600" i="3"/>
  <c r="F600" i="3"/>
  <c r="H601" i="3"/>
  <c r="G601" i="3"/>
  <c r="F601" i="3"/>
  <c r="H602" i="3"/>
  <c r="G602" i="3"/>
  <c r="F602" i="3"/>
  <c r="H603" i="3"/>
  <c r="G603" i="3"/>
  <c r="F603" i="3"/>
  <c r="H604" i="3"/>
  <c r="G604" i="3"/>
  <c r="F604" i="3"/>
  <c r="H605" i="3"/>
  <c r="G605" i="3"/>
  <c r="F605" i="3"/>
  <c r="H606" i="3"/>
  <c r="G606" i="3"/>
  <c r="F606" i="3"/>
  <c r="H607" i="3"/>
  <c r="G607" i="3"/>
  <c r="F607" i="3"/>
  <c r="H608" i="3"/>
  <c r="G608" i="3"/>
  <c r="F608" i="3"/>
  <c r="H609" i="3"/>
  <c r="G609" i="3"/>
  <c r="F609" i="3"/>
  <c r="H610" i="3"/>
  <c r="G610" i="3"/>
  <c r="F610" i="3"/>
  <c r="H611" i="3"/>
  <c r="G611" i="3"/>
  <c r="F611" i="3"/>
  <c r="H612" i="3"/>
  <c r="G612" i="3"/>
  <c r="F612" i="3"/>
  <c r="H613" i="3"/>
  <c r="G613" i="3"/>
  <c r="F613" i="3"/>
  <c r="H614" i="3"/>
  <c r="G614" i="3"/>
  <c r="F614" i="3"/>
  <c r="H615" i="3"/>
  <c r="G615" i="3"/>
  <c r="F615" i="3"/>
  <c r="H616" i="3"/>
  <c r="G616" i="3"/>
  <c r="F616" i="3"/>
  <c r="H617" i="3"/>
  <c r="G617" i="3"/>
  <c r="F617" i="3"/>
  <c r="H618" i="3"/>
  <c r="G618" i="3"/>
  <c r="F618" i="3"/>
  <c r="H619" i="3"/>
  <c r="G619" i="3"/>
  <c r="F619" i="3"/>
  <c r="H620" i="3"/>
  <c r="G620" i="3"/>
  <c r="F620" i="3"/>
  <c r="H621" i="3"/>
  <c r="G621" i="3"/>
  <c r="F621" i="3"/>
  <c r="H622" i="3"/>
  <c r="G622" i="3"/>
  <c r="F622" i="3"/>
  <c r="H623" i="3"/>
  <c r="G623" i="3"/>
  <c r="F623" i="3"/>
  <c r="H624" i="3"/>
  <c r="G624" i="3"/>
  <c r="F624" i="3"/>
  <c r="H625" i="3"/>
  <c r="G625" i="3"/>
  <c r="F625" i="3"/>
  <c r="H626" i="3"/>
  <c r="G626" i="3"/>
  <c r="F626" i="3"/>
  <c r="H627" i="3"/>
  <c r="G627" i="3"/>
  <c r="F627" i="3"/>
  <c r="H628" i="3"/>
  <c r="G628" i="3"/>
  <c r="F628" i="3"/>
  <c r="H629" i="3"/>
  <c r="G629" i="3"/>
  <c r="F629" i="3"/>
  <c r="H630" i="3"/>
  <c r="G630" i="3"/>
  <c r="F630" i="3"/>
  <c r="H631" i="3"/>
  <c r="G631" i="3"/>
  <c r="F631" i="3"/>
  <c r="H632" i="3"/>
  <c r="G632" i="3"/>
  <c r="F632" i="3"/>
  <c r="H633" i="3"/>
  <c r="G633" i="3"/>
  <c r="F633" i="3"/>
  <c r="H634" i="3"/>
  <c r="G634" i="3"/>
  <c r="F634" i="3"/>
  <c r="H635" i="3"/>
  <c r="G635" i="3"/>
  <c r="F635" i="3"/>
  <c r="H636" i="3"/>
  <c r="G636" i="3"/>
  <c r="F636" i="3"/>
  <c r="H637" i="3"/>
  <c r="G637" i="3"/>
  <c r="F637" i="3"/>
  <c r="H638" i="3"/>
  <c r="G638" i="3"/>
  <c r="F638" i="3"/>
  <c r="H639" i="3"/>
  <c r="G639" i="3"/>
  <c r="F639" i="3"/>
  <c r="H640" i="3"/>
  <c r="G640" i="3"/>
  <c r="F640" i="3"/>
  <c r="H641" i="3"/>
  <c r="G641" i="3"/>
  <c r="F641" i="3"/>
  <c r="H642" i="3"/>
  <c r="G642" i="3"/>
  <c r="F642" i="3"/>
  <c r="H643" i="3"/>
  <c r="G643" i="3"/>
  <c r="F643" i="3"/>
  <c r="H644" i="3"/>
  <c r="G644" i="3"/>
  <c r="F644" i="3"/>
  <c r="H645" i="3"/>
  <c r="G645" i="3"/>
  <c r="F645" i="3"/>
  <c r="H646" i="3"/>
  <c r="G646" i="3"/>
  <c r="F646" i="3"/>
  <c r="H647" i="3"/>
  <c r="G647" i="3"/>
  <c r="F647" i="3"/>
  <c r="H648" i="3"/>
  <c r="G648" i="3"/>
  <c r="F648" i="3"/>
  <c r="H649" i="3"/>
  <c r="G649" i="3"/>
  <c r="F649" i="3"/>
  <c r="H650" i="3"/>
  <c r="G650" i="3"/>
  <c r="F650" i="3"/>
  <c r="H651" i="3"/>
  <c r="G651" i="3"/>
  <c r="F651" i="3"/>
  <c r="H652" i="3"/>
  <c r="G652" i="3"/>
  <c r="F652" i="3"/>
  <c r="H653" i="3"/>
  <c r="G653" i="3"/>
  <c r="F653" i="3"/>
  <c r="H654" i="3"/>
  <c r="G654" i="3"/>
  <c r="F654" i="3"/>
  <c r="H655" i="3"/>
  <c r="G655" i="3"/>
  <c r="F655" i="3"/>
  <c r="H656" i="3"/>
  <c r="G656" i="3"/>
  <c r="F656" i="3"/>
  <c r="H657" i="3"/>
  <c r="G657" i="3"/>
  <c r="F657" i="3"/>
  <c r="H658" i="3"/>
  <c r="G658" i="3"/>
  <c r="F658" i="3"/>
  <c r="H659" i="3"/>
  <c r="G659" i="3"/>
  <c r="F659" i="3"/>
  <c r="H660" i="3"/>
  <c r="G660" i="3"/>
  <c r="F660" i="3"/>
  <c r="H661" i="3"/>
  <c r="G661" i="3"/>
  <c r="F661" i="3"/>
  <c r="H662" i="3"/>
  <c r="G662" i="3"/>
  <c r="F662" i="3"/>
  <c r="H663" i="3"/>
  <c r="G663" i="3"/>
  <c r="F663" i="3"/>
  <c r="H664" i="3"/>
  <c r="G664" i="3"/>
  <c r="F664" i="3"/>
  <c r="H665" i="3"/>
  <c r="G665" i="3"/>
  <c r="F665" i="3"/>
  <c r="H666" i="3"/>
  <c r="G666" i="3"/>
  <c r="F666" i="3"/>
  <c r="H667" i="3"/>
  <c r="G667" i="3"/>
  <c r="F667" i="3"/>
  <c r="H668" i="3"/>
  <c r="G668" i="3"/>
  <c r="F668" i="3"/>
  <c r="H669" i="3"/>
  <c r="G669" i="3"/>
  <c r="F669" i="3"/>
  <c r="H670" i="3"/>
  <c r="G670" i="3"/>
  <c r="F670" i="3"/>
  <c r="M16" i="3"/>
  <c r="M20" i="3" s="1"/>
  <c r="H671" i="3"/>
  <c r="G671" i="3"/>
  <c r="F671" i="3"/>
  <c r="H672" i="3"/>
  <c r="G672" i="3"/>
  <c r="F672" i="3"/>
  <c r="H673" i="3"/>
  <c r="G673" i="3"/>
  <c r="F673" i="3"/>
  <c r="H674" i="3"/>
  <c r="G674" i="3"/>
  <c r="F674" i="3"/>
  <c r="H675" i="3"/>
  <c r="G675" i="3"/>
  <c r="F675" i="3"/>
  <c r="H676" i="3"/>
  <c r="G676" i="3"/>
  <c r="F676" i="3"/>
  <c r="M10" i="3"/>
  <c r="H677" i="3"/>
  <c r="G677" i="3"/>
  <c r="F677" i="3"/>
  <c r="H678" i="3"/>
  <c r="G678" i="3"/>
  <c r="F678" i="3"/>
  <c r="H679" i="3"/>
  <c r="G679" i="3"/>
  <c r="F679" i="3"/>
  <c r="H680" i="3"/>
  <c r="G680" i="3"/>
  <c r="F680" i="3"/>
  <c r="H681" i="3"/>
  <c r="G681" i="3"/>
  <c r="F681" i="3"/>
  <c r="H682" i="3"/>
  <c r="G682" i="3"/>
  <c r="F682" i="3"/>
  <c r="H683" i="3"/>
  <c r="G683" i="3"/>
  <c r="F683" i="3"/>
  <c r="M3" i="3"/>
  <c r="H684" i="3"/>
  <c r="G684" i="3"/>
  <c r="F684" i="3"/>
  <c r="H685" i="3"/>
  <c r="G685" i="3"/>
  <c r="F685" i="3"/>
  <c r="O20" i="9"/>
  <c r="O19" i="9"/>
  <c r="O18" i="9"/>
  <c r="E4" i="10" l="1"/>
  <c r="G4" i="10" s="1"/>
  <c r="O9" i="3"/>
  <c r="M9" i="3"/>
  <c r="T2" i="3"/>
  <c r="S4" i="3" s="1"/>
  <c r="E13" i="18"/>
  <c r="D17" i="18"/>
  <c r="M2" i="3"/>
  <c r="M4" i="3" s="1"/>
  <c r="M6" i="3" s="1"/>
  <c r="M7" i="3" s="1"/>
  <c r="D9" i="18"/>
  <c r="D11" i="18"/>
  <c r="D15" i="18"/>
  <c r="Q8" i="3"/>
  <c r="M12" i="3" s="1"/>
  <c r="D7" i="18"/>
  <c r="E15" i="18" l="1"/>
  <c r="E11" i="18"/>
  <c r="E17" i="18"/>
  <c r="F13" i="18"/>
  <c r="E9" i="1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tc={11364B46-D877-4681-9D8F-4E6F3DBF0E99}</author>
  </authors>
  <commentList>
    <comment ref="M4" authorId="0" shapeId="0" xr:uid="{11364B46-D877-4681-9D8F-4E6F3DBF0E99}">
      <text>
        <t>[Threaded comment]
Your version of Excel allows you to read this threaded comment; however, any edits to it will get removed if the file is opened in a newer version of Excel. Learn more: https://go.microsoft.com/fwlink/?linkid=870924
Comment:
    need to recheck formulas, and parameters</t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<sst xmlns="http://schemas.openxmlformats.org/spreadsheetml/2006/main" count="581" uniqueCount="89">
  <si>
    <t>Row Labels</t>
  </si>
  <si>
    <t>Cheapest price</t>
  </si>
  <si>
    <t>Grand Total</t>
  </si>
  <si>
    <t>Sum of Gasoline</t>
  </si>
  <si>
    <t xml:space="preserve"> average before covid shutdown</t>
  </si>
  <si>
    <t>ten-eleven days</t>
  </si>
  <si>
    <t>https://www.nbcnews.com/news/us-news/reopening-america-see-what-states-across-u-s-are-starting-n1195676</t>
  </si>
  <si>
    <t>average post-shutdown-pre-Biden</t>
  </si>
  <si>
    <t>n/a</t>
  </si>
  <si>
    <t>Nn/a</t>
  </si>
  <si>
    <t>=(L15-L16)/(L17/SQRT(L18))</t>
  </si>
  <si>
    <t>n =</t>
  </si>
  <si>
    <t>s =</t>
  </si>
  <si>
    <t>µ =</t>
  </si>
  <si>
    <t>σ =</t>
  </si>
  <si>
    <t>t=</t>
  </si>
  <si>
    <r>
      <t xml:space="preserve">gas </t>
    </r>
    <r>
      <rPr>
        <sz val="12"/>
        <color theme="1"/>
        <rFont val="Calibri"/>
        <family val="2"/>
      </rPr>
      <t>σ =</t>
    </r>
  </si>
  <si>
    <r>
      <t xml:space="preserve">price </t>
    </r>
    <r>
      <rPr>
        <sz val="12"/>
        <color theme="1"/>
        <rFont val="Calibri"/>
        <family val="2"/>
      </rPr>
      <t>σ =</t>
    </r>
  </si>
  <si>
    <t>p-value=</t>
  </si>
  <si>
    <t>t-score =</t>
  </si>
  <si>
    <t>=r*sqrt((n-2))/(1-r^2)</t>
  </si>
  <si>
    <t>=n</t>
  </si>
  <si>
    <t>n=</t>
  </si>
  <si>
    <t>Beginning of pandemic</t>
  </si>
  <si>
    <t>=CORREL(G2:G255,H2:H255)</t>
  </si>
  <si>
    <t>What is the correlation to price per barrel and price at the pump?</t>
  </si>
  <si>
    <t>Gasoline</t>
  </si>
  <si>
    <t>Price?</t>
  </si>
  <si>
    <t>Which is Cheaper?</t>
  </si>
  <si>
    <t>WCS</t>
  </si>
  <si>
    <t>Brent Crude</t>
  </si>
  <si>
    <t>Opec Basket</t>
  </si>
  <si>
    <t>WTI Crude</t>
  </si>
  <si>
    <t>Date</t>
  </si>
  <si>
    <t>Crude oil Price</t>
  </si>
  <si>
    <t>Gasoline Price</t>
  </si>
  <si>
    <t>Crude oil Price:</t>
  </si>
  <si>
    <t>Gasoline price:</t>
  </si>
  <si>
    <t>Min:</t>
  </si>
  <si>
    <t>Max:</t>
  </si>
  <si>
    <t>Date:</t>
  </si>
  <si>
    <t>10 days out of phase</t>
  </si>
  <si>
    <t>1 day out of phase</t>
  </si>
  <si>
    <t>=in phase</t>
  </si>
  <si>
    <t>date</t>
  </si>
  <si>
    <t>Crude oil Price_v2</t>
  </si>
  <si>
    <t>Gasoline Price_V2</t>
  </si>
  <si>
    <t>s</t>
  </si>
  <si>
    <t>metrics</t>
  </si>
  <si>
    <t>performance</t>
  </si>
  <si>
    <t>needle</t>
  </si>
  <si>
    <t>blank part</t>
  </si>
  <si>
    <t>half circle</t>
  </si>
  <si>
    <t>Speedometer</t>
  </si>
  <si>
    <t>sales conversion</t>
  </si>
  <si>
    <t>Correlation</t>
  </si>
  <si>
    <t>Correlation  equation</t>
  </si>
  <si>
    <t>Which is Cheaper_V1</t>
  </si>
  <si>
    <t>average prices before pandemic closures</t>
  </si>
  <si>
    <t>Average prices during Pandemic closure</t>
  </si>
  <si>
    <t>Avg prices after states re-open before inaguration</t>
  </si>
  <si>
    <t>avg price after russia invades ukraine:</t>
  </si>
  <si>
    <t>price after US sanctions Russia</t>
  </si>
  <si>
    <t>oil</t>
  </si>
  <si>
    <t>Avg prices after Joe Biden takes office before Russian war</t>
  </si>
  <si>
    <t>BROB Gas</t>
  </si>
  <si>
    <t>https://www.eia.gov/dnav/pet/TblDefs/pet_move_pipe_tbldef2.asp#:~:text=District%20of%20Columbia.-,RBOB,RBOB%20for%20Blending%20with%20Alcohol</t>
  </si>
  <si>
    <t>RBOB info source:</t>
  </si>
  <si>
    <t>GasP</t>
  </si>
  <si>
    <t>Sum of GasP</t>
  </si>
  <si>
    <t>RBOB to Retail Diff</t>
  </si>
  <si>
    <t>RBOB Gas</t>
  </si>
  <si>
    <t>Crude oil</t>
  </si>
  <si>
    <t>WholeSaleGas</t>
  </si>
  <si>
    <t>RetailGas</t>
  </si>
  <si>
    <t>WTI</t>
  </si>
  <si>
    <t>Opec</t>
  </si>
  <si>
    <t>Brent</t>
  </si>
  <si>
    <t>WCanS</t>
  </si>
  <si>
    <t>Min date</t>
  </si>
  <si>
    <t>Max date</t>
  </si>
  <si>
    <t>veggie</t>
  </si>
  <si>
    <t>pork</t>
  </si>
  <si>
    <t>chicken</t>
  </si>
  <si>
    <t>mutton</t>
  </si>
  <si>
    <t>onion</t>
  </si>
  <si>
    <t>beef</t>
  </si>
  <si>
    <t>Adjacent cell value based on cell O8</t>
  </si>
  <si>
    <t>=INDEX(M7:M12,MATCH(O10,N7:N12,0))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</si>
</sst>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4" formatCode="_(&quot;$&quot;* #,##0.00_);_(&quot;$&quot;* \(#,##0.00\);_(&quot;$&quot;* &quot;-&quot;??_);_(@_)"/>
    <numFmt numFmtId="164" formatCode="0.0000"/>
    <numFmt numFmtId="165" formatCode="&quot;$&quot;#,##0.00"/>
  </numFmts>
  <fonts count="30"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theme="0"/>
      <name val="Calibri"/>
      <family val="2"/>
      <scheme val="minor"/>
    </font>
    <font>
      <sz val="12"/>
      <color theme="1"/>
      <name val="Calibri"/>
      <family val="2"/>
    </font>
    <font>
      <b/>
      <sz val="12"/>
      <color theme="1"/>
      <name val="Calibri"/>
      <family val="2"/>
      <scheme val="minor"/>
    </font>
    <font>
      <sz val="12"/>
      <name val="Calibri"/>
      <family val="2"/>
      <scheme val="minor"/>
    </font>
    <font>
      <sz val="12"/>
      <color rgb="FFFF0000"/>
      <name val="Calibri"/>
      <family val="2"/>
      <scheme val="minor"/>
    </font>
    <font>
      <sz val="16"/>
      <color rgb="FFFF0000"/>
      <name val="Calibri"/>
      <family val="2"/>
      <scheme val="minor"/>
    </font>
    <font>
      <sz val="8"/>
      <name val="Calibri"/>
      <family val="2"/>
      <scheme val="minor"/>
    </font>
    <font>
      <sz val="1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rgb="FFFFB41D"/>
      <name val="Calibri"/>
      <family val="2"/>
      <scheme val="minor"/>
    </font>
    <font>
      <sz val="18"/>
      <color rgb="FFFFB41D"/>
      <name val="Calibri"/>
      <family val="2"/>
      <scheme val="minor"/>
    </font>
    <font>
      <b/>
      <u/>
      <sz val="16"/>
      <color rgb="FFFFB41D"/>
      <name val="Calibri"/>
      <family val="2"/>
      <scheme val="minor"/>
    </font>
    <font>
      <u/>
      <sz val="12"/>
      <color rgb="FFFFB41D"/>
      <name val="Calibri"/>
      <family val="2"/>
      <scheme val="minor"/>
    </font>
    <font>
      <u/>
      <sz val="12"/>
      <color rgb="FFFFB41D"/>
      <name val="Arial Black"/>
      <family val="2"/>
    </font>
    <font>
      <b/>
      <u/>
      <sz val="12"/>
      <color rgb="FFFFB41D"/>
      <name val="Arial"/>
      <family val="2"/>
    </font>
    <font>
      <sz val="12"/>
      <color rgb="FF7030A0"/>
      <name val="Calibri"/>
      <family val="2"/>
      <scheme val="minor"/>
    </font>
    <font>
      <b/>
      <sz val="11"/>
      <color theme="1"/>
      <name val="Arial"/>
      <family val="2"/>
    </font>
    <font>
      <b/>
      <sz val="11"/>
      <color rgb="FFFFB41D"/>
      <name val="Arial"/>
      <family val="2"/>
    </font>
    <font>
      <b/>
      <sz val="11"/>
      <color rgb="FFFF9900"/>
      <name val="Arial"/>
      <family val="2"/>
    </font>
    <font>
      <sz val="12"/>
      <color rgb="FF000000"/>
      <name val="Calibri"/>
      <family val="2"/>
    </font>
    <font>
      <b/>
      <sz val="12"/>
      <color rgb="FF000000"/>
      <name val="Ariel"/>
    </font>
    <font>
      <sz val="12"/>
      <color rgb="FFFF9900"/>
      <name val="Calibri"/>
      <family val="2"/>
      <scheme val="minor"/>
    </font>
    <font>
      <sz val="12"/>
      <color rgb="FF1E1E1E"/>
      <name val="Segoe UI"/>
      <family val="2"/>
    </font>
  </fonts>
  <fills count="18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theme="5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79998168889431442"/>
        <bgColor indexed="64"/>
      </patternFill>
    </fill>
  </fills>
  <borders count="9">
    <border>
      <left/>
      <right/>
      <top/>
      <bottom/>
      <diagonal/>
    </border>
    <border>
      <left/>
      <right/>
      <top/>
      <bottom style="thin">
        <color theme="4" tint="0.39997558519241921"/>
      </bottom>
      <diagonal/>
    </border>
    <border>
      <left style="medium">
        <color theme="0"/>
      </left>
      <right/>
      <top style="medium">
        <color theme="0"/>
      </top>
      <bottom/>
      <diagonal/>
    </border>
    <border>
      <left/>
      <right style="medium">
        <color theme="0"/>
      </right>
      <top style="medium">
        <color theme="0"/>
      </top>
      <bottom/>
      <diagonal/>
    </border>
    <border>
      <left style="medium">
        <color theme="0"/>
      </left>
      <right/>
      <top/>
      <bottom style="medium">
        <color theme="0"/>
      </bottom>
      <diagonal/>
    </border>
    <border>
      <left/>
      <right style="medium">
        <color theme="0"/>
      </right>
      <top/>
      <bottom style="medium">
        <color theme="0"/>
      </bottom>
      <diagonal/>
    </border>
    <border>
      <left style="medium">
        <color theme="0"/>
      </left>
      <right/>
      <top/>
      <bottom/>
      <diagonal/>
    </border>
    <border>
      <left/>
      <right style="medium">
        <color theme="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9">
    <xf numFmtId="0" fontId="0" fillId="0" borderId="0"/>
    <xf numFmtId="44" fontId="3" fillId="0" borderId="0" applyFont="0" applyFill="0" applyBorder="0" applyAlignment="0" applyProtection="0"/>
    <xf numFmtId="0" fontId="4" fillId="2" borderId="0" applyNumberFormat="0" applyBorder="0" applyAlignment="0" applyProtection="0"/>
    <xf numFmtId="0" fontId="5" fillId="3" borderId="0" applyNumberFormat="0" applyBorder="0" applyAlignment="0" applyProtection="0"/>
    <xf numFmtId="0" fontId="6" fillId="4" borderId="0" applyNumberFormat="0" applyBorder="0" applyAlignment="0" applyProtection="0"/>
    <xf numFmtId="0" fontId="7" fillId="5" borderId="0" applyNumberFormat="0" applyBorder="0" applyAlignment="0" applyProtection="0"/>
    <xf numFmtId="0" fontId="2" fillId="0" borderId="0"/>
    <xf numFmtId="9" fontId="15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122">
    <xf numFmtId="0" fontId="0" fillId="0" borderId="0" xfId="0"/>
    <xf numFmtId="0" fontId="0" fillId="0" borderId="0" xfId="0" pivotButton="1"/>
    <xf numFmtId="0" fontId="0" fillId="0" borderId="0" xfId="0" applyNumberFormat="1"/>
    <xf numFmtId="2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2" fontId="0" fillId="0" borderId="0" xfId="0" applyNumberFormat="1"/>
    <xf numFmtId="0" fontId="0" fillId="6" borderId="0" xfId="0" applyFill="1" applyAlignment="1">
      <alignment horizontal="center"/>
    </xf>
    <xf numFmtId="0" fontId="0" fillId="8" borderId="0" xfId="0" applyFill="1"/>
    <xf numFmtId="2" fontId="0" fillId="8" borderId="0" xfId="0" applyNumberFormat="1" applyFill="1"/>
    <xf numFmtId="0" fontId="0" fillId="8" borderId="0" xfId="0" applyFill="1" applyAlignment="1">
      <alignment horizontal="center"/>
    </xf>
    <xf numFmtId="0" fontId="0" fillId="0" borderId="0" xfId="0" quotePrefix="1"/>
    <xf numFmtId="0" fontId="0" fillId="0" borderId="0" xfId="0" applyAlignment="1">
      <alignment horizontal="right"/>
    </xf>
    <xf numFmtId="0" fontId="8" fillId="0" borderId="0" xfId="0" applyFont="1" applyAlignment="1">
      <alignment horizontal="right"/>
    </xf>
    <xf numFmtId="2" fontId="8" fillId="0" borderId="0" xfId="0" applyNumberFormat="1" applyFont="1" applyAlignment="1">
      <alignment horizontal="right"/>
    </xf>
    <xf numFmtId="164" fontId="0" fillId="0" borderId="0" xfId="0" applyNumberFormat="1"/>
    <xf numFmtId="14" fontId="0" fillId="0" borderId="0" xfId="0" applyNumberFormat="1" applyAlignment="1">
      <alignment horizontal="center"/>
    </xf>
    <xf numFmtId="0" fontId="7" fillId="5" borderId="0" xfId="5" applyNumberFormat="1" applyAlignment="1">
      <alignment horizontal="center"/>
    </xf>
    <xf numFmtId="0" fontId="6" fillId="4" borderId="0" xfId="4" applyAlignment="1">
      <alignment horizontal="center"/>
    </xf>
    <xf numFmtId="0" fontId="5" fillId="3" borderId="0" xfId="3" applyNumberFormat="1" applyAlignment="1">
      <alignment horizontal="center"/>
    </xf>
    <xf numFmtId="0" fontId="4" fillId="2" borderId="0" xfId="2" applyAlignment="1">
      <alignment horizontal="center"/>
    </xf>
    <xf numFmtId="14" fontId="0" fillId="0" borderId="0" xfId="0" applyNumberFormat="1" applyAlignment="1">
      <alignment horizontal="left"/>
    </xf>
    <xf numFmtId="0" fontId="9" fillId="9" borderId="1" xfId="0" applyFont="1" applyFill="1" applyBorder="1"/>
    <xf numFmtId="0" fontId="10" fillId="10" borderId="0" xfId="0" applyFont="1" applyFill="1" applyAlignment="1">
      <alignment horizontal="center"/>
    </xf>
    <xf numFmtId="0" fontId="10" fillId="8" borderId="0" xfId="0" applyFont="1" applyFill="1" applyAlignment="1">
      <alignment horizontal="center"/>
    </xf>
    <xf numFmtId="0" fontId="11" fillId="0" borderId="0" xfId="0" applyFont="1"/>
    <xf numFmtId="165" fontId="0" fillId="0" borderId="0" xfId="0" applyNumberFormat="1" applyAlignment="1">
      <alignment horizontal="center"/>
    </xf>
    <xf numFmtId="165" fontId="12" fillId="0" borderId="0" xfId="0" applyNumberFormat="1" applyFont="1" applyBorder="1" applyAlignment="1">
      <alignment horizontal="center"/>
    </xf>
    <xf numFmtId="165" fontId="12" fillId="0" borderId="0" xfId="1" applyNumberFormat="1" applyFont="1" applyBorder="1" applyAlignment="1">
      <alignment horizontal="center"/>
    </xf>
    <xf numFmtId="0" fontId="12" fillId="0" borderId="0" xfId="0" applyFont="1" applyBorder="1" applyAlignment="1">
      <alignment horizontal="center"/>
    </xf>
    <xf numFmtId="14" fontId="0" fillId="8" borderId="0" xfId="0" applyNumberFormat="1" applyFill="1" applyAlignment="1">
      <alignment horizontal="center"/>
    </xf>
    <xf numFmtId="14" fontId="0" fillId="6" borderId="0" xfId="0" applyNumberFormat="1" applyFill="1" applyAlignment="1">
      <alignment horizontal="center"/>
    </xf>
    <xf numFmtId="0" fontId="10" fillId="12" borderId="0" xfId="0" applyFont="1" applyFill="1" applyAlignment="1">
      <alignment horizontal="center"/>
    </xf>
    <xf numFmtId="0" fontId="10" fillId="11" borderId="0" xfId="0" applyFont="1" applyFill="1" applyAlignment="1">
      <alignment horizontal="center"/>
    </xf>
    <xf numFmtId="2" fontId="9" fillId="0" borderId="0" xfId="0" applyNumberFormat="1" applyFont="1" applyAlignment="1">
      <alignment horizontal="center"/>
    </xf>
    <xf numFmtId="165" fontId="14" fillId="12" borderId="0" xfId="3" applyNumberFormat="1" applyFont="1" applyFill="1" applyAlignment="1">
      <alignment horizontal="center"/>
    </xf>
    <xf numFmtId="165" fontId="14" fillId="11" borderId="0" xfId="3" applyNumberFormat="1" applyFont="1" applyFill="1" applyAlignment="1">
      <alignment horizontal="center"/>
    </xf>
    <xf numFmtId="165" fontId="0" fillId="8" borderId="0" xfId="0" applyNumberFormat="1" applyFill="1" applyAlignment="1">
      <alignment horizontal="center"/>
    </xf>
    <xf numFmtId="165" fontId="0" fillId="6" borderId="0" xfId="0" applyNumberFormat="1" applyFill="1" applyAlignment="1">
      <alignment horizontal="center"/>
    </xf>
    <xf numFmtId="165" fontId="10" fillId="12" borderId="0" xfId="0" applyNumberFormat="1" applyFont="1" applyFill="1" applyAlignment="1">
      <alignment horizontal="center"/>
    </xf>
    <xf numFmtId="165" fontId="10" fillId="11" borderId="0" xfId="0" applyNumberFormat="1" applyFont="1" applyFill="1" applyAlignment="1">
      <alignment horizontal="center"/>
    </xf>
    <xf numFmtId="165" fontId="0" fillId="11" borderId="0" xfId="0" applyNumberFormat="1" applyFill="1" applyAlignment="1">
      <alignment horizontal="center"/>
    </xf>
    <xf numFmtId="165" fontId="5" fillId="3" borderId="0" xfId="3" applyNumberFormat="1" applyAlignment="1">
      <alignment horizontal="center"/>
    </xf>
    <xf numFmtId="165" fontId="0" fillId="7" borderId="0" xfId="0" applyNumberFormat="1" applyFill="1" applyAlignment="1">
      <alignment horizontal="center"/>
    </xf>
    <xf numFmtId="165" fontId="0" fillId="0" borderId="0" xfId="0" applyNumberFormat="1"/>
    <xf numFmtId="0" fontId="16" fillId="0" borderId="0" xfId="0" applyFont="1"/>
    <xf numFmtId="0" fontId="18" fillId="0" borderId="0" xfId="0" applyFont="1"/>
    <xf numFmtId="9" fontId="16" fillId="0" borderId="0" xfId="7" applyFont="1"/>
    <xf numFmtId="0" fontId="17" fillId="0" borderId="0" xfId="0" applyFont="1" applyAlignment="1"/>
    <xf numFmtId="0" fontId="0" fillId="11" borderId="0" xfId="0" applyFill="1"/>
    <xf numFmtId="0" fontId="0" fillId="11" borderId="0" xfId="0" applyFill="1" applyAlignment="1">
      <alignment horizontal="center"/>
    </xf>
    <xf numFmtId="0" fontId="0" fillId="13" borderId="0" xfId="0" applyFill="1"/>
    <xf numFmtId="0" fontId="0" fillId="12" borderId="0" xfId="0" applyFill="1"/>
    <xf numFmtId="9" fontId="0" fillId="12" borderId="0" xfId="8" applyFont="1" applyFill="1" applyAlignment="1">
      <alignment horizontal="center"/>
    </xf>
    <xf numFmtId="9" fontId="0" fillId="11" borderId="0" xfId="8" applyFont="1" applyFill="1" applyAlignment="1">
      <alignment horizontal="center"/>
    </xf>
    <xf numFmtId="0" fontId="0" fillId="14" borderId="0" xfId="0" applyFill="1"/>
    <xf numFmtId="0" fontId="20" fillId="0" borderId="0" xfId="0" applyFont="1" applyBorder="1"/>
    <xf numFmtId="165" fontId="19" fillId="0" borderId="0" xfId="0" applyNumberFormat="1" applyFont="1" applyBorder="1" applyAlignment="1">
      <alignment horizontal="center"/>
    </xf>
    <xf numFmtId="14" fontId="19" fillId="0" borderId="0" xfId="0" applyNumberFormat="1" applyFont="1" applyBorder="1" applyAlignment="1">
      <alignment horizontal="center"/>
    </xf>
    <xf numFmtId="0" fontId="21" fillId="0" borderId="0" xfId="0" applyFont="1" applyBorder="1" applyAlignment="1">
      <alignment horizontal="center"/>
    </xf>
    <xf numFmtId="0" fontId="18" fillId="0" borderId="0" xfId="0" applyFont="1" applyAlignment="1"/>
    <xf numFmtId="0" fontId="16" fillId="0" borderId="0" xfId="0" applyFont="1" applyBorder="1"/>
    <xf numFmtId="165" fontId="21" fillId="0" borderId="0" xfId="0" applyNumberFormat="1" applyFont="1" applyBorder="1" applyAlignment="1">
      <alignment horizontal="center"/>
    </xf>
    <xf numFmtId="14" fontId="21" fillId="0" borderId="0" xfId="0" applyNumberFormat="1" applyFont="1" applyBorder="1" applyAlignment="1">
      <alignment horizontal="center"/>
    </xf>
    <xf numFmtId="165" fontId="21" fillId="0" borderId="0" xfId="1" applyNumberFormat="1" applyFont="1" applyBorder="1" applyAlignment="1">
      <alignment horizontal="center"/>
    </xf>
    <xf numFmtId="14" fontId="21" fillId="0" borderId="0" xfId="1" applyNumberFormat="1" applyFont="1" applyBorder="1" applyAlignment="1">
      <alignment horizontal="center"/>
    </xf>
    <xf numFmtId="0" fontId="16" fillId="15" borderId="2" xfId="0" applyFont="1" applyFill="1" applyBorder="1"/>
    <xf numFmtId="0" fontId="21" fillId="15" borderId="2" xfId="0" applyFont="1" applyFill="1" applyBorder="1" applyAlignment="1">
      <alignment horizontal="center"/>
    </xf>
    <xf numFmtId="0" fontId="21" fillId="15" borderId="3" xfId="0" applyFont="1" applyFill="1" applyBorder="1" applyAlignment="1">
      <alignment horizontal="center"/>
    </xf>
    <xf numFmtId="0" fontId="0" fillId="15" borderId="0" xfId="0" applyFill="1"/>
    <xf numFmtId="0" fontId="20" fillId="15" borderId="6" xfId="0" applyFont="1" applyFill="1" applyBorder="1"/>
    <xf numFmtId="165" fontId="21" fillId="15" borderId="6" xfId="0" applyNumberFormat="1" applyFont="1" applyFill="1" applyBorder="1" applyAlignment="1">
      <alignment horizontal="center"/>
    </xf>
    <xf numFmtId="14" fontId="21" fillId="15" borderId="7" xfId="0" applyNumberFormat="1" applyFont="1" applyFill="1" applyBorder="1" applyAlignment="1">
      <alignment horizontal="center"/>
    </xf>
    <xf numFmtId="165" fontId="21" fillId="15" borderId="6" xfId="1" applyNumberFormat="1" applyFont="1" applyFill="1" applyBorder="1" applyAlignment="1">
      <alignment horizontal="center"/>
    </xf>
    <xf numFmtId="14" fontId="21" fillId="15" borderId="7" xfId="1" applyNumberFormat="1" applyFont="1" applyFill="1" applyBorder="1" applyAlignment="1">
      <alignment horizontal="center"/>
    </xf>
    <xf numFmtId="0" fontId="20" fillId="15" borderId="4" xfId="0" applyFont="1" applyFill="1" applyBorder="1"/>
    <xf numFmtId="165" fontId="21" fillId="15" borderId="4" xfId="0" applyNumberFormat="1" applyFont="1" applyFill="1" applyBorder="1" applyAlignment="1">
      <alignment horizontal="center"/>
    </xf>
    <xf numFmtId="14" fontId="21" fillId="15" borderId="5" xfId="0" applyNumberFormat="1" applyFont="1" applyFill="1" applyBorder="1" applyAlignment="1">
      <alignment horizontal="center"/>
    </xf>
    <xf numFmtId="0" fontId="16" fillId="15" borderId="0" xfId="0" applyFont="1" applyFill="1"/>
    <xf numFmtId="165" fontId="22" fillId="8" borderId="0" xfId="0" applyNumberFormat="1" applyFont="1" applyFill="1" applyAlignment="1">
      <alignment horizontal="center"/>
    </xf>
    <xf numFmtId="0" fontId="23" fillId="15" borderId="0" xfId="0" applyFont="1" applyFill="1"/>
    <xf numFmtId="0" fontId="24" fillId="15" borderId="0" xfId="0" applyFont="1" applyFill="1"/>
    <xf numFmtId="44" fontId="24" fillId="15" borderId="0" xfId="1" applyFont="1" applyFill="1"/>
    <xf numFmtId="9" fontId="24" fillId="15" borderId="0" xfId="7" applyFont="1" applyFill="1"/>
    <xf numFmtId="0" fontId="25" fillId="15" borderId="0" xfId="0" applyFont="1" applyFill="1"/>
    <xf numFmtId="0" fontId="10" fillId="12" borderId="0" xfId="0" applyNumberFormat="1" applyFont="1" applyFill="1" applyAlignment="1">
      <alignment horizontal="center"/>
    </xf>
    <xf numFmtId="0" fontId="10" fillId="11" borderId="0" xfId="0" applyNumberFormat="1" applyFont="1" applyFill="1" applyAlignment="1">
      <alignment horizontal="center"/>
    </xf>
    <xf numFmtId="44" fontId="0" fillId="11" borderId="0" xfId="1" applyFont="1" applyFill="1" applyAlignment="1">
      <alignment horizontal="left" vertical="top" indent="1"/>
    </xf>
    <xf numFmtId="44" fontId="0" fillId="12" borderId="0" xfId="1" applyFont="1" applyFill="1" applyAlignment="1">
      <alignment horizontal="center"/>
    </xf>
    <xf numFmtId="44" fontId="0" fillId="11" borderId="0" xfId="1" applyFont="1" applyFill="1" applyAlignment="1">
      <alignment horizontal="center"/>
    </xf>
    <xf numFmtId="165" fontId="10" fillId="12" borderId="0" xfId="3" applyNumberFormat="1" applyFont="1" applyFill="1" applyAlignment="1">
      <alignment horizontal="center"/>
    </xf>
    <xf numFmtId="14" fontId="10" fillId="12" borderId="0" xfId="0" applyNumberFormat="1" applyFont="1" applyFill="1"/>
    <xf numFmtId="165" fontId="10" fillId="12" borderId="0" xfId="2" applyNumberFormat="1" applyFont="1" applyFill="1" applyAlignment="1">
      <alignment horizontal="center"/>
    </xf>
    <xf numFmtId="165" fontId="10" fillId="12" borderId="0" xfId="4" applyNumberFormat="1" applyFont="1" applyFill="1" applyAlignment="1">
      <alignment horizontal="center"/>
    </xf>
    <xf numFmtId="0" fontId="10" fillId="12" borderId="0" xfId="5" applyNumberFormat="1" applyFont="1" applyFill="1" applyAlignment="1">
      <alignment horizontal="center"/>
    </xf>
    <xf numFmtId="165" fontId="10" fillId="0" borderId="0" xfId="0" applyNumberFormat="1" applyFont="1" applyAlignment="1">
      <alignment horizontal="center"/>
    </xf>
    <xf numFmtId="44" fontId="10" fillId="12" borderId="0" xfId="1" applyFont="1" applyFill="1" applyAlignment="1">
      <alignment horizontal="center"/>
    </xf>
    <xf numFmtId="14" fontId="10" fillId="11" borderId="0" xfId="0" applyNumberFormat="1" applyFont="1" applyFill="1"/>
    <xf numFmtId="165" fontId="10" fillId="11" borderId="0" xfId="2" applyNumberFormat="1" applyFont="1" applyFill="1" applyAlignment="1">
      <alignment horizontal="center"/>
    </xf>
    <xf numFmtId="165" fontId="10" fillId="11" borderId="0" xfId="3" applyNumberFormat="1" applyFont="1" applyFill="1" applyAlignment="1">
      <alignment horizontal="center"/>
    </xf>
    <xf numFmtId="165" fontId="10" fillId="11" borderId="0" xfId="4" applyNumberFormat="1" applyFont="1" applyFill="1" applyAlignment="1">
      <alignment horizontal="center"/>
    </xf>
    <xf numFmtId="0" fontId="10" fillId="11" borderId="0" xfId="5" applyNumberFormat="1" applyFont="1" applyFill="1" applyAlignment="1">
      <alignment horizontal="center"/>
    </xf>
    <xf numFmtId="44" fontId="10" fillId="11" borderId="0" xfId="1" applyFont="1" applyFill="1" applyAlignment="1">
      <alignment horizontal="center"/>
    </xf>
    <xf numFmtId="14" fontId="10" fillId="0" borderId="0" xfId="0" applyNumberFormat="1" applyFont="1" applyAlignment="1">
      <alignment horizontal="center"/>
    </xf>
    <xf numFmtId="0" fontId="10" fillId="0" borderId="0" xfId="0" applyFont="1" applyAlignment="1">
      <alignment horizontal="center"/>
    </xf>
    <xf numFmtId="0" fontId="0" fillId="16" borderId="0" xfId="0" applyFill="1"/>
    <xf numFmtId="165" fontId="0" fillId="16" borderId="0" xfId="0" applyNumberFormat="1" applyFill="1"/>
    <xf numFmtId="44" fontId="0" fillId="0" borderId="0" xfId="0" applyNumberFormat="1" applyAlignment="1">
      <alignment horizontal="center"/>
    </xf>
    <xf numFmtId="0" fontId="18" fillId="15" borderId="0" xfId="0" applyFont="1" applyFill="1" applyAlignment="1"/>
    <xf numFmtId="0" fontId="28" fillId="0" borderId="0" xfId="0" applyFont="1"/>
    <xf numFmtId="0" fontId="28" fillId="15" borderId="0" xfId="0" applyFont="1" applyFill="1"/>
    <xf numFmtId="14" fontId="28" fillId="15" borderId="0" xfId="0" applyNumberFormat="1" applyFont="1" applyFill="1"/>
    <xf numFmtId="0" fontId="11" fillId="15" borderId="0" xfId="0" applyFont="1" applyFill="1"/>
    <xf numFmtId="0" fontId="29" fillId="0" borderId="0" xfId="0" applyFont="1"/>
    <xf numFmtId="0" fontId="10" fillId="17" borderId="8" xfId="0" applyFont="1" applyFill="1" applyBorder="1"/>
    <xf numFmtId="0" fontId="10" fillId="17" borderId="8" xfId="0" applyFont="1" applyFill="1" applyBorder="1" applyAlignment="1">
      <alignment horizontal="center" vertical="center"/>
    </xf>
    <xf numFmtId="0" fontId="10" fillId="17" borderId="8" xfId="0" quotePrefix="1" applyFont="1" applyFill="1" applyBorder="1"/>
    <xf numFmtId="14" fontId="10" fillId="17" borderId="8" xfId="0" applyNumberFormat="1" applyFont="1" applyFill="1" applyBorder="1"/>
    <xf numFmtId="0" fontId="10" fillId="8" borderId="8" xfId="0" applyFont="1" applyFill="1" applyBorder="1" applyAlignment="1">
      <alignment horizontal="center" vertical="center"/>
    </xf>
    <xf numFmtId="14" fontId="0" fillId="0" borderId="0" xfId="0" applyNumberFormat="1"/>
    <xf numFmtId="0" fontId="17" fillId="0" borderId="0" xfId="0" applyFont="1" applyAlignment="1">
      <alignment horizontal="center" wrapText="1"/>
    </xf>
    <xf numFmtId="0" fontId="18" fillId="0" borderId="0" xfId="0" applyFont="1" applyAlignment="1">
      <alignment horizontal="left"/>
    </xf>
    <xf numFmtId="0" fontId="18" fillId="15" borderId="0" xfId="0" applyFont="1" applyFill="1" applyAlignment="1">
      <alignment horizontal="center"/>
    </xf>
  </cellXfs>
  <cellStyles count="9">
    <cellStyle name="Accent2" xfId="5" builtinId="33"/>
    <cellStyle name="Bad" xfId="3" builtinId="27"/>
    <cellStyle name="Currency" xfId="1" builtinId="4"/>
    <cellStyle name="Good" xfId="2" builtinId="26"/>
    <cellStyle name="Neutral" xfId="4" builtinId="28"/>
    <cellStyle name="Normal" xfId="0" builtinId="0"/>
    <cellStyle name="Normal 2" xfId="6" xr:uid="{A7C2DEDB-22C0-4D79-B780-92D4F3D54262}"/>
    <cellStyle name="Percent" xfId="7" builtinId="5"/>
    <cellStyle name="Percent 2" xfId="8" xr:uid="{198582A3-BB79-443A-9C0A-2EF16B02DEB1}"/>
  </cellStyles>
  <dxfs count="124">
    <dxf>
      <numFmt numFmtId="165" formatCode="&quot;$&quot;#,##0.00"/>
    </dxf>
    <dxf>
      <numFmt numFmtId="165" formatCode="&quot;$&quot;#,##0.00"/>
    </dxf>
    <dxf>
      <numFmt numFmtId="165" formatCode="&quot;$&quot;#,##0.00"/>
    </dxf>
    <dxf>
      <numFmt numFmtId="165" formatCode="&quot;$&quot;#,##0.00"/>
    </dxf>
    <dxf>
      <numFmt numFmtId="165" formatCode="&quot;$&quot;#,##0.00"/>
    </dxf>
    <dxf>
      <numFmt numFmtId="165" formatCode="&quot;$&quot;#,##0.00"/>
    </dxf>
    <dxf>
      <numFmt numFmtId="165" formatCode="&quot;$&quot;#,##0.00"/>
    </dxf>
    <dxf>
      <numFmt numFmtId="165" formatCode="&quot;$&quot;#,##0.00"/>
    </dxf>
    <dxf>
      <numFmt numFmtId="165" formatCode="&quot;$&quot;#,##0.00"/>
    </dxf>
    <dxf>
      <numFmt numFmtId="165" formatCode="&quot;$&quot;#,##0.00"/>
    </dxf>
    <dxf>
      <numFmt numFmtId="165" formatCode="&quot;$&quot;#,##0.00"/>
    </dxf>
    <dxf>
      <alignment horizontal="center"/>
    </dxf>
    <dxf>
      <alignment horizontal="center"/>
    </dxf>
    <dxf>
      <numFmt numFmtId="165" formatCode="&quot;$&quot;#,##0.00"/>
    </dxf>
    <dxf>
      <numFmt numFmtId="165" formatCode="&quot;$&quot;#,##0.00"/>
    </dxf>
    <dxf>
      <numFmt numFmtId="165" formatCode="&quot;$&quot;#,##0.00"/>
    </dxf>
    <dxf>
      <numFmt numFmtId="165" formatCode="&quot;$&quot;#,##0.00"/>
    </dxf>
    <dxf>
      <numFmt numFmtId="165" formatCode="&quot;$&quot;#,##0.00"/>
    </dxf>
    <dxf>
      <numFmt numFmtId="165" formatCode="&quot;$&quot;#,##0.00"/>
    </dxf>
    <dxf>
      <numFmt numFmtId="165" formatCode="&quot;$&quot;#,##0.00"/>
    </dxf>
    <dxf>
      <numFmt numFmtId="165" formatCode="&quot;$&quot;#,##0.00"/>
    </dxf>
    <dxf>
      <numFmt numFmtId="165" formatCode="&quot;$&quot;#,##0.00"/>
    </dxf>
    <dxf>
      <numFmt numFmtId="165" formatCode="&quot;$&quot;#,##0.00"/>
    </dxf>
    <dxf>
      <numFmt numFmtId="165" formatCode="&quot;$&quot;#,##0.00"/>
    </dxf>
    <dxf>
      <numFmt numFmtId="165" formatCode="&quot;$&quot;#,##0.00"/>
    </dxf>
    <dxf>
      <numFmt numFmtId="165" formatCode="&quot;$&quot;#,##0.00"/>
    </dxf>
    <dxf>
      <numFmt numFmtId="165" formatCode="&quot;$&quot;#,##0.00"/>
    </dxf>
    <dxf>
      <alignment horizontal="center"/>
    </dxf>
    <dxf>
      <alignment horizontal="center"/>
    </dxf>
    <dxf>
      <numFmt numFmtId="165" formatCode="&quot;$&quot;#,##0.00"/>
    </dxf>
    <dxf>
      <numFmt numFmtId="165" formatCode="&quot;$&quot;#,##0.00"/>
    </dxf>
    <dxf>
      <numFmt numFmtId="165" formatCode="&quot;$&quot;#,##0.00"/>
    </dxf>
    <dxf>
      <numFmt numFmtId="165" formatCode="&quot;$&quot;#,##0.00"/>
    </dxf>
    <dxf>
      <numFmt numFmtId="165" formatCode="&quot;$&quot;#,##0.00"/>
    </dxf>
    <dxf>
      <numFmt numFmtId="165" formatCode="&quot;$&quot;#,##0.00"/>
    </dxf>
    <dxf>
      <numFmt numFmtId="165" formatCode="&quot;$&quot;#,##0.00"/>
    </dxf>
    <dxf>
      <numFmt numFmtId="165" formatCode="&quot;$&quot;#,##0.00"/>
    </dxf>
    <dxf>
      <numFmt numFmtId="165" formatCode="&quot;$&quot;#,##0.00"/>
    </dxf>
    <dxf>
      <numFmt numFmtId="165" formatCode="&quot;$&quot;#,##0.00"/>
    </dxf>
    <dxf>
      <numFmt numFmtId="165" formatCode="&quot;$&quot;#,##0.00"/>
    </dxf>
    <dxf>
      <numFmt numFmtId="165" formatCode="&quot;$&quot;#,##0.00"/>
    </dxf>
    <dxf>
      <numFmt numFmtId="165" formatCode="&quot;$&quot;#,##0.00"/>
    </dxf>
    <dxf>
      <numFmt numFmtId="165" formatCode="&quot;$&quot;#,##0.00"/>
    </dxf>
    <dxf>
      <alignment horizontal="center"/>
    </dxf>
    <dxf>
      <alignment horizontal="center"/>
    </dxf>
    <dxf>
      <numFmt numFmtId="165" formatCode="&quot;$&quot;#,##0.00"/>
    </dxf>
    <dxf>
      <numFmt numFmtId="165" formatCode="&quot;$&quot;#,##0.00"/>
    </dxf>
    <dxf>
      <numFmt numFmtId="165" formatCode="&quot;$&quot;#,##0.00"/>
    </dxf>
    <dxf>
      <numFmt numFmtId="165" formatCode="&quot;$&quot;#,##0.00"/>
    </dxf>
    <dxf>
      <numFmt numFmtId="165" formatCode="&quot;$&quot;#,##0.00"/>
    </dxf>
    <dxf>
      <numFmt numFmtId="165" formatCode="&quot;$&quot;#,##0.00"/>
    </dxf>
    <dxf>
      <numFmt numFmtId="165" formatCode="&quot;$&quot;#,##0.00"/>
    </dxf>
    <dxf>
      <numFmt numFmtId="165" formatCode="&quot;$&quot;#,##0.00"/>
    </dxf>
    <dxf>
      <numFmt numFmtId="165" formatCode="&quot;$&quot;#,##0.00"/>
    </dxf>
    <dxf>
      <numFmt numFmtId="165" formatCode="&quot;$&quot;#,##0.00"/>
    </dxf>
    <dxf>
      <numFmt numFmtId="165" formatCode="&quot;$&quot;#,##0.00"/>
    </dxf>
    <dxf>
      <numFmt numFmtId="165" formatCode="&quot;$&quot;#,##0.00"/>
    </dxf>
    <dxf>
      <numFmt numFmtId="165" formatCode="&quot;$&quot;#,##0.00"/>
    </dxf>
    <dxf>
      <numFmt numFmtId="165" formatCode="&quot;$&quot;#,##0.00"/>
    </dxf>
    <dxf>
      <alignment horizontal="center"/>
    </dxf>
    <dxf>
      <alignment horizontal="center"/>
    </dxf>
    <dxf>
      <numFmt numFmtId="165" formatCode="&quot;$&quot;#,##0.00"/>
    </dxf>
    <dxf>
      <numFmt numFmtId="165" formatCode="&quot;$&quot;#,##0.00"/>
    </dxf>
    <dxf>
      <numFmt numFmtId="165" formatCode="&quot;$&quot;#,##0.00"/>
    </dxf>
    <dxf>
      <fill>
        <patternFill patternType="solid">
          <fgColor indexed="64"/>
          <bgColor theme="2" tint="-0.499984740745262"/>
        </patternFill>
      </fill>
    </dxf>
    <dxf>
      <fill>
        <patternFill patternType="solid">
          <fgColor indexed="64"/>
          <bgColor theme="2" tint="-0.499984740745262"/>
        </patternFill>
      </fill>
    </dxf>
    <dxf>
      <fill>
        <patternFill patternType="solid">
          <fgColor indexed="64"/>
          <bgColor theme="2" tint="-0.499984740745262"/>
        </patternFill>
      </fill>
    </dxf>
    <dxf>
      <fill>
        <patternFill patternType="solid">
          <fgColor indexed="64"/>
          <bgColor theme="2" tint="-0.499984740745262"/>
        </patternFill>
      </fill>
    </dxf>
    <dxf>
      <fill>
        <patternFill patternType="solid">
          <fgColor indexed="64"/>
          <bgColor theme="2" tint="-0.499984740745262"/>
        </patternFill>
      </fill>
    </dxf>
    <dxf>
      <fill>
        <patternFill patternType="solid">
          <fgColor indexed="64"/>
          <bgColor theme="4" tint="0.79998168889431442"/>
        </patternFill>
      </fill>
      <alignment horizontal="center" vertical="bottom" textRotation="0" wrapText="0" indent="0" justifyLastLine="0" shrinkToFit="0" readingOrder="0"/>
    </dxf>
    <dxf>
      <numFmt numFmtId="165" formatCode="&quot;$&quot;#,##0.00"/>
      <alignment horizontal="center" vertical="bottom" textRotation="0" wrapText="0" indent="0" justifyLastLine="0" shrinkToFit="0" readingOrder="0"/>
    </dxf>
    <dxf>
      <numFmt numFmtId="165" formatCode="&quot;$&quot;#,##0.00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65" formatCode="&quot;$&quot;#,##0.00"/>
      <alignment horizontal="center" vertical="bottom" textRotation="0" wrapText="0" indent="0" justifyLastLine="0" shrinkToFit="0" readingOrder="0"/>
    </dxf>
    <dxf>
      <numFmt numFmtId="165" formatCode="&quot;$&quot;#,##0.00"/>
      <alignment horizontal="center" vertical="bottom" textRotation="0" wrapText="0" indent="0" justifyLastLine="0" shrinkToFit="0" readingOrder="0"/>
    </dxf>
    <dxf>
      <numFmt numFmtId="165" formatCode="&quot;$&quot;#,##0.00"/>
      <alignment horizontal="center" vertical="bottom" textRotation="0" wrapText="0" indent="0" justifyLastLine="0" shrinkToFit="0" readingOrder="0"/>
    </dxf>
    <dxf>
      <numFmt numFmtId="19" formatCode="m/d/yyyy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65" formatCode="&quot;$&quot;#,##0.00"/>
      <alignment horizontal="center" vertical="bottom" textRotation="0" wrapText="0" indent="0" justifyLastLine="0" shrinkToFit="0" readingOrder="0"/>
    </dxf>
    <dxf>
      <numFmt numFmtId="165" formatCode="&quot;$&quot;#,##0.00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65" formatCode="&quot;$&quot;#,##0.00"/>
      <alignment horizontal="center" vertical="bottom" textRotation="0" wrapText="0" indent="0" justifyLastLine="0" shrinkToFit="0" readingOrder="0"/>
    </dxf>
    <dxf>
      <numFmt numFmtId="165" formatCode="&quot;$&quot;#,##0.00"/>
      <alignment horizontal="center" vertical="bottom" textRotation="0" wrapText="0" indent="0" justifyLastLine="0" shrinkToFit="0" readingOrder="0"/>
    </dxf>
    <dxf>
      <numFmt numFmtId="165" formatCode="&quot;$&quot;#,##0.00"/>
      <alignment horizontal="center" vertical="bottom" textRotation="0" wrapText="0" indent="0" justifyLastLine="0" shrinkToFit="0" readingOrder="0"/>
    </dxf>
    <dxf>
      <numFmt numFmtId="19" formatCode="m/d/yyyy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numFmt numFmtId="165" formatCode="&quot;$&quot;#,##0.00"/>
      <alignment horizontal="center" vertical="bottom" textRotation="0" wrapText="0" indent="0" justifyLastLine="0" shrinkToFit="0" readingOrder="0"/>
    </dxf>
    <dxf>
      <numFmt numFmtId="165" formatCode="&quot;$&quot;#,##0.00"/>
      <alignment horizontal="center" vertical="bottom" textRotation="0" wrapText="0" indent="0" justifyLastLine="0" shrinkToFit="0" readingOrder="0"/>
    </dxf>
    <dxf>
      <numFmt numFmtId="19" formatCode="m/d/yyyy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</dxf>
    <dxf>
      <numFmt numFmtId="165" formatCode="&quot;$&quot;#,##0.00"/>
    </dxf>
    <dxf>
      <numFmt numFmtId="165" formatCode="&quot;$&quot;#,##0.00"/>
    </dxf>
    <dxf>
      <alignment horizontal="center"/>
    </dxf>
    <dxf>
      <alignment horizontal="center"/>
    </dxf>
    <dxf>
      <numFmt numFmtId="165" formatCode="&quot;$&quot;#,##0.00"/>
    </dxf>
    <dxf>
      <numFmt numFmtId="165" formatCode="&quot;$&quot;#,##0.00"/>
    </dxf>
    <dxf>
      <numFmt numFmtId="165" formatCode="&quot;$&quot;#,##0.00"/>
    </dxf>
    <dxf>
      <numFmt numFmtId="165" formatCode="&quot;$&quot;#,##0.00"/>
    </dxf>
    <dxf>
      <numFmt numFmtId="165" formatCode="&quot;$&quot;#,##0.00"/>
    </dxf>
    <dxf>
      <numFmt numFmtId="165" formatCode="&quot;$&quot;#,##0.00"/>
    </dxf>
    <dxf>
      <numFmt numFmtId="165" formatCode="&quot;$&quot;#,##0.00"/>
    </dxf>
    <dxf>
      <numFmt numFmtId="165" formatCode="&quot;$&quot;#,##0.00"/>
    </dxf>
    <dxf>
      <numFmt numFmtId="165" formatCode="&quot;$&quot;#,##0.00"/>
    </dxf>
    <dxf>
      <numFmt numFmtId="165" formatCode="&quot;$&quot;#,##0.00"/>
    </dxf>
    <dxf>
      <numFmt numFmtId="165" formatCode="&quot;$&quot;#,##0.00"/>
    </dxf>
    <dxf>
      <numFmt numFmtId="165" formatCode="&quot;$&quot;#,##0.00"/>
    </dxf>
    <dxf>
      <numFmt numFmtId="165" formatCode="&quot;$&quot;#,##0.00"/>
    </dxf>
    <dxf>
      <numFmt numFmtId="165" formatCode="&quot;$&quot;#,##0.00"/>
    </dxf>
    <dxf>
      <numFmt numFmtId="165" formatCode="&quot;$&quot;#,##0.00"/>
    </dxf>
    <dxf>
      <numFmt numFmtId="165" formatCode="&quot;$&quot;#,##0.00"/>
    </dxf>
    <dxf>
      <numFmt numFmtId="165" formatCode="&quot;$&quot;#,##0.00"/>
    </dxf>
    <dxf>
      <numFmt numFmtId="165" formatCode="&quot;$&quot;#,##0.00"/>
    </dxf>
    <dxf>
      <numFmt numFmtId="165" formatCode="&quot;$&quot;#,##0.00"/>
    </dxf>
  </dxfs>
  <tableStyles count="0" defaultTableStyle="TableStyleMedium2" defaultPivotStyle="PivotStyleLight16"/>
  <colors>
    <mruColors>
      <color rgb="FFFF9900"/>
      <color rgb="FFFFB41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pivotCacheDefinition" Target="pivotCache/pivotCacheDefinition2.xml"/><Relationship Id="rId18" Type="http://schemas.openxmlformats.org/officeDocument/2006/relationships/sheetMetadata" Target="metadata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1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17/10/relationships/person" Target="persons/perso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11/relationships/timelineCache" Target="timelineCaches/timelineCache1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1.xml"/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2.xml"/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3522429014555002"/>
          <c:y val="5.0063860988031977E-2"/>
          <c:w val="0.5127164028738832"/>
          <c:h val="0.87126435745934638"/>
        </c:manualLayout>
      </c:layout>
      <c:pieChart>
        <c:varyColors val="1"/>
        <c:ser>
          <c:idx val="0"/>
          <c:order val="0"/>
          <c:tx>
            <c:v>Correlation</c:v>
          </c:tx>
          <c:explosion val="1"/>
          <c:dPt>
            <c:idx val="0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C05E-42AD-8532-2A2A5A5CFBEC}"/>
              </c:ext>
            </c:extLst>
          </c:dPt>
          <c:dPt>
            <c:idx val="1"/>
            <c:bubble3D val="0"/>
            <c:spPr>
              <a:solidFill>
                <a:schemeClr val="tx1"/>
              </a:solidFill>
              <a:ln w="19050"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C05E-42AD-8532-2A2A5A5CFBEC}"/>
              </c:ext>
            </c:extLst>
          </c:dPt>
          <c:dPt>
            <c:idx val="2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C05E-42AD-8532-2A2A5A5CFBEC}"/>
              </c:ext>
            </c:extLst>
          </c:dPt>
          <c:dPt>
            <c:idx val="3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C05E-42AD-8532-2A2A5A5CFBEC}"/>
              </c:ext>
            </c:extLst>
          </c:dPt>
          <c:val>
            <c:numRef>
              <c:f>Speedometer!$E$3:$H$3</c:f>
              <c:numCache>
                <c:formatCode>0%</c:formatCode>
                <c:ptCount val="4"/>
                <c:pt idx="0">
                  <c:v>0.96555095912814104</c:v>
                </c:pt>
                <c:pt idx="1">
                  <c:v>0.01</c:v>
                </c:pt>
                <c:pt idx="2">
                  <c:v>3.444904087185896E-2</c:v>
                </c:pt>
                <c:pt idx="3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05E-42AD-8532-2A2A5A5CFB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</c:pieChart>
      <c:spPr>
        <a:noFill/>
        <a:ln w="0"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[Foley_FinalProject_Completed.xlsm]GasPrice at Pump!crudeGasRetail</c:name>
    <c:fmtId val="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rgbClr val="FF9900"/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 baseline="0">
                <a:solidFill>
                  <a:srgbClr val="FF9900"/>
                </a:solidFill>
              </a:rPr>
              <a:t>WholesaleGas to Retail Comparison</a:t>
            </a:r>
          </a:p>
        </c:rich>
      </c:tx>
      <c:layout>
        <c:manualLayout>
          <c:xMode val="edge"/>
          <c:yMode val="edge"/>
          <c:x val="0.12804746428678465"/>
          <c:y val="2.576414303649408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rgbClr val="FF9900"/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'GasPrice at Pump'!$K$1</c:f>
              <c:strCache>
                <c:ptCount val="1"/>
                <c:pt idx="0">
                  <c:v>WholeSaleGas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'GasPrice at Pump'!$J$2:$J$685</c:f>
              <c:strCache>
                <c:ptCount val="684"/>
                <c:pt idx="0">
                  <c:v>10/31/2019</c:v>
                </c:pt>
                <c:pt idx="1">
                  <c:v>11/1/2019</c:v>
                </c:pt>
                <c:pt idx="2">
                  <c:v>11/4/2019</c:v>
                </c:pt>
                <c:pt idx="3">
                  <c:v>11/5/2019</c:v>
                </c:pt>
                <c:pt idx="4">
                  <c:v>11/6/2019</c:v>
                </c:pt>
                <c:pt idx="5">
                  <c:v>11/7/2019</c:v>
                </c:pt>
                <c:pt idx="6">
                  <c:v>11/8/2019</c:v>
                </c:pt>
                <c:pt idx="7">
                  <c:v>11/11/2019</c:v>
                </c:pt>
                <c:pt idx="8">
                  <c:v>11/12/2019</c:v>
                </c:pt>
                <c:pt idx="9">
                  <c:v>11/13/2019</c:v>
                </c:pt>
                <c:pt idx="10">
                  <c:v>11/14/2019</c:v>
                </c:pt>
                <c:pt idx="11">
                  <c:v>11/15/2019</c:v>
                </c:pt>
                <c:pt idx="12">
                  <c:v>11/18/2019</c:v>
                </c:pt>
                <c:pt idx="13">
                  <c:v>11/19/2019</c:v>
                </c:pt>
                <c:pt idx="14">
                  <c:v>11/20/2019</c:v>
                </c:pt>
                <c:pt idx="15">
                  <c:v>11/21/2019</c:v>
                </c:pt>
                <c:pt idx="16">
                  <c:v>11/22/2019</c:v>
                </c:pt>
                <c:pt idx="17">
                  <c:v>11/25/2019</c:v>
                </c:pt>
                <c:pt idx="18">
                  <c:v>11/26/2019</c:v>
                </c:pt>
                <c:pt idx="19">
                  <c:v>11/27/2019</c:v>
                </c:pt>
                <c:pt idx="20">
                  <c:v>11/28/2019</c:v>
                </c:pt>
                <c:pt idx="21">
                  <c:v>11/29/2019</c:v>
                </c:pt>
                <c:pt idx="22">
                  <c:v>12/2/2019</c:v>
                </c:pt>
                <c:pt idx="23">
                  <c:v>12/3/2019</c:v>
                </c:pt>
                <c:pt idx="24">
                  <c:v>12/4/2019</c:v>
                </c:pt>
                <c:pt idx="25">
                  <c:v>12/5/2019</c:v>
                </c:pt>
                <c:pt idx="26">
                  <c:v>12/6/2019</c:v>
                </c:pt>
                <c:pt idx="27">
                  <c:v>12/9/2019</c:v>
                </c:pt>
                <c:pt idx="28">
                  <c:v>12/10/2019</c:v>
                </c:pt>
                <c:pt idx="29">
                  <c:v>12/11/2019</c:v>
                </c:pt>
                <c:pt idx="30">
                  <c:v>12/12/2019</c:v>
                </c:pt>
                <c:pt idx="31">
                  <c:v>12/13/2019</c:v>
                </c:pt>
                <c:pt idx="32">
                  <c:v>12/16/2019</c:v>
                </c:pt>
                <c:pt idx="33">
                  <c:v>12/17/2019</c:v>
                </c:pt>
                <c:pt idx="34">
                  <c:v>12/18/2019</c:v>
                </c:pt>
                <c:pt idx="35">
                  <c:v>12/19/2019</c:v>
                </c:pt>
                <c:pt idx="36">
                  <c:v>12/20/2019</c:v>
                </c:pt>
                <c:pt idx="37">
                  <c:v>12/23/2019</c:v>
                </c:pt>
                <c:pt idx="38">
                  <c:v>12/24/2019</c:v>
                </c:pt>
                <c:pt idx="39">
                  <c:v>12/26/2019</c:v>
                </c:pt>
                <c:pt idx="40">
                  <c:v>12/27/2019</c:v>
                </c:pt>
                <c:pt idx="41">
                  <c:v>12/30/2019</c:v>
                </c:pt>
                <c:pt idx="42">
                  <c:v>12/31/2019</c:v>
                </c:pt>
                <c:pt idx="43">
                  <c:v>1/2/2020</c:v>
                </c:pt>
                <c:pt idx="44">
                  <c:v>1/3/2020</c:v>
                </c:pt>
                <c:pt idx="45">
                  <c:v>1/6/2020</c:v>
                </c:pt>
                <c:pt idx="46">
                  <c:v>1/7/2020</c:v>
                </c:pt>
                <c:pt idx="47">
                  <c:v>1/8/2020</c:v>
                </c:pt>
                <c:pt idx="48">
                  <c:v>1/9/2020</c:v>
                </c:pt>
                <c:pt idx="49">
                  <c:v>1/10/2020</c:v>
                </c:pt>
                <c:pt idx="50">
                  <c:v>1/13/2020</c:v>
                </c:pt>
                <c:pt idx="51">
                  <c:v>1/14/2020</c:v>
                </c:pt>
                <c:pt idx="52">
                  <c:v>1/15/2020</c:v>
                </c:pt>
                <c:pt idx="53">
                  <c:v>1/16/2020</c:v>
                </c:pt>
                <c:pt idx="54">
                  <c:v>1/17/2020</c:v>
                </c:pt>
                <c:pt idx="55">
                  <c:v>1/20/2020</c:v>
                </c:pt>
                <c:pt idx="56">
                  <c:v>1/21/2020</c:v>
                </c:pt>
                <c:pt idx="57">
                  <c:v>1/22/2020</c:v>
                </c:pt>
                <c:pt idx="58">
                  <c:v>1/23/2020</c:v>
                </c:pt>
                <c:pt idx="59">
                  <c:v>1/24/2020</c:v>
                </c:pt>
                <c:pt idx="60">
                  <c:v>1/27/2020</c:v>
                </c:pt>
                <c:pt idx="61">
                  <c:v>1/28/2020</c:v>
                </c:pt>
                <c:pt idx="62">
                  <c:v>1/29/2020</c:v>
                </c:pt>
                <c:pt idx="63">
                  <c:v>1/30/2020</c:v>
                </c:pt>
                <c:pt idx="64">
                  <c:v>1/31/2020</c:v>
                </c:pt>
                <c:pt idx="65">
                  <c:v>2/3/2020</c:v>
                </c:pt>
                <c:pt idx="66">
                  <c:v>2/4/2020</c:v>
                </c:pt>
                <c:pt idx="67">
                  <c:v>2/5/2020</c:v>
                </c:pt>
                <c:pt idx="68">
                  <c:v>2/6/2020</c:v>
                </c:pt>
                <c:pt idx="69">
                  <c:v>2/7/2020</c:v>
                </c:pt>
                <c:pt idx="70">
                  <c:v>2/10/2020</c:v>
                </c:pt>
                <c:pt idx="71">
                  <c:v>2/11/2020</c:v>
                </c:pt>
                <c:pt idx="72">
                  <c:v>2/12/2020</c:v>
                </c:pt>
                <c:pt idx="73">
                  <c:v>2/13/2020</c:v>
                </c:pt>
                <c:pt idx="74">
                  <c:v>2/14/2020</c:v>
                </c:pt>
                <c:pt idx="75">
                  <c:v>2/17/2020</c:v>
                </c:pt>
                <c:pt idx="76">
                  <c:v>2/18/2020</c:v>
                </c:pt>
                <c:pt idx="77">
                  <c:v>2/19/2020</c:v>
                </c:pt>
                <c:pt idx="78">
                  <c:v>2/20/2020</c:v>
                </c:pt>
                <c:pt idx="79">
                  <c:v>2/21/2020</c:v>
                </c:pt>
                <c:pt idx="80">
                  <c:v>2/24/2020</c:v>
                </c:pt>
                <c:pt idx="81">
                  <c:v>2/25/2020</c:v>
                </c:pt>
                <c:pt idx="82">
                  <c:v>2/26/2020</c:v>
                </c:pt>
                <c:pt idx="83">
                  <c:v>2/27/2020</c:v>
                </c:pt>
                <c:pt idx="84">
                  <c:v>2/28/2020</c:v>
                </c:pt>
                <c:pt idx="85">
                  <c:v>3/2/2020</c:v>
                </c:pt>
                <c:pt idx="86">
                  <c:v>3/3/2020</c:v>
                </c:pt>
                <c:pt idx="87">
                  <c:v>3/4/2020</c:v>
                </c:pt>
                <c:pt idx="88">
                  <c:v>3/5/2020</c:v>
                </c:pt>
                <c:pt idx="89">
                  <c:v>3/6/2020</c:v>
                </c:pt>
                <c:pt idx="90">
                  <c:v>3/9/2020</c:v>
                </c:pt>
                <c:pt idx="91">
                  <c:v>3/10/2020</c:v>
                </c:pt>
                <c:pt idx="92">
                  <c:v>3/11/2020</c:v>
                </c:pt>
                <c:pt idx="93">
                  <c:v>3/12/2020</c:v>
                </c:pt>
                <c:pt idx="94">
                  <c:v>3/13/2020</c:v>
                </c:pt>
                <c:pt idx="95">
                  <c:v>3/16/2020</c:v>
                </c:pt>
                <c:pt idx="96">
                  <c:v>3/17/2020</c:v>
                </c:pt>
                <c:pt idx="97">
                  <c:v>3/18/2020</c:v>
                </c:pt>
                <c:pt idx="98">
                  <c:v>3/19/2020</c:v>
                </c:pt>
                <c:pt idx="99">
                  <c:v>3/20/2020</c:v>
                </c:pt>
                <c:pt idx="100">
                  <c:v>3/23/2020</c:v>
                </c:pt>
                <c:pt idx="101">
                  <c:v>3/24/2020</c:v>
                </c:pt>
                <c:pt idx="102">
                  <c:v>3/25/2020</c:v>
                </c:pt>
                <c:pt idx="103">
                  <c:v>3/26/2020</c:v>
                </c:pt>
                <c:pt idx="104">
                  <c:v>3/27/2020</c:v>
                </c:pt>
                <c:pt idx="105">
                  <c:v>3/30/2020</c:v>
                </c:pt>
                <c:pt idx="106">
                  <c:v>3/31/2020</c:v>
                </c:pt>
                <c:pt idx="107">
                  <c:v>4/1/2020</c:v>
                </c:pt>
                <c:pt idx="108">
                  <c:v>4/2/2020</c:v>
                </c:pt>
                <c:pt idx="109">
                  <c:v>4/3/2020</c:v>
                </c:pt>
                <c:pt idx="110">
                  <c:v>4/6/2020</c:v>
                </c:pt>
                <c:pt idx="111">
                  <c:v>4/7/2020</c:v>
                </c:pt>
                <c:pt idx="112">
                  <c:v>4/8/2020</c:v>
                </c:pt>
                <c:pt idx="113">
                  <c:v>4/9/2020</c:v>
                </c:pt>
                <c:pt idx="114">
                  <c:v>4/13/2020</c:v>
                </c:pt>
                <c:pt idx="115">
                  <c:v>4/14/2020</c:v>
                </c:pt>
                <c:pt idx="116">
                  <c:v>4/15/2020</c:v>
                </c:pt>
                <c:pt idx="117">
                  <c:v>4/16/2020</c:v>
                </c:pt>
                <c:pt idx="118">
                  <c:v>4/17/2020</c:v>
                </c:pt>
                <c:pt idx="119">
                  <c:v>4/20/2020</c:v>
                </c:pt>
                <c:pt idx="120">
                  <c:v>4/21/2020</c:v>
                </c:pt>
                <c:pt idx="121">
                  <c:v>4/22/2020</c:v>
                </c:pt>
                <c:pt idx="122">
                  <c:v>4/23/2020</c:v>
                </c:pt>
                <c:pt idx="123">
                  <c:v>4/24/2020</c:v>
                </c:pt>
                <c:pt idx="124">
                  <c:v>4/27/2020</c:v>
                </c:pt>
                <c:pt idx="125">
                  <c:v>4/28/2020</c:v>
                </c:pt>
                <c:pt idx="126">
                  <c:v>4/29/2020</c:v>
                </c:pt>
                <c:pt idx="127">
                  <c:v>4/30/2020</c:v>
                </c:pt>
                <c:pt idx="128">
                  <c:v>5/1/2020</c:v>
                </c:pt>
                <c:pt idx="129">
                  <c:v>5/4/2020</c:v>
                </c:pt>
                <c:pt idx="130">
                  <c:v>5/5/2020</c:v>
                </c:pt>
                <c:pt idx="131">
                  <c:v>5/6/2020</c:v>
                </c:pt>
                <c:pt idx="132">
                  <c:v>5/7/2020</c:v>
                </c:pt>
                <c:pt idx="133">
                  <c:v>5/8/2020</c:v>
                </c:pt>
                <c:pt idx="134">
                  <c:v>5/11/2020</c:v>
                </c:pt>
                <c:pt idx="135">
                  <c:v>5/12/2020</c:v>
                </c:pt>
                <c:pt idx="136">
                  <c:v>5/13/2020</c:v>
                </c:pt>
                <c:pt idx="137">
                  <c:v>5/14/2020</c:v>
                </c:pt>
                <c:pt idx="138">
                  <c:v>5/15/2020</c:v>
                </c:pt>
                <c:pt idx="139">
                  <c:v>5/18/2020</c:v>
                </c:pt>
                <c:pt idx="140">
                  <c:v>5/19/2020</c:v>
                </c:pt>
                <c:pt idx="141">
                  <c:v>5/20/2020</c:v>
                </c:pt>
                <c:pt idx="142">
                  <c:v>5/21/2020</c:v>
                </c:pt>
                <c:pt idx="143">
                  <c:v>5/22/2020</c:v>
                </c:pt>
                <c:pt idx="144">
                  <c:v>5/26/2020</c:v>
                </c:pt>
                <c:pt idx="145">
                  <c:v>5/27/2020</c:v>
                </c:pt>
                <c:pt idx="146">
                  <c:v>5/28/2020</c:v>
                </c:pt>
                <c:pt idx="147">
                  <c:v>5/29/2020</c:v>
                </c:pt>
                <c:pt idx="148">
                  <c:v>6/1/2020</c:v>
                </c:pt>
                <c:pt idx="149">
                  <c:v>6/2/2020</c:v>
                </c:pt>
                <c:pt idx="150">
                  <c:v>6/3/2020</c:v>
                </c:pt>
                <c:pt idx="151">
                  <c:v>6/4/2020</c:v>
                </c:pt>
                <c:pt idx="152">
                  <c:v>6/5/2020</c:v>
                </c:pt>
                <c:pt idx="153">
                  <c:v>6/8/2020</c:v>
                </c:pt>
                <c:pt idx="154">
                  <c:v>6/9/2020</c:v>
                </c:pt>
                <c:pt idx="155">
                  <c:v>6/10/2020</c:v>
                </c:pt>
                <c:pt idx="156">
                  <c:v>6/11/2020</c:v>
                </c:pt>
                <c:pt idx="157">
                  <c:v>6/12/2020</c:v>
                </c:pt>
                <c:pt idx="158">
                  <c:v>6/15/2020</c:v>
                </c:pt>
                <c:pt idx="159">
                  <c:v>6/16/2020</c:v>
                </c:pt>
                <c:pt idx="160">
                  <c:v>6/17/2020</c:v>
                </c:pt>
                <c:pt idx="161">
                  <c:v>6/18/2020</c:v>
                </c:pt>
                <c:pt idx="162">
                  <c:v>6/19/2020</c:v>
                </c:pt>
                <c:pt idx="163">
                  <c:v>6/22/2020</c:v>
                </c:pt>
                <c:pt idx="164">
                  <c:v>6/23/2020</c:v>
                </c:pt>
                <c:pt idx="165">
                  <c:v>6/24/2020</c:v>
                </c:pt>
                <c:pt idx="166">
                  <c:v>6/25/2020</c:v>
                </c:pt>
                <c:pt idx="167">
                  <c:v>6/26/2020</c:v>
                </c:pt>
                <c:pt idx="168">
                  <c:v>6/29/2020</c:v>
                </c:pt>
                <c:pt idx="169">
                  <c:v>6/30/2020</c:v>
                </c:pt>
                <c:pt idx="170">
                  <c:v>7/1/2020</c:v>
                </c:pt>
                <c:pt idx="171">
                  <c:v>7/2/2020</c:v>
                </c:pt>
                <c:pt idx="172">
                  <c:v>7/3/2020</c:v>
                </c:pt>
                <c:pt idx="173">
                  <c:v>7/6/2020</c:v>
                </c:pt>
                <c:pt idx="174">
                  <c:v>7/7/2020</c:v>
                </c:pt>
                <c:pt idx="175">
                  <c:v>7/8/2020</c:v>
                </c:pt>
                <c:pt idx="176">
                  <c:v>7/9/2020</c:v>
                </c:pt>
                <c:pt idx="177">
                  <c:v>7/10/2020</c:v>
                </c:pt>
                <c:pt idx="178">
                  <c:v>7/13/2020</c:v>
                </c:pt>
                <c:pt idx="179">
                  <c:v>7/14/2020</c:v>
                </c:pt>
                <c:pt idx="180">
                  <c:v>7/15/2020</c:v>
                </c:pt>
                <c:pt idx="181">
                  <c:v>7/16/2020</c:v>
                </c:pt>
                <c:pt idx="182">
                  <c:v>7/17/2020</c:v>
                </c:pt>
                <c:pt idx="183">
                  <c:v>7/20/2020</c:v>
                </c:pt>
                <c:pt idx="184">
                  <c:v>7/21/2020</c:v>
                </c:pt>
                <c:pt idx="185">
                  <c:v>7/22/2020</c:v>
                </c:pt>
                <c:pt idx="186">
                  <c:v>7/23/2020</c:v>
                </c:pt>
                <c:pt idx="187">
                  <c:v>7/24/2020</c:v>
                </c:pt>
                <c:pt idx="188">
                  <c:v>7/27/2020</c:v>
                </c:pt>
                <c:pt idx="189">
                  <c:v>7/28/2020</c:v>
                </c:pt>
                <c:pt idx="190">
                  <c:v>7/29/2020</c:v>
                </c:pt>
                <c:pt idx="191">
                  <c:v>7/30/2020</c:v>
                </c:pt>
                <c:pt idx="192">
                  <c:v>7/31/2020</c:v>
                </c:pt>
                <c:pt idx="193">
                  <c:v>8/3/2020</c:v>
                </c:pt>
                <c:pt idx="194">
                  <c:v>8/4/2020</c:v>
                </c:pt>
                <c:pt idx="195">
                  <c:v>8/5/2020</c:v>
                </c:pt>
                <c:pt idx="196">
                  <c:v>8/6/2020</c:v>
                </c:pt>
                <c:pt idx="197">
                  <c:v>8/7/2020</c:v>
                </c:pt>
                <c:pt idx="198">
                  <c:v>8/10/2020</c:v>
                </c:pt>
                <c:pt idx="199">
                  <c:v>8/11/2020</c:v>
                </c:pt>
                <c:pt idx="200">
                  <c:v>8/12/2020</c:v>
                </c:pt>
                <c:pt idx="201">
                  <c:v>8/13/2020</c:v>
                </c:pt>
                <c:pt idx="202">
                  <c:v>8/14/2020</c:v>
                </c:pt>
                <c:pt idx="203">
                  <c:v>8/17/2020</c:v>
                </c:pt>
                <c:pt idx="204">
                  <c:v>8/18/2020</c:v>
                </c:pt>
                <c:pt idx="205">
                  <c:v>8/19/2020</c:v>
                </c:pt>
                <c:pt idx="206">
                  <c:v>8/20/2020</c:v>
                </c:pt>
                <c:pt idx="207">
                  <c:v>8/21/2020</c:v>
                </c:pt>
                <c:pt idx="208">
                  <c:v>8/24/2020</c:v>
                </c:pt>
                <c:pt idx="209">
                  <c:v>8/25/2020</c:v>
                </c:pt>
                <c:pt idx="210">
                  <c:v>8/26/2020</c:v>
                </c:pt>
                <c:pt idx="211">
                  <c:v>8/27/2020</c:v>
                </c:pt>
                <c:pt idx="212">
                  <c:v>8/28/2020</c:v>
                </c:pt>
                <c:pt idx="213">
                  <c:v>8/31/2020</c:v>
                </c:pt>
                <c:pt idx="214">
                  <c:v>9/1/2020</c:v>
                </c:pt>
                <c:pt idx="215">
                  <c:v>9/2/2020</c:v>
                </c:pt>
                <c:pt idx="216">
                  <c:v>9/3/2020</c:v>
                </c:pt>
                <c:pt idx="217">
                  <c:v>9/4/2020</c:v>
                </c:pt>
                <c:pt idx="218">
                  <c:v>9/7/2020</c:v>
                </c:pt>
                <c:pt idx="219">
                  <c:v>9/8/2020</c:v>
                </c:pt>
                <c:pt idx="220">
                  <c:v>9/9/2020</c:v>
                </c:pt>
                <c:pt idx="221">
                  <c:v>9/10/2020</c:v>
                </c:pt>
                <c:pt idx="222">
                  <c:v>9/11/2020</c:v>
                </c:pt>
                <c:pt idx="223">
                  <c:v>9/14/2020</c:v>
                </c:pt>
                <c:pt idx="224">
                  <c:v>9/15/2020</c:v>
                </c:pt>
                <c:pt idx="225">
                  <c:v>9/16/2020</c:v>
                </c:pt>
                <c:pt idx="226">
                  <c:v>9/17/2020</c:v>
                </c:pt>
                <c:pt idx="227">
                  <c:v>9/18/2020</c:v>
                </c:pt>
                <c:pt idx="228">
                  <c:v>9/21/2020</c:v>
                </c:pt>
                <c:pt idx="229">
                  <c:v>9/22/2020</c:v>
                </c:pt>
                <c:pt idx="230">
                  <c:v>9/23/2020</c:v>
                </c:pt>
                <c:pt idx="231">
                  <c:v>9/24/2020</c:v>
                </c:pt>
                <c:pt idx="232">
                  <c:v>9/25/2020</c:v>
                </c:pt>
                <c:pt idx="233">
                  <c:v>9/28/2020</c:v>
                </c:pt>
                <c:pt idx="234">
                  <c:v>9/29/2020</c:v>
                </c:pt>
                <c:pt idx="235">
                  <c:v>9/30/2020</c:v>
                </c:pt>
                <c:pt idx="236">
                  <c:v>10/1/2020</c:v>
                </c:pt>
                <c:pt idx="237">
                  <c:v>10/2/2020</c:v>
                </c:pt>
                <c:pt idx="238">
                  <c:v>10/5/2020</c:v>
                </c:pt>
                <c:pt idx="239">
                  <c:v>10/6/2020</c:v>
                </c:pt>
                <c:pt idx="240">
                  <c:v>10/7/2020</c:v>
                </c:pt>
                <c:pt idx="241">
                  <c:v>10/8/2020</c:v>
                </c:pt>
                <c:pt idx="242">
                  <c:v>10/9/2020</c:v>
                </c:pt>
                <c:pt idx="243">
                  <c:v>10/12/2020</c:v>
                </c:pt>
                <c:pt idx="244">
                  <c:v>10/13/2020</c:v>
                </c:pt>
                <c:pt idx="245">
                  <c:v>10/14/2020</c:v>
                </c:pt>
                <c:pt idx="246">
                  <c:v>10/15/2020</c:v>
                </c:pt>
                <c:pt idx="247">
                  <c:v>10/16/2020</c:v>
                </c:pt>
                <c:pt idx="248">
                  <c:v>10/19/2020</c:v>
                </c:pt>
                <c:pt idx="249">
                  <c:v>10/20/2020</c:v>
                </c:pt>
                <c:pt idx="250">
                  <c:v>10/21/2020</c:v>
                </c:pt>
                <c:pt idx="251">
                  <c:v>10/22/2020</c:v>
                </c:pt>
                <c:pt idx="252">
                  <c:v>10/23/2020</c:v>
                </c:pt>
                <c:pt idx="253">
                  <c:v>10/26/2020</c:v>
                </c:pt>
                <c:pt idx="254">
                  <c:v>10/27/2020</c:v>
                </c:pt>
                <c:pt idx="255">
                  <c:v>10/28/2020</c:v>
                </c:pt>
                <c:pt idx="256">
                  <c:v>10/29/2020</c:v>
                </c:pt>
                <c:pt idx="257">
                  <c:v>10/30/2020</c:v>
                </c:pt>
                <c:pt idx="258">
                  <c:v>11/2/2020</c:v>
                </c:pt>
                <c:pt idx="259">
                  <c:v>11/3/2020</c:v>
                </c:pt>
                <c:pt idx="260">
                  <c:v>11/4/2020</c:v>
                </c:pt>
                <c:pt idx="261">
                  <c:v>11/5/2020</c:v>
                </c:pt>
                <c:pt idx="262">
                  <c:v>11/6/2020</c:v>
                </c:pt>
                <c:pt idx="263">
                  <c:v>11/9/2020</c:v>
                </c:pt>
                <c:pt idx="264">
                  <c:v>11/10/2020</c:v>
                </c:pt>
                <c:pt idx="265">
                  <c:v>11/11/2020</c:v>
                </c:pt>
                <c:pt idx="266">
                  <c:v>11/12/2020</c:v>
                </c:pt>
                <c:pt idx="267">
                  <c:v>11/13/2020</c:v>
                </c:pt>
                <c:pt idx="268">
                  <c:v>11/16/2020</c:v>
                </c:pt>
                <c:pt idx="269">
                  <c:v>11/17/2020</c:v>
                </c:pt>
                <c:pt idx="270">
                  <c:v>11/18/2020</c:v>
                </c:pt>
                <c:pt idx="271">
                  <c:v>11/19/2020</c:v>
                </c:pt>
                <c:pt idx="272">
                  <c:v>11/20/2020</c:v>
                </c:pt>
                <c:pt idx="273">
                  <c:v>11/23/2020</c:v>
                </c:pt>
                <c:pt idx="274">
                  <c:v>11/24/2020</c:v>
                </c:pt>
                <c:pt idx="275">
                  <c:v>11/25/2020</c:v>
                </c:pt>
                <c:pt idx="276">
                  <c:v>11/26/2020</c:v>
                </c:pt>
                <c:pt idx="277">
                  <c:v>11/27/2020</c:v>
                </c:pt>
                <c:pt idx="278">
                  <c:v>11/30/2020</c:v>
                </c:pt>
                <c:pt idx="279">
                  <c:v>12/1/2020</c:v>
                </c:pt>
                <c:pt idx="280">
                  <c:v>12/2/2020</c:v>
                </c:pt>
                <c:pt idx="281">
                  <c:v>12/3/2020</c:v>
                </c:pt>
                <c:pt idx="282">
                  <c:v>12/4/2020</c:v>
                </c:pt>
                <c:pt idx="283">
                  <c:v>12/7/2020</c:v>
                </c:pt>
                <c:pt idx="284">
                  <c:v>12/8/2020</c:v>
                </c:pt>
                <c:pt idx="285">
                  <c:v>12/9/2020</c:v>
                </c:pt>
                <c:pt idx="286">
                  <c:v>12/10/2020</c:v>
                </c:pt>
                <c:pt idx="287">
                  <c:v>12/11/2020</c:v>
                </c:pt>
                <c:pt idx="288">
                  <c:v>12/14/2020</c:v>
                </c:pt>
                <c:pt idx="289">
                  <c:v>12/15/2020</c:v>
                </c:pt>
                <c:pt idx="290">
                  <c:v>12/16/2020</c:v>
                </c:pt>
                <c:pt idx="291">
                  <c:v>12/17/2020</c:v>
                </c:pt>
                <c:pt idx="292">
                  <c:v>12/18/2020</c:v>
                </c:pt>
                <c:pt idx="293">
                  <c:v>12/21/2020</c:v>
                </c:pt>
                <c:pt idx="294">
                  <c:v>12/22/2020</c:v>
                </c:pt>
                <c:pt idx="295">
                  <c:v>12/23/2020</c:v>
                </c:pt>
                <c:pt idx="296">
                  <c:v>12/24/2020</c:v>
                </c:pt>
                <c:pt idx="297">
                  <c:v>12/28/2020</c:v>
                </c:pt>
                <c:pt idx="298">
                  <c:v>12/29/2020</c:v>
                </c:pt>
                <c:pt idx="299">
                  <c:v>12/30/2020</c:v>
                </c:pt>
                <c:pt idx="300">
                  <c:v>12/31/2020</c:v>
                </c:pt>
                <c:pt idx="301">
                  <c:v>1/4/2021</c:v>
                </c:pt>
                <c:pt idx="302">
                  <c:v>1/5/2021</c:v>
                </c:pt>
                <c:pt idx="303">
                  <c:v>1/6/2021</c:v>
                </c:pt>
                <c:pt idx="304">
                  <c:v>1/7/2021</c:v>
                </c:pt>
                <c:pt idx="305">
                  <c:v>1/8/2021</c:v>
                </c:pt>
                <c:pt idx="306">
                  <c:v>1/11/2021</c:v>
                </c:pt>
                <c:pt idx="307">
                  <c:v>1/12/2021</c:v>
                </c:pt>
                <c:pt idx="308">
                  <c:v>1/13/2021</c:v>
                </c:pt>
                <c:pt idx="309">
                  <c:v>1/14/2021</c:v>
                </c:pt>
                <c:pt idx="310">
                  <c:v>1/15/2021</c:v>
                </c:pt>
                <c:pt idx="311">
                  <c:v>1/18/2021</c:v>
                </c:pt>
                <c:pt idx="312">
                  <c:v>1/19/2021</c:v>
                </c:pt>
                <c:pt idx="313">
                  <c:v>1/20/2021</c:v>
                </c:pt>
                <c:pt idx="314">
                  <c:v>1/21/2021</c:v>
                </c:pt>
                <c:pt idx="315">
                  <c:v>1/22/2021</c:v>
                </c:pt>
                <c:pt idx="316">
                  <c:v>1/25/2021</c:v>
                </c:pt>
                <c:pt idx="317">
                  <c:v>1/26/2021</c:v>
                </c:pt>
                <c:pt idx="318">
                  <c:v>1/27/2021</c:v>
                </c:pt>
                <c:pt idx="319">
                  <c:v>1/28/2021</c:v>
                </c:pt>
                <c:pt idx="320">
                  <c:v>1/29/2021</c:v>
                </c:pt>
                <c:pt idx="321">
                  <c:v>2/1/2021</c:v>
                </c:pt>
                <c:pt idx="322">
                  <c:v>2/2/2021</c:v>
                </c:pt>
                <c:pt idx="323">
                  <c:v>2/3/2021</c:v>
                </c:pt>
                <c:pt idx="324">
                  <c:v>2/4/2021</c:v>
                </c:pt>
                <c:pt idx="325">
                  <c:v>2/5/2021</c:v>
                </c:pt>
                <c:pt idx="326">
                  <c:v>2/8/2021</c:v>
                </c:pt>
                <c:pt idx="327">
                  <c:v>2/9/2021</c:v>
                </c:pt>
                <c:pt idx="328">
                  <c:v>2/10/2021</c:v>
                </c:pt>
                <c:pt idx="329">
                  <c:v>2/11/2021</c:v>
                </c:pt>
                <c:pt idx="330">
                  <c:v>2/12/2021</c:v>
                </c:pt>
                <c:pt idx="331">
                  <c:v>2/15/2021</c:v>
                </c:pt>
                <c:pt idx="332">
                  <c:v>2/16/2021</c:v>
                </c:pt>
                <c:pt idx="333">
                  <c:v>2/17/2021</c:v>
                </c:pt>
                <c:pt idx="334">
                  <c:v>2/18/2021</c:v>
                </c:pt>
                <c:pt idx="335">
                  <c:v>2/19/2021</c:v>
                </c:pt>
                <c:pt idx="336">
                  <c:v>2/22/2021</c:v>
                </c:pt>
                <c:pt idx="337">
                  <c:v>2/23/2021</c:v>
                </c:pt>
                <c:pt idx="338">
                  <c:v>2/24/2021</c:v>
                </c:pt>
                <c:pt idx="339">
                  <c:v>2/25/2021</c:v>
                </c:pt>
                <c:pt idx="340">
                  <c:v>2/26/2021</c:v>
                </c:pt>
                <c:pt idx="341">
                  <c:v>3/1/2021</c:v>
                </c:pt>
                <c:pt idx="342">
                  <c:v>3/2/2021</c:v>
                </c:pt>
                <c:pt idx="343">
                  <c:v>3/3/2021</c:v>
                </c:pt>
                <c:pt idx="344">
                  <c:v>3/4/2021</c:v>
                </c:pt>
                <c:pt idx="345">
                  <c:v>3/5/2021</c:v>
                </c:pt>
                <c:pt idx="346">
                  <c:v>3/8/2021</c:v>
                </c:pt>
                <c:pt idx="347">
                  <c:v>3/9/2021</c:v>
                </c:pt>
                <c:pt idx="348">
                  <c:v>3/10/2021</c:v>
                </c:pt>
                <c:pt idx="349">
                  <c:v>3/11/2021</c:v>
                </c:pt>
                <c:pt idx="350">
                  <c:v>3/12/2021</c:v>
                </c:pt>
                <c:pt idx="351">
                  <c:v>3/15/2021</c:v>
                </c:pt>
                <c:pt idx="352">
                  <c:v>3/16/2021</c:v>
                </c:pt>
                <c:pt idx="353">
                  <c:v>3/17/2021</c:v>
                </c:pt>
                <c:pt idx="354">
                  <c:v>3/18/2021</c:v>
                </c:pt>
                <c:pt idx="355">
                  <c:v>3/19/2021</c:v>
                </c:pt>
                <c:pt idx="356">
                  <c:v>3/22/2021</c:v>
                </c:pt>
                <c:pt idx="357">
                  <c:v>3/23/2021</c:v>
                </c:pt>
                <c:pt idx="358">
                  <c:v>3/24/2021</c:v>
                </c:pt>
                <c:pt idx="359">
                  <c:v>3/25/2021</c:v>
                </c:pt>
                <c:pt idx="360">
                  <c:v>3/26/2021</c:v>
                </c:pt>
                <c:pt idx="361">
                  <c:v>3/29/2021</c:v>
                </c:pt>
                <c:pt idx="362">
                  <c:v>3/30/2021</c:v>
                </c:pt>
                <c:pt idx="363">
                  <c:v>3/31/2021</c:v>
                </c:pt>
                <c:pt idx="364">
                  <c:v>4/1/2021</c:v>
                </c:pt>
                <c:pt idx="365">
                  <c:v>4/5/2021</c:v>
                </c:pt>
                <c:pt idx="366">
                  <c:v>4/6/2021</c:v>
                </c:pt>
                <c:pt idx="367">
                  <c:v>4/7/2021</c:v>
                </c:pt>
                <c:pt idx="368">
                  <c:v>4/8/2021</c:v>
                </c:pt>
                <c:pt idx="369">
                  <c:v>4/9/2021</c:v>
                </c:pt>
                <c:pt idx="370">
                  <c:v>4/12/2021</c:v>
                </c:pt>
                <c:pt idx="371">
                  <c:v>4/13/2021</c:v>
                </c:pt>
                <c:pt idx="372">
                  <c:v>4/14/2021</c:v>
                </c:pt>
                <c:pt idx="373">
                  <c:v>4/15/2021</c:v>
                </c:pt>
                <c:pt idx="374">
                  <c:v>4/16/2021</c:v>
                </c:pt>
                <c:pt idx="375">
                  <c:v>4/19/2021</c:v>
                </c:pt>
                <c:pt idx="376">
                  <c:v>4/20/2021</c:v>
                </c:pt>
                <c:pt idx="377">
                  <c:v>4/21/2021</c:v>
                </c:pt>
                <c:pt idx="378">
                  <c:v>4/22/2021</c:v>
                </c:pt>
                <c:pt idx="379">
                  <c:v>4/23/2021</c:v>
                </c:pt>
                <c:pt idx="380">
                  <c:v>4/26/2021</c:v>
                </c:pt>
                <c:pt idx="381">
                  <c:v>4/27/2021</c:v>
                </c:pt>
                <c:pt idx="382">
                  <c:v>4/28/2021</c:v>
                </c:pt>
                <c:pt idx="383">
                  <c:v>4/29/2021</c:v>
                </c:pt>
                <c:pt idx="384">
                  <c:v>4/30/2021</c:v>
                </c:pt>
                <c:pt idx="385">
                  <c:v>5/3/2021</c:v>
                </c:pt>
                <c:pt idx="386">
                  <c:v>5/4/2021</c:v>
                </c:pt>
                <c:pt idx="387">
                  <c:v>5/5/2021</c:v>
                </c:pt>
                <c:pt idx="388">
                  <c:v>5/6/2021</c:v>
                </c:pt>
                <c:pt idx="389">
                  <c:v>5/7/2021</c:v>
                </c:pt>
                <c:pt idx="390">
                  <c:v>5/10/2021</c:v>
                </c:pt>
                <c:pt idx="391">
                  <c:v>5/11/2021</c:v>
                </c:pt>
                <c:pt idx="392">
                  <c:v>5/12/2021</c:v>
                </c:pt>
                <c:pt idx="393">
                  <c:v>5/13/2021</c:v>
                </c:pt>
                <c:pt idx="394">
                  <c:v>5/14/2021</c:v>
                </c:pt>
                <c:pt idx="395">
                  <c:v>5/17/2021</c:v>
                </c:pt>
                <c:pt idx="396">
                  <c:v>5/18/2021</c:v>
                </c:pt>
                <c:pt idx="397">
                  <c:v>5/19/2021</c:v>
                </c:pt>
                <c:pt idx="398">
                  <c:v>5/20/2021</c:v>
                </c:pt>
                <c:pt idx="399">
                  <c:v>5/21/2021</c:v>
                </c:pt>
                <c:pt idx="400">
                  <c:v>5/24/2021</c:v>
                </c:pt>
                <c:pt idx="401">
                  <c:v>5/25/2021</c:v>
                </c:pt>
                <c:pt idx="402">
                  <c:v>5/26/2021</c:v>
                </c:pt>
                <c:pt idx="403">
                  <c:v>5/27/2021</c:v>
                </c:pt>
                <c:pt idx="404">
                  <c:v>5/28/2021</c:v>
                </c:pt>
                <c:pt idx="405">
                  <c:v>5/31/2021</c:v>
                </c:pt>
                <c:pt idx="406">
                  <c:v>6/1/2021</c:v>
                </c:pt>
                <c:pt idx="407">
                  <c:v>6/2/2021</c:v>
                </c:pt>
                <c:pt idx="408">
                  <c:v>6/3/2021</c:v>
                </c:pt>
                <c:pt idx="409">
                  <c:v>6/4/2021</c:v>
                </c:pt>
                <c:pt idx="410">
                  <c:v>6/7/2021</c:v>
                </c:pt>
                <c:pt idx="411">
                  <c:v>6/8/2021</c:v>
                </c:pt>
                <c:pt idx="412">
                  <c:v>6/9/2021</c:v>
                </c:pt>
                <c:pt idx="413">
                  <c:v>6/10/2021</c:v>
                </c:pt>
                <c:pt idx="414">
                  <c:v>6/11/2021</c:v>
                </c:pt>
                <c:pt idx="415">
                  <c:v>6/14/2021</c:v>
                </c:pt>
                <c:pt idx="416">
                  <c:v>6/15/2021</c:v>
                </c:pt>
                <c:pt idx="417">
                  <c:v>6/16/2021</c:v>
                </c:pt>
                <c:pt idx="418">
                  <c:v>6/17/2021</c:v>
                </c:pt>
                <c:pt idx="419">
                  <c:v>6/18/2021</c:v>
                </c:pt>
                <c:pt idx="420">
                  <c:v>6/21/2021</c:v>
                </c:pt>
                <c:pt idx="421">
                  <c:v>6/22/2021</c:v>
                </c:pt>
                <c:pt idx="422">
                  <c:v>6/23/2021</c:v>
                </c:pt>
                <c:pt idx="423">
                  <c:v>6/24/2021</c:v>
                </c:pt>
                <c:pt idx="424">
                  <c:v>6/25/2021</c:v>
                </c:pt>
                <c:pt idx="425">
                  <c:v>6/28/2021</c:v>
                </c:pt>
                <c:pt idx="426">
                  <c:v>6/29/2021</c:v>
                </c:pt>
                <c:pt idx="427">
                  <c:v>6/30/2021</c:v>
                </c:pt>
                <c:pt idx="428">
                  <c:v>7/1/2021</c:v>
                </c:pt>
                <c:pt idx="429">
                  <c:v>7/2/2021</c:v>
                </c:pt>
                <c:pt idx="430">
                  <c:v>7/5/2021</c:v>
                </c:pt>
                <c:pt idx="431">
                  <c:v>7/6/2021</c:v>
                </c:pt>
                <c:pt idx="432">
                  <c:v>7/7/2021</c:v>
                </c:pt>
                <c:pt idx="433">
                  <c:v>7/8/2021</c:v>
                </c:pt>
                <c:pt idx="434">
                  <c:v>7/9/2021</c:v>
                </c:pt>
                <c:pt idx="435">
                  <c:v>7/12/2021</c:v>
                </c:pt>
                <c:pt idx="436">
                  <c:v>7/13/2021</c:v>
                </c:pt>
                <c:pt idx="437">
                  <c:v>7/14/2021</c:v>
                </c:pt>
                <c:pt idx="438">
                  <c:v>7/15/2021</c:v>
                </c:pt>
                <c:pt idx="439">
                  <c:v>7/16/2021</c:v>
                </c:pt>
                <c:pt idx="440">
                  <c:v>7/19/2021</c:v>
                </c:pt>
                <c:pt idx="441">
                  <c:v>7/20/2021</c:v>
                </c:pt>
                <c:pt idx="442">
                  <c:v>7/21/2021</c:v>
                </c:pt>
                <c:pt idx="443">
                  <c:v>7/22/2021</c:v>
                </c:pt>
                <c:pt idx="444">
                  <c:v>7/23/2021</c:v>
                </c:pt>
                <c:pt idx="445">
                  <c:v>7/26/2021</c:v>
                </c:pt>
                <c:pt idx="446">
                  <c:v>7/27/2021</c:v>
                </c:pt>
                <c:pt idx="447">
                  <c:v>7/28/2021</c:v>
                </c:pt>
                <c:pt idx="448">
                  <c:v>7/29/2021</c:v>
                </c:pt>
                <c:pt idx="449">
                  <c:v>7/30/2021</c:v>
                </c:pt>
                <c:pt idx="450">
                  <c:v>8/2/2021</c:v>
                </c:pt>
                <c:pt idx="451">
                  <c:v>8/3/2021</c:v>
                </c:pt>
                <c:pt idx="452">
                  <c:v>8/4/2021</c:v>
                </c:pt>
                <c:pt idx="453">
                  <c:v>8/5/2021</c:v>
                </c:pt>
                <c:pt idx="454">
                  <c:v>8/6/2021</c:v>
                </c:pt>
                <c:pt idx="455">
                  <c:v>8/9/2021</c:v>
                </c:pt>
                <c:pt idx="456">
                  <c:v>8/10/2021</c:v>
                </c:pt>
                <c:pt idx="457">
                  <c:v>8/11/2021</c:v>
                </c:pt>
                <c:pt idx="458">
                  <c:v>8/12/2021</c:v>
                </c:pt>
                <c:pt idx="459">
                  <c:v>8/13/2021</c:v>
                </c:pt>
                <c:pt idx="460">
                  <c:v>8/16/2021</c:v>
                </c:pt>
                <c:pt idx="461">
                  <c:v>8/17/2021</c:v>
                </c:pt>
                <c:pt idx="462">
                  <c:v>8/18/2021</c:v>
                </c:pt>
                <c:pt idx="463">
                  <c:v>8/19/2021</c:v>
                </c:pt>
                <c:pt idx="464">
                  <c:v>8/20/2021</c:v>
                </c:pt>
                <c:pt idx="465">
                  <c:v>8/23/2021</c:v>
                </c:pt>
                <c:pt idx="466">
                  <c:v>8/24/2021</c:v>
                </c:pt>
                <c:pt idx="467">
                  <c:v>8/25/2021</c:v>
                </c:pt>
                <c:pt idx="468">
                  <c:v>8/26/2021</c:v>
                </c:pt>
                <c:pt idx="469">
                  <c:v>8/27/2021</c:v>
                </c:pt>
                <c:pt idx="470">
                  <c:v>8/30/2021</c:v>
                </c:pt>
                <c:pt idx="471">
                  <c:v>8/31/2021</c:v>
                </c:pt>
                <c:pt idx="472">
                  <c:v>9/1/2021</c:v>
                </c:pt>
                <c:pt idx="473">
                  <c:v>9/2/2021</c:v>
                </c:pt>
                <c:pt idx="474">
                  <c:v>9/3/2021</c:v>
                </c:pt>
                <c:pt idx="475">
                  <c:v>9/6/2021</c:v>
                </c:pt>
                <c:pt idx="476">
                  <c:v>9/7/2021</c:v>
                </c:pt>
                <c:pt idx="477">
                  <c:v>9/8/2021</c:v>
                </c:pt>
                <c:pt idx="478">
                  <c:v>9/9/2021</c:v>
                </c:pt>
                <c:pt idx="479">
                  <c:v>9/10/2021</c:v>
                </c:pt>
                <c:pt idx="480">
                  <c:v>9/13/2021</c:v>
                </c:pt>
                <c:pt idx="481">
                  <c:v>9/14/2021</c:v>
                </c:pt>
                <c:pt idx="482">
                  <c:v>9/15/2021</c:v>
                </c:pt>
                <c:pt idx="483">
                  <c:v>9/16/2021</c:v>
                </c:pt>
                <c:pt idx="484">
                  <c:v>9/17/2021</c:v>
                </c:pt>
                <c:pt idx="485">
                  <c:v>9/20/2021</c:v>
                </c:pt>
                <c:pt idx="486">
                  <c:v>9/21/2021</c:v>
                </c:pt>
                <c:pt idx="487">
                  <c:v>9/22/2021</c:v>
                </c:pt>
                <c:pt idx="488">
                  <c:v>9/23/2021</c:v>
                </c:pt>
                <c:pt idx="489">
                  <c:v>9/24/2021</c:v>
                </c:pt>
                <c:pt idx="490">
                  <c:v>9/27/2021</c:v>
                </c:pt>
                <c:pt idx="491">
                  <c:v>9/28/2021</c:v>
                </c:pt>
                <c:pt idx="492">
                  <c:v>9/29/2021</c:v>
                </c:pt>
                <c:pt idx="493">
                  <c:v>9/30/2021</c:v>
                </c:pt>
                <c:pt idx="494">
                  <c:v>10/1/2021</c:v>
                </c:pt>
                <c:pt idx="495">
                  <c:v>10/4/2021</c:v>
                </c:pt>
                <c:pt idx="496">
                  <c:v>10/5/2021</c:v>
                </c:pt>
                <c:pt idx="497">
                  <c:v>10/6/2021</c:v>
                </c:pt>
                <c:pt idx="498">
                  <c:v>10/7/2021</c:v>
                </c:pt>
                <c:pt idx="499">
                  <c:v>10/8/2021</c:v>
                </c:pt>
                <c:pt idx="500">
                  <c:v>10/11/2021</c:v>
                </c:pt>
                <c:pt idx="501">
                  <c:v>10/12/2021</c:v>
                </c:pt>
                <c:pt idx="502">
                  <c:v>10/13/2021</c:v>
                </c:pt>
                <c:pt idx="503">
                  <c:v>10/14/2021</c:v>
                </c:pt>
                <c:pt idx="504">
                  <c:v>10/15/2021</c:v>
                </c:pt>
                <c:pt idx="505">
                  <c:v>10/18/2021</c:v>
                </c:pt>
                <c:pt idx="506">
                  <c:v>10/19/2021</c:v>
                </c:pt>
                <c:pt idx="507">
                  <c:v>10/20/2021</c:v>
                </c:pt>
                <c:pt idx="508">
                  <c:v>10/21/2021</c:v>
                </c:pt>
                <c:pt idx="509">
                  <c:v>10/22/2021</c:v>
                </c:pt>
                <c:pt idx="510">
                  <c:v>10/25/2021</c:v>
                </c:pt>
                <c:pt idx="511">
                  <c:v>10/26/2021</c:v>
                </c:pt>
                <c:pt idx="512">
                  <c:v>10/27/2021</c:v>
                </c:pt>
                <c:pt idx="513">
                  <c:v>10/28/2021</c:v>
                </c:pt>
                <c:pt idx="514">
                  <c:v>10/29/2021</c:v>
                </c:pt>
                <c:pt idx="515">
                  <c:v>11/1/2021</c:v>
                </c:pt>
                <c:pt idx="516">
                  <c:v>11/2/2021</c:v>
                </c:pt>
                <c:pt idx="517">
                  <c:v>11/3/2021</c:v>
                </c:pt>
                <c:pt idx="518">
                  <c:v>11/4/2021</c:v>
                </c:pt>
                <c:pt idx="519">
                  <c:v>11/5/2021</c:v>
                </c:pt>
                <c:pt idx="520">
                  <c:v>11/8/2021</c:v>
                </c:pt>
                <c:pt idx="521">
                  <c:v>11/9/2021</c:v>
                </c:pt>
                <c:pt idx="522">
                  <c:v>11/10/2021</c:v>
                </c:pt>
                <c:pt idx="523">
                  <c:v>11/11/2021</c:v>
                </c:pt>
                <c:pt idx="524">
                  <c:v>11/12/2021</c:v>
                </c:pt>
                <c:pt idx="525">
                  <c:v>11/15/2021</c:v>
                </c:pt>
                <c:pt idx="526">
                  <c:v>11/16/2021</c:v>
                </c:pt>
                <c:pt idx="527">
                  <c:v>11/17/2021</c:v>
                </c:pt>
                <c:pt idx="528">
                  <c:v>11/18/2021</c:v>
                </c:pt>
                <c:pt idx="529">
                  <c:v>11/19/2021</c:v>
                </c:pt>
                <c:pt idx="530">
                  <c:v>11/22/2021</c:v>
                </c:pt>
                <c:pt idx="531">
                  <c:v>11/23/2021</c:v>
                </c:pt>
                <c:pt idx="532">
                  <c:v>11/24/2021</c:v>
                </c:pt>
                <c:pt idx="533">
                  <c:v>11/25/2021</c:v>
                </c:pt>
                <c:pt idx="534">
                  <c:v>11/26/2021</c:v>
                </c:pt>
                <c:pt idx="535">
                  <c:v>11/29/2021</c:v>
                </c:pt>
                <c:pt idx="536">
                  <c:v>11/30/2021</c:v>
                </c:pt>
                <c:pt idx="537">
                  <c:v>12/1/2021</c:v>
                </c:pt>
                <c:pt idx="538">
                  <c:v>12/2/2021</c:v>
                </c:pt>
                <c:pt idx="539">
                  <c:v>12/3/2021</c:v>
                </c:pt>
                <c:pt idx="540">
                  <c:v>12/6/2021</c:v>
                </c:pt>
                <c:pt idx="541">
                  <c:v>12/7/2021</c:v>
                </c:pt>
                <c:pt idx="542">
                  <c:v>12/8/2021</c:v>
                </c:pt>
                <c:pt idx="543">
                  <c:v>12/9/2021</c:v>
                </c:pt>
                <c:pt idx="544">
                  <c:v>12/10/2021</c:v>
                </c:pt>
                <c:pt idx="545">
                  <c:v>12/13/2021</c:v>
                </c:pt>
                <c:pt idx="546">
                  <c:v>12/14/2021</c:v>
                </c:pt>
                <c:pt idx="547">
                  <c:v>12/15/2021</c:v>
                </c:pt>
                <c:pt idx="548">
                  <c:v>12/16/2021</c:v>
                </c:pt>
                <c:pt idx="549">
                  <c:v>12/17/2021</c:v>
                </c:pt>
                <c:pt idx="550">
                  <c:v>12/20/2021</c:v>
                </c:pt>
                <c:pt idx="551">
                  <c:v>12/21/2021</c:v>
                </c:pt>
                <c:pt idx="552">
                  <c:v>12/22/2021</c:v>
                </c:pt>
                <c:pt idx="553">
                  <c:v>12/23/2021</c:v>
                </c:pt>
                <c:pt idx="554">
                  <c:v>12/24/2021</c:v>
                </c:pt>
                <c:pt idx="555">
                  <c:v>12/27/2021</c:v>
                </c:pt>
                <c:pt idx="556">
                  <c:v>12/28/2021</c:v>
                </c:pt>
                <c:pt idx="557">
                  <c:v>12/29/2021</c:v>
                </c:pt>
                <c:pt idx="558">
                  <c:v>12/30/2021</c:v>
                </c:pt>
                <c:pt idx="559">
                  <c:v>12/31/2021</c:v>
                </c:pt>
                <c:pt idx="560">
                  <c:v>1/3/2022</c:v>
                </c:pt>
                <c:pt idx="561">
                  <c:v>1/4/2022</c:v>
                </c:pt>
                <c:pt idx="562">
                  <c:v>1/5/2022</c:v>
                </c:pt>
                <c:pt idx="563">
                  <c:v>1/6/2022</c:v>
                </c:pt>
                <c:pt idx="564">
                  <c:v>1/7/2022</c:v>
                </c:pt>
                <c:pt idx="565">
                  <c:v>1/10/2022</c:v>
                </c:pt>
                <c:pt idx="566">
                  <c:v>1/11/2022</c:v>
                </c:pt>
                <c:pt idx="567">
                  <c:v>1/12/2022</c:v>
                </c:pt>
                <c:pt idx="568">
                  <c:v>1/13/2022</c:v>
                </c:pt>
                <c:pt idx="569">
                  <c:v>1/14/2022</c:v>
                </c:pt>
                <c:pt idx="570">
                  <c:v>1/17/2022</c:v>
                </c:pt>
                <c:pt idx="571">
                  <c:v>1/18/2022</c:v>
                </c:pt>
                <c:pt idx="572">
                  <c:v>1/19/2022</c:v>
                </c:pt>
                <c:pt idx="573">
                  <c:v>1/20/2022</c:v>
                </c:pt>
                <c:pt idx="574">
                  <c:v>1/21/2022</c:v>
                </c:pt>
                <c:pt idx="575">
                  <c:v>1/24/2022</c:v>
                </c:pt>
                <c:pt idx="576">
                  <c:v>1/25/2022</c:v>
                </c:pt>
                <c:pt idx="577">
                  <c:v>1/26/2022</c:v>
                </c:pt>
                <c:pt idx="578">
                  <c:v>1/27/2022</c:v>
                </c:pt>
                <c:pt idx="579">
                  <c:v>1/28/2022</c:v>
                </c:pt>
                <c:pt idx="580">
                  <c:v>1/31/2022</c:v>
                </c:pt>
                <c:pt idx="581">
                  <c:v>2/1/2022</c:v>
                </c:pt>
                <c:pt idx="582">
                  <c:v>2/2/2022</c:v>
                </c:pt>
                <c:pt idx="583">
                  <c:v>2/3/2022</c:v>
                </c:pt>
                <c:pt idx="584">
                  <c:v>2/4/2022</c:v>
                </c:pt>
                <c:pt idx="585">
                  <c:v>2/7/2022</c:v>
                </c:pt>
                <c:pt idx="586">
                  <c:v>2/8/2022</c:v>
                </c:pt>
                <c:pt idx="587">
                  <c:v>2/9/2022</c:v>
                </c:pt>
                <c:pt idx="588">
                  <c:v>2/10/2022</c:v>
                </c:pt>
                <c:pt idx="589">
                  <c:v>2/11/2022</c:v>
                </c:pt>
                <c:pt idx="590">
                  <c:v>2/14/2022</c:v>
                </c:pt>
                <c:pt idx="591">
                  <c:v>2/15/2022</c:v>
                </c:pt>
                <c:pt idx="592">
                  <c:v>2/16/2022</c:v>
                </c:pt>
                <c:pt idx="593">
                  <c:v>2/17/2022</c:v>
                </c:pt>
                <c:pt idx="594">
                  <c:v>2/18/2022</c:v>
                </c:pt>
                <c:pt idx="595">
                  <c:v>2/21/2022</c:v>
                </c:pt>
                <c:pt idx="596">
                  <c:v>2/22/2022</c:v>
                </c:pt>
                <c:pt idx="597">
                  <c:v>2/23/2022</c:v>
                </c:pt>
                <c:pt idx="598">
                  <c:v>2/24/2022</c:v>
                </c:pt>
                <c:pt idx="599">
                  <c:v>2/25/2022</c:v>
                </c:pt>
                <c:pt idx="600">
                  <c:v>2/28/2022</c:v>
                </c:pt>
                <c:pt idx="601">
                  <c:v>3/1/2022</c:v>
                </c:pt>
                <c:pt idx="602">
                  <c:v>3/2/2022</c:v>
                </c:pt>
                <c:pt idx="603">
                  <c:v>3/3/2022</c:v>
                </c:pt>
                <c:pt idx="604">
                  <c:v>3/4/2022</c:v>
                </c:pt>
                <c:pt idx="605">
                  <c:v>3/7/2022</c:v>
                </c:pt>
                <c:pt idx="606">
                  <c:v>3/8/2022</c:v>
                </c:pt>
                <c:pt idx="607">
                  <c:v>3/9/2022</c:v>
                </c:pt>
                <c:pt idx="608">
                  <c:v>3/10/2022</c:v>
                </c:pt>
                <c:pt idx="609">
                  <c:v>3/11/2022</c:v>
                </c:pt>
                <c:pt idx="610">
                  <c:v>3/14/2022</c:v>
                </c:pt>
                <c:pt idx="611">
                  <c:v>3/15/2022</c:v>
                </c:pt>
                <c:pt idx="612">
                  <c:v>3/16/2022</c:v>
                </c:pt>
                <c:pt idx="613">
                  <c:v>3/17/2022</c:v>
                </c:pt>
                <c:pt idx="614">
                  <c:v>3/18/2022</c:v>
                </c:pt>
                <c:pt idx="615">
                  <c:v>3/21/2022</c:v>
                </c:pt>
                <c:pt idx="616">
                  <c:v>3/22/2022</c:v>
                </c:pt>
                <c:pt idx="617">
                  <c:v>3/23/2022</c:v>
                </c:pt>
                <c:pt idx="618">
                  <c:v>3/24/2022</c:v>
                </c:pt>
                <c:pt idx="619">
                  <c:v>3/25/2022</c:v>
                </c:pt>
                <c:pt idx="620">
                  <c:v>3/28/2022</c:v>
                </c:pt>
                <c:pt idx="621">
                  <c:v>3/29/2022</c:v>
                </c:pt>
                <c:pt idx="622">
                  <c:v>3/30/2022</c:v>
                </c:pt>
                <c:pt idx="623">
                  <c:v>3/31/2022</c:v>
                </c:pt>
                <c:pt idx="624">
                  <c:v>4/1/2022</c:v>
                </c:pt>
                <c:pt idx="625">
                  <c:v>4/4/2022</c:v>
                </c:pt>
                <c:pt idx="626">
                  <c:v>4/5/2022</c:v>
                </c:pt>
                <c:pt idx="627">
                  <c:v>4/6/2022</c:v>
                </c:pt>
                <c:pt idx="628">
                  <c:v>4/7/2022</c:v>
                </c:pt>
                <c:pt idx="629">
                  <c:v>4/8/2022</c:v>
                </c:pt>
                <c:pt idx="630">
                  <c:v>4/11/2022</c:v>
                </c:pt>
                <c:pt idx="631">
                  <c:v>4/12/2022</c:v>
                </c:pt>
                <c:pt idx="632">
                  <c:v>4/13/2022</c:v>
                </c:pt>
                <c:pt idx="633">
                  <c:v>4/14/2022</c:v>
                </c:pt>
                <c:pt idx="634">
                  <c:v>4/18/2022</c:v>
                </c:pt>
                <c:pt idx="635">
                  <c:v>4/19/2022</c:v>
                </c:pt>
                <c:pt idx="636">
                  <c:v>4/20/2022</c:v>
                </c:pt>
                <c:pt idx="637">
                  <c:v>4/21/2022</c:v>
                </c:pt>
                <c:pt idx="638">
                  <c:v>4/22/2022</c:v>
                </c:pt>
                <c:pt idx="639">
                  <c:v>4/25/2022</c:v>
                </c:pt>
                <c:pt idx="640">
                  <c:v>4/26/2022</c:v>
                </c:pt>
                <c:pt idx="641">
                  <c:v>4/27/2022</c:v>
                </c:pt>
                <c:pt idx="642">
                  <c:v>4/28/2022</c:v>
                </c:pt>
                <c:pt idx="643">
                  <c:v>4/29/2022</c:v>
                </c:pt>
                <c:pt idx="644">
                  <c:v>5/2/2022</c:v>
                </c:pt>
                <c:pt idx="645">
                  <c:v>5/3/2022</c:v>
                </c:pt>
                <c:pt idx="646">
                  <c:v>5/4/2022</c:v>
                </c:pt>
                <c:pt idx="647">
                  <c:v>5/5/2022</c:v>
                </c:pt>
                <c:pt idx="648">
                  <c:v>5/6/2022</c:v>
                </c:pt>
                <c:pt idx="649">
                  <c:v>5/9/2022</c:v>
                </c:pt>
                <c:pt idx="650">
                  <c:v>5/10/2022</c:v>
                </c:pt>
                <c:pt idx="651">
                  <c:v>5/11/2022</c:v>
                </c:pt>
                <c:pt idx="652">
                  <c:v>5/12/2022</c:v>
                </c:pt>
                <c:pt idx="653">
                  <c:v>5/13/2022</c:v>
                </c:pt>
                <c:pt idx="654">
                  <c:v>5/16/2022</c:v>
                </c:pt>
                <c:pt idx="655">
                  <c:v>5/17/2022</c:v>
                </c:pt>
                <c:pt idx="656">
                  <c:v>5/18/2022</c:v>
                </c:pt>
                <c:pt idx="657">
                  <c:v>5/19/2022</c:v>
                </c:pt>
                <c:pt idx="658">
                  <c:v>5/20/2022</c:v>
                </c:pt>
                <c:pt idx="659">
                  <c:v>5/23/2022</c:v>
                </c:pt>
                <c:pt idx="660">
                  <c:v>5/24/2022</c:v>
                </c:pt>
                <c:pt idx="661">
                  <c:v>5/25/2022</c:v>
                </c:pt>
                <c:pt idx="662">
                  <c:v>5/26/2022</c:v>
                </c:pt>
                <c:pt idx="663">
                  <c:v>5/27/2022</c:v>
                </c:pt>
                <c:pt idx="664">
                  <c:v>5/30/2022</c:v>
                </c:pt>
                <c:pt idx="665">
                  <c:v>5/31/2022</c:v>
                </c:pt>
                <c:pt idx="666">
                  <c:v>6/1/2022</c:v>
                </c:pt>
                <c:pt idx="667">
                  <c:v>6/2/2022</c:v>
                </c:pt>
                <c:pt idx="668">
                  <c:v>6/3/2022</c:v>
                </c:pt>
                <c:pt idx="669">
                  <c:v>6/6/2022</c:v>
                </c:pt>
                <c:pt idx="670">
                  <c:v>6/7/2022</c:v>
                </c:pt>
                <c:pt idx="671">
                  <c:v>6/8/2022</c:v>
                </c:pt>
                <c:pt idx="672">
                  <c:v>6/9/2022</c:v>
                </c:pt>
                <c:pt idx="673">
                  <c:v>6/10/2022</c:v>
                </c:pt>
                <c:pt idx="674">
                  <c:v>6/13/2022</c:v>
                </c:pt>
                <c:pt idx="675">
                  <c:v>6/14/2022</c:v>
                </c:pt>
                <c:pt idx="676">
                  <c:v>6/15/2022</c:v>
                </c:pt>
                <c:pt idx="677">
                  <c:v>6/16/2022</c:v>
                </c:pt>
                <c:pt idx="678">
                  <c:v>6/17/2022</c:v>
                </c:pt>
                <c:pt idx="679">
                  <c:v>6/21/2022</c:v>
                </c:pt>
                <c:pt idx="680">
                  <c:v>6/22/2022</c:v>
                </c:pt>
                <c:pt idx="681">
                  <c:v>6/23/2022</c:v>
                </c:pt>
                <c:pt idx="682">
                  <c:v>6/24/2022</c:v>
                </c:pt>
                <c:pt idx="683">
                  <c:v>6/27/2022</c:v>
                </c:pt>
              </c:strCache>
            </c:strRef>
          </c:cat>
          <c:val>
            <c:numRef>
              <c:f>'GasPrice at Pump'!$K$2:$K$685</c:f>
              <c:numCache>
                <c:formatCode>"$"#,##0.00</c:formatCode>
                <c:ptCount val="684"/>
                <c:pt idx="0">
                  <c:v>1.5871</c:v>
                </c:pt>
                <c:pt idx="1">
                  <c:v>1.6233</c:v>
                </c:pt>
                <c:pt idx="2">
                  <c:v>1.6388</c:v>
                </c:pt>
                <c:pt idx="3">
                  <c:v>1.5702</c:v>
                </c:pt>
                <c:pt idx="4">
                  <c:v>1.5704</c:v>
                </c:pt>
                <c:pt idx="5">
                  <c:v>1.5842000000000001</c:v>
                </c:pt>
                <c:pt idx="6">
                  <c:v>1.5819000000000001</c:v>
                </c:pt>
                <c:pt idx="7">
                  <c:v>1.5778000000000001</c:v>
                </c:pt>
                <c:pt idx="8">
                  <c:v>1.5637000000000001</c:v>
                </c:pt>
                <c:pt idx="9">
                  <c:v>1.569</c:v>
                </c:pt>
                <c:pt idx="10">
                  <c:v>1.6133</c:v>
                </c:pt>
                <c:pt idx="11">
                  <c:v>1.6258999999999999</c:v>
                </c:pt>
                <c:pt idx="12">
                  <c:v>1.6355999999999999</c:v>
                </c:pt>
                <c:pt idx="13">
                  <c:v>1.6344000000000001</c:v>
                </c:pt>
                <c:pt idx="14">
                  <c:v>1.6415999999999999</c:v>
                </c:pt>
                <c:pt idx="15">
                  <c:v>1.6645000000000001</c:v>
                </c:pt>
                <c:pt idx="16">
                  <c:v>1.5946</c:v>
                </c:pt>
                <c:pt idx="17">
                  <c:v>1.6556999999999999</c:v>
                </c:pt>
                <c:pt idx="18">
                  <c:v>1.6637</c:v>
                </c:pt>
                <c:pt idx="19">
                  <c:v>1.6746000000000001</c:v>
                </c:pt>
                <c:pt idx="20">
                  <c:v>1.6262000000000001</c:v>
                </c:pt>
                <c:pt idx="21">
                  <c:v>1.6355</c:v>
                </c:pt>
                <c:pt idx="22">
                  <c:v>1.6336999999999999</c:v>
                </c:pt>
                <c:pt idx="23">
                  <c:v>1.6099000000000001</c:v>
                </c:pt>
                <c:pt idx="24">
                  <c:v>1.6144000000000001</c:v>
                </c:pt>
                <c:pt idx="25">
                  <c:v>1.6309</c:v>
                </c:pt>
                <c:pt idx="26">
                  <c:v>1.6115999999999999</c:v>
                </c:pt>
                <c:pt idx="27">
                  <c:v>1.6308</c:v>
                </c:pt>
                <c:pt idx="28">
                  <c:v>1.6160000000000001</c:v>
                </c:pt>
                <c:pt idx="29">
                  <c:v>1.6036999999999999</c:v>
                </c:pt>
                <c:pt idx="30">
                  <c:v>1.6563000000000001</c:v>
                </c:pt>
                <c:pt idx="31">
                  <c:v>1.6982999999999999</c:v>
                </c:pt>
                <c:pt idx="32">
                  <c:v>1.6742999999999999</c:v>
                </c:pt>
                <c:pt idx="33">
                  <c:v>1.6715</c:v>
                </c:pt>
                <c:pt idx="34">
                  <c:v>1.6976</c:v>
                </c:pt>
                <c:pt idx="35">
                  <c:v>1.6792</c:v>
                </c:pt>
                <c:pt idx="36">
                  <c:v>1.591</c:v>
                </c:pt>
                <c:pt idx="37">
                  <c:v>1.5732999999999999</c:v>
                </c:pt>
                <c:pt idx="38">
                  <c:v>1.5629</c:v>
                </c:pt>
                <c:pt idx="39">
                  <c:v>1.6042000000000001</c:v>
                </c:pt>
                <c:pt idx="40">
                  <c:v>1.6211</c:v>
                </c:pt>
                <c:pt idx="41">
                  <c:v>1.6474</c:v>
                </c:pt>
                <c:pt idx="42">
                  <c:v>1.6548</c:v>
                </c:pt>
                <c:pt idx="43">
                  <c:v>1.6525000000000001</c:v>
                </c:pt>
                <c:pt idx="44">
                  <c:v>1.6261000000000001</c:v>
                </c:pt>
                <c:pt idx="45">
                  <c:v>1.6283000000000001</c:v>
                </c:pt>
                <c:pt idx="46">
                  <c:v>1.6632</c:v>
                </c:pt>
                <c:pt idx="47">
                  <c:v>1.6677999999999999</c:v>
                </c:pt>
                <c:pt idx="48">
                  <c:v>1.6899</c:v>
                </c:pt>
                <c:pt idx="49">
                  <c:v>1.6904999999999999</c:v>
                </c:pt>
                <c:pt idx="50">
                  <c:v>1.7097</c:v>
                </c:pt>
                <c:pt idx="51">
                  <c:v>1.7072000000000001</c:v>
                </c:pt>
                <c:pt idx="52">
                  <c:v>1.7064999999999999</c:v>
                </c:pt>
                <c:pt idx="53">
                  <c:v>1.7274</c:v>
                </c:pt>
                <c:pt idx="54">
                  <c:v>1.7539</c:v>
                </c:pt>
                <c:pt idx="55">
                  <c:v>1.7446999999999999</c:v>
                </c:pt>
                <c:pt idx="56">
                  <c:v>1.724</c:v>
                </c:pt>
                <c:pt idx="57">
                  <c:v>1.6904999999999999</c:v>
                </c:pt>
                <c:pt idx="58">
                  <c:v>1.7041999999999999</c:v>
                </c:pt>
                <c:pt idx="59">
                  <c:v>1.7487999999999999</c:v>
                </c:pt>
                <c:pt idx="60">
                  <c:v>1.7544</c:v>
                </c:pt>
                <c:pt idx="61">
                  <c:v>1.7222</c:v>
                </c:pt>
                <c:pt idx="62">
                  <c:v>1.6488</c:v>
                </c:pt>
                <c:pt idx="63">
                  <c:v>1.6527000000000001</c:v>
                </c:pt>
                <c:pt idx="64">
                  <c:v>1.6596</c:v>
                </c:pt>
                <c:pt idx="65">
                  <c:v>1.6573</c:v>
                </c:pt>
                <c:pt idx="66">
                  <c:v>1.6641999999999999</c:v>
                </c:pt>
                <c:pt idx="67">
                  <c:v>1.6492</c:v>
                </c:pt>
                <c:pt idx="68">
                  <c:v>1.667</c:v>
                </c:pt>
                <c:pt idx="69">
                  <c:v>1.6549</c:v>
                </c:pt>
                <c:pt idx="70">
                  <c:v>1.6365000000000001</c:v>
                </c:pt>
                <c:pt idx="71">
                  <c:v>1.5933999999999999</c:v>
                </c:pt>
                <c:pt idx="72">
                  <c:v>1.573</c:v>
                </c:pt>
                <c:pt idx="73">
                  <c:v>1.5259</c:v>
                </c:pt>
                <c:pt idx="74">
                  <c:v>1.4930000000000001</c:v>
                </c:pt>
                <c:pt idx="75">
                  <c:v>1.5143</c:v>
                </c:pt>
                <c:pt idx="76">
                  <c:v>1.5407999999999999</c:v>
                </c:pt>
                <c:pt idx="77">
                  <c:v>1.5055000000000001</c:v>
                </c:pt>
                <c:pt idx="78">
                  <c:v>1.5041</c:v>
                </c:pt>
                <c:pt idx="79">
                  <c:v>1.4737</c:v>
                </c:pt>
                <c:pt idx="80">
                  <c:v>1.4432</c:v>
                </c:pt>
                <c:pt idx="81">
                  <c:v>1.4863</c:v>
                </c:pt>
                <c:pt idx="82">
                  <c:v>1.498</c:v>
                </c:pt>
                <c:pt idx="83">
                  <c:v>1.5239</c:v>
                </c:pt>
                <c:pt idx="84">
                  <c:v>1.5213000000000001</c:v>
                </c:pt>
                <c:pt idx="85">
                  <c:v>1.5142</c:v>
                </c:pt>
                <c:pt idx="86">
                  <c:v>1.581</c:v>
                </c:pt>
                <c:pt idx="87">
                  <c:v>1.7226999999999999</c:v>
                </c:pt>
                <c:pt idx="88">
                  <c:v>1.5832999999999999</c:v>
                </c:pt>
                <c:pt idx="89">
                  <c:v>1.6148</c:v>
                </c:pt>
                <c:pt idx="90">
                  <c:v>1.7819</c:v>
                </c:pt>
                <c:pt idx="91">
                  <c:v>1.7845</c:v>
                </c:pt>
                <c:pt idx="92">
                  <c:v>1.7612000000000001</c:v>
                </c:pt>
                <c:pt idx="93">
                  <c:v>1.7132000000000001</c:v>
                </c:pt>
                <c:pt idx="94">
                  <c:v>1.6418999999999999</c:v>
                </c:pt>
                <c:pt idx="95">
                  <c:v>1.5645</c:v>
                </c:pt>
                <c:pt idx="96">
                  <c:v>1.5206</c:v>
                </c:pt>
                <c:pt idx="97">
                  <c:v>1.4827999999999999</c:v>
                </c:pt>
                <c:pt idx="98">
                  <c:v>1.5396000000000001</c:v>
                </c:pt>
                <c:pt idx="99">
                  <c:v>1.5313000000000001</c:v>
                </c:pt>
                <c:pt idx="100">
                  <c:v>1.5555000000000001</c:v>
                </c:pt>
                <c:pt idx="101">
                  <c:v>1.5218</c:v>
                </c:pt>
                <c:pt idx="102">
                  <c:v>1.389</c:v>
                </c:pt>
                <c:pt idx="103">
                  <c:v>1.1369</c:v>
                </c:pt>
                <c:pt idx="104">
                  <c:v>1.1571</c:v>
                </c:pt>
                <c:pt idx="105">
                  <c:v>1.1103000000000001</c:v>
                </c:pt>
                <c:pt idx="106">
                  <c:v>0.91900000000000004</c:v>
                </c:pt>
                <c:pt idx="107">
                  <c:v>0.91349999999999998</c:v>
                </c:pt>
                <c:pt idx="108">
                  <c:v>0.70169999999999999</c:v>
                </c:pt>
                <c:pt idx="109">
                  <c:v>0.71140000000000003</c:v>
                </c:pt>
                <c:pt idx="110">
                  <c:v>0.64590000000000003</c:v>
                </c:pt>
                <c:pt idx="111">
                  <c:v>0.69320000000000004</c:v>
                </c:pt>
                <c:pt idx="112">
                  <c:v>0.60540000000000005</c:v>
                </c:pt>
                <c:pt idx="113">
                  <c:v>0.49469999999999997</c:v>
                </c:pt>
                <c:pt idx="114">
                  <c:v>0.51049999999999995</c:v>
                </c:pt>
                <c:pt idx="115">
                  <c:v>0.60540000000000005</c:v>
                </c:pt>
                <c:pt idx="116">
                  <c:v>0.59799999999999998</c:v>
                </c:pt>
                <c:pt idx="117">
                  <c:v>0.61360000000000003</c:v>
                </c:pt>
                <c:pt idx="118">
                  <c:v>0.61680000000000001</c:v>
                </c:pt>
                <c:pt idx="119">
                  <c:v>0.5927</c:v>
                </c:pt>
                <c:pt idx="120">
                  <c:v>0.54649999999999999</c:v>
                </c:pt>
                <c:pt idx="121">
                  <c:v>0.66279999999999994</c:v>
                </c:pt>
                <c:pt idx="122">
                  <c:v>0.69159999999999999</c:v>
                </c:pt>
                <c:pt idx="123">
                  <c:v>0.7016</c:v>
                </c:pt>
                <c:pt idx="124">
                  <c:v>0.6482</c:v>
                </c:pt>
                <c:pt idx="125">
                  <c:v>0.67800000000000005</c:v>
                </c:pt>
                <c:pt idx="126">
                  <c:v>0.67730000000000001</c:v>
                </c:pt>
                <c:pt idx="127">
                  <c:v>0.70330000000000004</c:v>
                </c:pt>
                <c:pt idx="128">
                  <c:v>0.72</c:v>
                </c:pt>
                <c:pt idx="129">
                  <c:v>0.72040000000000004</c:v>
                </c:pt>
                <c:pt idx="130">
                  <c:v>0.75690000000000002</c:v>
                </c:pt>
                <c:pt idx="131">
                  <c:v>0.76459999999999995</c:v>
                </c:pt>
                <c:pt idx="132">
                  <c:v>0.72550000000000003</c:v>
                </c:pt>
                <c:pt idx="133">
                  <c:v>0.62529999999999997</c:v>
                </c:pt>
                <c:pt idx="134">
                  <c:v>0.6875</c:v>
                </c:pt>
                <c:pt idx="135">
                  <c:v>0.68210000000000004</c:v>
                </c:pt>
                <c:pt idx="136">
                  <c:v>0.70009999999999994</c:v>
                </c:pt>
                <c:pt idx="137">
                  <c:v>0.68489999999999995</c:v>
                </c:pt>
                <c:pt idx="138">
                  <c:v>0.70399999999999996</c:v>
                </c:pt>
                <c:pt idx="139">
                  <c:v>0.72719999999999996</c:v>
                </c:pt>
                <c:pt idx="140">
                  <c:v>0.78369999999999995</c:v>
                </c:pt>
                <c:pt idx="141">
                  <c:v>0.76629999999999998</c:v>
                </c:pt>
                <c:pt idx="142">
                  <c:v>0.82150000000000001</c:v>
                </c:pt>
                <c:pt idx="143">
                  <c:v>0.90129999999999999</c:v>
                </c:pt>
                <c:pt idx="144">
                  <c:v>0.87690000000000001</c:v>
                </c:pt>
                <c:pt idx="145">
                  <c:v>0.93140000000000001</c:v>
                </c:pt>
                <c:pt idx="146">
                  <c:v>0.95220000000000005</c:v>
                </c:pt>
                <c:pt idx="147">
                  <c:v>0.92420000000000002</c:v>
                </c:pt>
                <c:pt idx="148">
                  <c:v>0.93630000000000002</c:v>
                </c:pt>
                <c:pt idx="149">
                  <c:v>0.88180000000000003</c:v>
                </c:pt>
                <c:pt idx="150">
                  <c:v>0.93689999999999996</c:v>
                </c:pt>
                <c:pt idx="151">
                  <c:v>0.98380000000000001</c:v>
                </c:pt>
                <c:pt idx="152">
                  <c:v>1.0426</c:v>
                </c:pt>
                <c:pt idx="153">
                  <c:v>1.0549999999999999</c:v>
                </c:pt>
                <c:pt idx="154">
                  <c:v>1.0438000000000001</c:v>
                </c:pt>
                <c:pt idx="155">
                  <c:v>1.0618000000000001</c:v>
                </c:pt>
                <c:pt idx="156">
                  <c:v>1.0518000000000001</c:v>
                </c:pt>
                <c:pt idx="157">
                  <c:v>1.0648</c:v>
                </c:pt>
                <c:pt idx="158">
                  <c:v>1.0177</c:v>
                </c:pt>
                <c:pt idx="159">
                  <c:v>1.026</c:v>
                </c:pt>
                <c:pt idx="160">
                  <c:v>1.0785</c:v>
                </c:pt>
                <c:pt idx="161">
                  <c:v>1.0667</c:v>
                </c:pt>
                <c:pt idx="162">
                  <c:v>1.1183000000000001</c:v>
                </c:pt>
                <c:pt idx="163">
                  <c:v>1.1193</c:v>
                </c:pt>
                <c:pt idx="164">
                  <c:v>1.149</c:v>
                </c:pt>
                <c:pt idx="165">
                  <c:v>1.2136</c:v>
                </c:pt>
                <c:pt idx="166">
                  <c:v>1.1950000000000001</c:v>
                </c:pt>
                <c:pt idx="167">
                  <c:v>1.2102999999999999</c:v>
                </c:pt>
                <c:pt idx="168">
                  <c:v>1.2099</c:v>
                </c:pt>
                <c:pt idx="169">
                  <c:v>1.1188</c:v>
                </c:pt>
                <c:pt idx="170">
                  <c:v>1.1367</c:v>
                </c:pt>
                <c:pt idx="171">
                  <c:v>1.1732</c:v>
                </c:pt>
                <c:pt idx="172">
                  <c:v>1.2149000000000001</c:v>
                </c:pt>
                <c:pt idx="173">
                  <c:v>1.2219</c:v>
                </c:pt>
                <c:pt idx="174">
                  <c:v>1.2575000000000001</c:v>
                </c:pt>
                <c:pt idx="175">
                  <c:v>1.2709999999999999</c:v>
                </c:pt>
                <c:pt idx="176">
                  <c:v>1.2904</c:v>
                </c:pt>
                <c:pt idx="177">
                  <c:v>1.2983</c:v>
                </c:pt>
                <c:pt idx="178">
                  <c:v>1.1992</c:v>
                </c:pt>
                <c:pt idx="179">
                  <c:v>1.1972</c:v>
                </c:pt>
                <c:pt idx="180">
                  <c:v>1.1569</c:v>
                </c:pt>
                <c:pt idx="181">
                  <c:v>1.1878</c:v>
                </c:pt>
                <c:pt idx="182">
                  <c:v>1.2015</c:v>
                </c:pt>
                <c:pt idx="183">
                  <c:v>1.2169000000000001</c:v>
                </c:pt>
                <c:pt idx="184">
                  <c:v>1.2592000000000001</c:v>
                </c:pt>
                <c:pt idx="185">
                  <c:v>1.2407999999999999</c:v>
                </c:pt>
                <c:pt idx="186">
                  <c:v>1.2749999999999999</c:v>
                </c:pt>
                <c:pt idx="187">
                  <c:v>1.2908999999999999</c:v>
                </c:pt>
                <c:pt idx="188">
                  <c:v>1.2504999999999999</c:v>
                </c:pt>
                <c:pt idx="189">
                  <c:v>1.2830999999999999</c:v>
                </c:pt>
                <c:pt idx="190">
                  <c:v>1.2471000000000001</c:v>
                </c:pt>
                <c:pt idx="191">
                  <c:v>1.2262</c:v>
                </c:pt>
                <c:pt idx="192">
                  <c:v>1.2427999999999999</c:v>
                </c:pt>
                <c:pt idx="193">
                  <c:v>1.2157</c:v>
                </c:pt>
                <c:pt idx="194">
                  <c:v>1.2061999999999999</c:v>
                </c:pt>
                <c:pt idx="195">
                  <c:v>1.2131000000000001</c:v>
                </c:pt>
                <c:pt idx="196">
                  <c:v>1.2604</c:v>
                </c:pt>
                <c:pt idx="197">
                  <c:v>1.2603</c:v>
                </c:pt>
                <c:pt idx="198">
                  <c:v>1.2363</c:v>
                </c:pt>
                <c:pt idx="199">
                  <c:v>1.256</c:v>
                </c:pt>
                <c:pt idx="200">
                  <c:v>1.2446999999999999</c:v>
                </c:pt>
                <c:pt idx="201">
                  <c:v>1.2352000000000001</c:v>
                </c:pt>
                <c:pt idx="202">
                  <c:v>1.2132000000000001</c:v>
                </c:pt>
                <c:pt idx="203">
                  <c:v>1.1908000000000001</c:v>
                </c:pt>
                <c:pt idx="204">
                  <c:v>1.1711</c:v>
                </c:pt>
                <c:pt idx="205">
                  <c:v>1.2131000000000001</c:v>
                </c:pt>
                <c:pt idx="206">
                  <c:v>1.2142999999999999</c:v>
                </c:pt>
                <c:pt idx="207">
                  <c:v>1.2228000000000001</c:v>
                </c:pt>
                <c:pt idx="208">
                  <c:v>1.2281</c:v>
                </c:pt>
                <c:pt idx="209">
                  <c:v>1.2076</c:v>
                </c:pt>
                <c:pt idx="210">
                  <c:v>1.2293000000000001</c:v>
                </c:pt>
                <c:pt idx="211">
                  <c:v>1.2044999999999999</c:v>
                </c:pt>
                <c:pt idx="212">
                  <c:v>1.1858</c:v>
                </c:pt>
                <c:pt idx="213">
                  <c:v>1.1789000000000001</c:v>
                </c:pt>
                <c:pt idx="214">
                  <c:v>1.1879999999999999</c:v>
                </c:pt>
                <c:pt idx="215">
                  <c:v>1.2134</c:v>
                </c:pt>
                <c:pt idx="216">
                  <c:v>1.2249000000000001</c:v>
                </c:pt>
                <c:pt idx="217">
                  <c:v>1.2284999999999999</c:v>
                </c:pt>
                <c:pt idx="218">
                  <c:v>1.2263999999999999</c:v>
                </c:pt>
                <c:pt idx="219">
                  <c:v>1.2130000000000001</c:v>
                </c:pt>
                <c:pt idx="220">
                  <c:v>1.2598</c:v>
                </c:pt>
                <c:pt idx="221">
                  <c:v>1.2685</c:v>
                </c:pt>
                <c:pt idx="222">
                  <c:v>1.2634000000000001</c:v>
                </c:pt>
                <c:pt idx="223">
                  <c:v>1.2181999999999999</c:v>
                </c:pt>
                <c:pt idx="224">
                  <c:v>1.2464999999999999</c:v>
                </c:pt>
                <c:pt idx="225">
                  <c:v>1.2137</c:v>
                </c:pt>
                <c:pt idx="226">
                  <c:v>1.2246999999999999</c:v>
                </c:pt>
                <c:pt idx="227">
                  <c:v>1.202</c:v>
                </c:pt>
                <c:pt idx="228">
                  <c:v>1.2049000000000001</c:v>
                </c:pt>
                <c:pt idx="229">
                  <c:v>1.1772</c:v>
                </c:pt>
                <c:pt idx="230">
                  <c:v>1.1028</c:v>
                </c:pt>
                <c:pt idx="231">
                  <c:v>1.1193</c:v>
                </c:pt>
                <c:pt idx="232">
                  <c:v>1.0976999999999999</c:v>
                </c:pt>
                <c:pt idx="233">
                  <c:v>1.0949</c:v>
                </c:pt>
                <c:pt idx="234">
                  <c:v>1.0922000000000001</c:v>
                </c:pt>
                <c:pt idx="235">
                  <c:v>1.1198999999999999</c:v>
                </c:pt>
                <c:pt idx="236">
                  <c:v>1.1694</c:v>
                </c:pt>
                <c:pt idx="237">
                  <c:v>1.2017</c:v>
                </c:pt>
                <c:pt idx="238">
                  <c:v>1.2097</c:v>
                </c:pt>
                <c:pt idx="239">
                  <c:v>1.1544000000000001</c:v>
                </c:pt>
                <c:pt idx="240">
                  <c:v>1.1437999999999999</c:v>
                </c:pt>
                <c:pt idx="241">
                  <c:v>1.1577999999999999</c:v>
                </c:pt>
                <c:pt idx="242">
                  <c:v>1.1732</c:v>
                </c:pt>
                <c:pt idx="243">
                  <c:v>1.1898</c:v>
                </c:pt>
                <c:pt idx="244">
                  <c:v>1.2132000000000001</c:v>
                </c:pt>
                <c:pt idx="245">
                  <c:v>1.1711</c:v>
                </c:pt>
                <c:pt idx="246">
                  <c:v>1.1816</c:v>
                </c:pt>
                <c:pt idx="247">
                  <c:v>1.1524000000000001</c:v>
                </c:pt>
                <c:pt idx="248">
                  <c:v>1.1234999999999999</c:v>
                </c:pt>
                <c:pt idx="249">
                  <c:v>1.1940999999999999</c:v>
                </c:pt>
                <c:pt idx="250">
                  <c:v>1.2351000000000001</c:v>
                </c:pt>
                <c:pt idx="251">
                  <c:v>1.2009000000000001</c:v>
                </c:pt>
                <c:pt idx="252">
                  <c:v>1.2316</c:v>
                </c:pt>
                <c:pt idx="253">
                  <c:v>1.2032</c:v>
                </c:pt>
                <c:pt idx="254">
                  <c:v>1.1757</c:v>
                </c:pt>
                <c:pt idx="255">
                  <c:v>1.1633</c:v>
                </c:pt>
                <c:pt idx="256">
                  <c:v>1.1795</c:v>
                </c:pt>
                <c:pt idx="257">
                  <c:v>1.1637</c:v>
                </c:pt>
                <c:pt idx="258">
                  <c:v>1.1535</c:v>
                </c:pt>
                <c:pt idx="259">
                  <c:v>1.1485000000000001</c:v>
                </c:pt>
                <c:pt idx="260">
                  <c:v>1.1725000000000001</c:v>
                </c:pt>
                <c:pt idx="261">
                  <c:v>1.1271</c:v>
                </c:pt>
                <c:pt idx="262">
                  <c:v>1.1452</c:v>
                </c:pt>
                <c:pt idx="263">
                  <c:v>1.127</c:v>
                </c:pt>
                <c:pt idx="264">
                  <c:v>1.0969</c:v>
                </c:pt>
                <c:pt idx="265">
                  <c:v>1.1288</c:v>
                </c:pt>
                <c:pt idx="266">
                  <c:v>1.0636000000000001</c:v>
                </c:pt>
                <c:pt idx="267">
                  <c:v>1.028</c:v>
                </c:pt>
                <c:pt idx="268">
                  <c:v>1.0322</c:v>
                </c:pt>
                <c:pt idx="269">
                  <c:v>1.052</c:v>
                </c:pt>
                <c:pt idx="270">
                  <c:v>1.0769</c:v>
                </c:pt>
                <c:pt idx="271">
                  <c:v>1.1081000000000001</c:v>
                </c:pt>
                <c:pt idx="272">
                  <c:v>1.1158999999999999</c:v>
                </c:pt>
                <c:pt idx="273">
                  <c:v>1.0844</c:v>
                </c:pt>
                <c:pt idx="274">
                  <c:v>1.1607000000000001</c:v>
                </c:pt>
                <c:pt idx="275">
                  <c:v>1.1940999999999999</c:v>
                </c:pt>
                <c:pt idx="276">
                  <c:v>1.1758999999999999</c:v>
                </c:pt>
                <c:pt idx="277">
                  <c:v>1.1557999999999999</c:v>
                </c:pt>
                <c:pt idx="278">
                  <c:v>1.125</c:v>
                </c:pt>
                <c:pt idx="279">
                  <c:v>1.147</c:v>
                </c:pt>
                <c:pt idx="280">
                  <c:v>1.1528</c:v>
                </c:pt>
                <c:pt idx="281">
                  <c:v>1.1626000000000001</c:v>
                </c:pt>
                <c:pt idx="282">
                  <c:v>1.1596</c:v>
                </c:pt>
                <c:pt idx="283">
                  <c:v>1.1702999999999999</c:v>
                </c:pt>
                <c:pt idx="284">
                  <c:v>1.1971000000000001</c:v>
                </c:pt>
                <c:pt idx="285">
                  <c:v>1.2509999999999999</c:v>
                </c:pt>
                <c:pt idx="286">
                  <c:v>1.2709999999999999</c:v>
                </c:pt>
                <c:pt idx="287">
                  <c:v>1.266</c:v>
                </c:pt>
                <c:pt idx="288">
                  <c:v>1.2416</c:v>
                </c:pt>
                <c:pt idx="289">
                  <c:v>1.2203999999999999</c:v>
                </c:pt>
                <c:pt idx="290">
                  <c:v>1.2399</c:v>
                </c:pt>
                <c:pt idx="291">
                  <c:v>1.2617</c:v>
                </c:pt>
                <c:pt idx="292">
                  <c:v>1.2685</c:v>
                </c:pt>
                <c:pt idx="293">
                  <c:v>1.2558</c:v>
                </c:pt>
                <c:pt idx="294">
                  <c:v>1.2559</c:v>
                </c:pt>
                <c:pt idx="295">
                  <c:v>1.2759</c:v>
                </c:pt>
                <c:pt idx="296">
                  <c:v>1.3166</c:v>
                </c:pt>
                <c:pt idx="297">
                  <c:v>1.3077000000000001</c:v>
                </c:pt>
                <c:pt idx="298">
                  <c:v>1.3190999999999999</c:v>
                </c:pt>
                <c:pt idx="299">
                  <c:v>1.3268</c:v>
                </c:pt>
                <c:pt idx="300">
                  <c:v>1.3514999999999999</c:v>
                </c:pt>
                <c:pt idx="301">
                  <c:v>1.3816999999999999</c:v>
                </c:pt>
                <c:pt idx="302">
                  <c:v>1.391</c:v>
                </c:pt>
                <c:pt idx="303">
                  <c:v>1.3548</c:v>
                </c:pt>
                <c:pt idx="304">
                  <c:v>1.3354999999999999</c:v>
                </c:pt>
                <c:pt idx="305">
                  <c:v>1.3762000000000001</c:v>
                </c:pt>
                <c:pt idx="306">
                  <c:v>1.3722000000000001</c:v>
                </c:pt>
                <c:pt idx="307">
                  <c:v>1.3607</c:v>
                </c:pt>
                <c:pt idx="308">
                  <c:v>1.3783000000000001</c:v>
                </c:pt>
                <c:pt idx="309">
                  <c:v>1.4013</c:v>
                </c:pt>
                <c:pt idx="310">
                  <c:v>1.4100999999999999</c:v>
                </c:pt>
                <c:pt idx="311">
                  <c:v>1.3729</c:v>
                </c:pt>
                <c:pt idx="312">
                  <c:v>1.4520999999999999</c:v>
                </c:pt>
                <c:pt idx="313">
                  <c:v>1.4750000000000001</c:v>
                </c:pt>
                <c:pt idx="314">
                  <c:v>1.4826999999999999</c:v>
                </c:pt>
                <c:pt idx="315">
                  <c:v>1.5423</c:v>
                </c:pt>
                <c:pt idx="316">
                  <c:v>1.5207999999999999</c:v>
                </c:pt>
                <c:pt idx="317">
                  <c:v>1.5518000000000001</c:v>
                </c:pt>
                <c:pt idx="318">
                  <c:v>1.5467</c:v>
                </c:pt>
                <c:pt idx="319">
                  <c:v>1.5538000000000001</c:v>
                </c:pt>
                <c:pt idx="320">
                  <c:v>1.5277000000000001</c:v>
                </c:pt>
                <c:pt idx="321">
                  <c:v>1.5379</c:v>
                </c:pt>
                <c:pt idx="322">
                  <c:v>1.5437000000000001</c:v>
                </c:pt>
                <c:pt idx="323">
                  <c:v>1.5471999999999999</c:v>
                </c:pt>
                <c:pt idx="324">
                  <c:v>1.5449999999999999</c:v>
                </c:pt>
                <c:pt idx="325">
                  <c:v>1.5579000000000001</c:v>
                </c:pt>
                <c:pt idx="326">
                  <c:v>1.5748</c:v>
                </c:pt>
                <c:pt idx="327">
                  <c:v>1.5716000000000001</c:v>
                </c:pt>
                <c:pt idx="328">
                  <c:v>1.5753999999999999</c:v>
                </c:pt>
                <c:pt idx="329">
                  <c:v>1.5527</c:v>
                </c:pt>
                <c:pt idx="330">
                  <c:v>1.5901000000000001</c:v>
                </c:pt>
                <c:pt idx="331">
                  <c:v>1.6160000000000001</c:v>
                </c:pt>
                <c:pt idx="332">
                  <c:v>1.6486000000000001</c:v>
                </c:pt>
                <c:pt idx="333">
                  <c:v>1.6448</c:v>
                </c:pt>
                <c:pt idx="334">
                  <c:v>1.6493</c:v>
                </c:pt>
                <c:pt idx="335">
                  <c:v>1.6748000000000001</c:v>
                </c:pt>
                <c:pt idx="336">
                  <c:v>1.6736</c:v>
                </c:pt>
                <c:pt idx="337">
                  <c:v>1.7841</c:v>
                </c:pt>
                <c:pt idx="338">
                  <c:v>1.7786</c:v>
                </c:pt>
                <c:pt idx="339">
                  <c:v>1.8139000000000001</c:v>
                </c:pt>
                <c:pt idx="340">
                  <c:v>1.8636999999999999</c:v>
                </c:pt>
                <c:pt idx="341">
                  <c:v>1.8937999999999999</c:v>
                </c:pt>
                <c:pt idx="342">
                  <c:v>1.8872</c:v>
                </c:pt>
                <c:pt idx="343">
                  <c:v>1.8889</c:v>
                </c:pt>
                <c:pt idx="344">
                  <c:v>1.9309000000000001</c:v>
                </c:pt>
                <c:pt idx="345">
                  <c:v>1.9424999999999999</c:v>
                </c:pt>
                <c:pt idx="346">
                  <c:v>1.9777</c:v>
                </c:pt>
                <c:pt idx="347">
                  <c:v>1.9763999999999999</c:v>
                </c:pt>
                <c:pt idx="348">
                  <c:v>1.9504999999999999</c:v>
                </c:pt>
                <c:pt idx="349">
                  <c:v>1.9429000000000001</c:v>
                </c:pt>
                <c:pt idx="350">
                  <c:v>1.9363999999999999</c:v>
                </c:pt>
                <c:pt idx="351">
                  <c:v>1.9518</c:v>
                </c:pt>
                <c:pt idx="352">
                  <c:v>1.9979</c:v>
                </c:pt>
                <c:pt idx="353">
                  <c:v>2.0647000000000002</c:v>
                </c:pt>
                <c:pt idx="354">
                  <c:v>2.0487000000000002</c:v>
                </c:pt>
                <c:pt idx="355">
                  <c:v>2.0501999999999998</c:v>
                </c:pt>
                <c:pt idx="356">
                  <c:v>2.0747</c:v>
                </c:pt>
                <c:pt idx="357">
                  <c:v>2.1273</c:v>
                </c:pt>
                <c:pt idx="358">
                  <c:v>2.1347999999999998</c:v>
                </c:pt>
                <c:pt idx="359">
                  <c:v>2.0994000000000002</c:v>
                </c:pt>
                <c:pt idx="360">
                  <c:v>2.0956999999999999</c:v>
                </c:pt>
                <c:pt idx="361">
                  <c:v>2.0474999999999999</c:v>
                </c:pt>
                <c:pt idx="362">
                  <c:v>1.9407000000000001</c:v>
                </c:pt>
                <c:pt idx="363">
                  <c:v>1.9437</c:v>
                </c:pt>
                <c:pt idx="364">
                  <c:v>1.9583999999999999</c:v>
                </c:pt>
                <c:pt idx="365">
                  <c:v>1.8958999999999999</c:v>
                </c:pt>
                <c:pt idx="366">
                  <c:v>1.9875</c:v>
                </c:pt>
                <c:pt idx="367">
                  <c:v>1.9196</c:v>
                </c:pt>
                <c:pt idx="368">
                  <c:v>1.9709000000000001</c:v>
                </c:pt>
                <c:pt idx="369">
                  <c:v>2.0009000000000001</c:v>
                </c:pt>
                <c:pt idx="370">
                  <c:v>1.9964</c:v>
                </c:pt>
                <c:pt idx="371">
                  <c:v>1.9597</c:v>
                </c:pt>
                <c:pt idx="372">
                  <c:v>2.0223</c:v>
                </c:pt>
                <c:pt idx="373">
                  <c:v>1.9611000000000001</c:v>
                </c:pt>
                <c:pt idx="374">
                  <c:v>1.9662999999999999</c:v>
                </c:pt>
                <c:pt idx="375">
                  <c:v>1.9518</c:v>
                </c:pt>
                <c:pt idx="376">
                  <c:v>1.9593</c:v>
                </c:pt>
                <c:pt idx="377">
                  <c:v>1.9621</c:v>
                </c:pt>
                <c:pt idx="378">
                  <c:v>1.97</c:v>
                </c:pt>
                <c:pt idx="379">
                  <c:v>1.9757</c:v>
                </c:pt>
                <c:pt idx="380">
                  <c:v>2.0409000000000002</c:v>
                </c:pt>
                <c:pt idx="381">
                  <c:v>2.0526</c:v>
                </c:pt>
                <c:pt idx="382">
                  <c:v>2.0426000000000002</c:v>
                </c:pt>
                <c:pt idx="383">
                  <c:v>2.0463</c:v>
                </c:pt>
                <c:pt idx="384">
                  <c:v>2.0209000000000001</c:v>
                </c:pt>
                <c:pt idx="385">
                  <c:v>1.9881</c:v>
                </c:pt>
                <c:pt idx="386">
                  <c:v>1.9811000000000001</c:v>
                </c:pt>
                <c:pt idx="387">
                  <c:v>2.0051000000000001</c:v>
                </c:pt>
                <c:pt idx="388">
                  <c:v>1.9902</c:v>
                </c:pt>
                <c:pt idx="389">
                  <c:v>2.0287999999999999</c:v>
                </c:pt>
                <c:pt idx="390">
                  <c:v>2.0743</c:v>
                </c:pt>
                <c:pt idx="391">
                  <c:v>2.0988000000000002</c:v>
                </c:pt>
                <c:pt idx="392">
                  <c:v>2.0762999999999998</c:v>
                </c:pt>
                <c:pt idx="393">
                  <c:v>2.1015000000000001</c:v>
                </c:pt>
                <c:pt idx="394">
                  <c:v>2.1511999999999998</c:v>
                </c:pt>
                <c:pt idx="395">
                  <c:v>2.1513</c:v>
                </c:pt>
                <c:pt idx="396">
                  <c:v>2.1137000000000001</c:v>
                </c:pt>
                <c:pt idx="397">
                  <c:v>2.1269</c:v>
                </c:pt>
                <c:pt idx="398">
                  <c:v>2.1334</c:v>
                </c:pt>
                <c:pt idx="399">
                  <c:v>2.1398999999999999</c:v>
                </c:pt>
                <c:pt idx="400">
                  <c:v>2.161</c:v>
                </c:pt>
                <c:pt idx="401">
                  <c:v>2.093</c:v>
                </c:pt>
                <c:pt idx="402">
                  <c:v>2.1223999999999998</c:v>
                </c:pt>
                <c:pt idx="403">
                  <c:v>2.1536</c:v>
                </c:pt>
                <c:pt idx="404">
                  <c:v>2.1554000000000002</c:v>
                </c:pt>
                <c:pt idx="405">
                  <c:v>2.0979000000000001</c:v>
                </c:pt>
                <c:pt idx="406">
                  <c:v>2.0461999999999998</c:v>
                </c:pt>
                <c:pt idx="407">
                  <c:v>2.0709</c:v>
                </c:pt>
                <c:pt idx="408">
                  <c:v>2.1217000000000001</c:v>
                </c:pt>
                <c:pt idx="409">
                  <c:v>2.1229</c:v>
                </c:pt>
                <c:pt idx="410">
                  <c:v>2.1511999999999998</c:v>
                </c:pt>
                <c:pt idx="411">
                  <c:v>2.1551999999999998</c:v>
                </c:pt>
                <c:pt idx="412">
                  <c:v>2.1368999999999998</c:v>
                </c:pt>
                <c:pt idx="413">
                  <c:v>2.1703999999999999</c:v>
                </c:pt>
                <c:pt idx="414">
                  <c:v>2.1941000000000002</c:v>
                </c:pt>
                <c:pt idx="415">
                  <c:v>2.2018</c:v>
                </c:pt>
                <c:pt idx="416">
                  <c:v>2.2115</c:v>
                </c:pt>
                <c:pt idx="417">
                  <c:v>2.1930999999999998</c:v>
                </c:pt>
                <c:pt idx="418">
                  <c:v>2.2189999999999999</c:v>
                </c:pt>
                <c:pt idx="419">
                  <c:v>2.2025000000000001</c:v>
                </c:pt>
                <c:pt idx="420">
                  <c:v>2.2122000000000002</c:v>
                </c:pt>
                <c:pt idx="421">
                  <c:v>2.1861000000000002</c:v>
                </c:pt>
                <c:pt idx="422">
                  <c:v>2.173</c:v>
                </c:pt>
                <c:pt idx="423">
                  <c:v>2.1728999999999998</c:v>
                </c:pt>
                <c:pt idx="424">
                  <c:v>2.16</c:v>
                </c:pt>
                <c:pt idx="425">
                  <c:v>2.1387999999999998</c:v>
                </c:pt>
                <c:pt idx="426">
                  <c:v>2.1739999999999999</c:v>
                </c:pt>
                <c:pt idx="427">
                  <c:v>2.2031000000000001</c:v>
                </c:pt>
                <c:pt idx="428">
                  <c:v>2.2301000000000002</c:v>
                </c:pt>
                <c:pt idx="429">
                  <c:v>2.2698999999999998</c:v>
                </c:pt>
                <c:pt idx="430">
                  <c:v>2.2799999999999998</c:v>
                </c:pt>
                <c:pt idx="431">
                  <c:v>2.2612000000000001</c:v>
                </c:pt>
                <c:pt idx="432">
                  <c:v>2.2176999999999998</c:v>
                </c:pt>
                <c:pt idx="433">
                  <c:v>2.2414999999999998</c:v>
                </c:pt>
                <c:pt idx="434">
                  <c:v>2.2418</c:v>
                </c:pt>
                <c:pt idx="435">
                  <c:v>2.2675999999999998</c:v>
                </c:pt>
                <c:pt idx="436">
                  <c:v>2.2997999999999998</c:v>
                </c:pt>
                <c:pt idx="437">
                  <c:v>2.2282000000000002</c:v>
                </c:pt>
                <c:pt idx="438">
                  <c:v>2.206</c:v>
                </c:pt>
                <c:pt idx="439">
                  <c:v>2.2551999999999999</c:v>
                </c:pt>
                <c:pt idx="440">
                  <c:v>2.2919999999999998</c:v>
                </c:pt>
                <c:pt idx="441">
                  <c:v>2.2772000000000001</c:v>
                </c:pt>
                <c:pt idx="442">
                  <c:v>2.3016999999999999</c:v>
                </c:pt>
                <c:pt idx="443">
                  <c:v>2.2722000000000002</c:v>
                </c:pt>
                <c:pt idx="444">
                  <c:v>2.2317999999999998</c:v>
                </c:pt>
                <c:pt idx="445">
                  <c:v>2.2345000000000002</c:v>
                </c:pt>
                <c:pt idx="446">
                  <c:v>2.0903</c:v>
                </c:pt>
                <c:pt idx="447">
                  <c:v>2.1103999999999998</c:v>
                </c:pt>
                <c:pt idx="448">
                  <c:v>2.1941000000000002</c:v>
                </c:pt>
                <c:pt idx="449">
                  <c:v>2.2473999999999998</c:v>
                </c:pt>
                <c:pt idx="450">
                  <c:v>2.2612000000000001</c:v>
                </c:pt>
                <c:pt idx="451">
                  <c:v>2.2753999999999999</c:v>
                </c:pt>
                <c:pt idx="452">
                  <c:v>2.2812999999999999</c:v>
                </c:pt>
                <c:pt idx="453">
                  <c:v>2.282</c:v>
                </c:pt>
                <c:pt idx="454">
                  <c:v>2.3250999999999999</c:v>
                </c:pt>
                <c:pt idx="455">
                  <c:v>2.3347000000000002</c:v>
                </c:pt>
                <c:pt idx="456">
                  <c:v>2.2747000000000002</c:v>
                </c:pt>
                <c:pt idx="457">
                  <c:v>2.2707999999999999</c:v>
                </c:pt>
                <c:pt idx="458">
                  <c:v>2.25</c:v>
                </c:pt>
                <c:pt idx="459">
                  <c:v>2.294</c:v>
                </c:pt>
                <c:pt idx="460">
                  <c:v>2.2568999999999999</c:v>
                </c:pt>
                <c:pt idx="461">
                  <c:v>2.2347999999999999</c:v>
                </c:pt>
                <c:pt idx="462">
                  <c:v>2.2679</c:v>
                </c:pt>
                <c:pt idx="463">
                  <c:v>2.3022</c:v>
                </c:pt>
                <c:pt idx="464">
                  <c:v>2.13</c:v>
                </c:pt>
                <c:pt idx="465">
                  <c:v>2.1128999999999998</c:v>
                </c:pt>
                <c:pt idx="466">
                  <c:v>2.0668000000000002</c:v>
                </c:pt>
                <c:pt idx="467">
                  <c:v>2.0396999999999998</c:v>
                </c:pt>
                <c:pt idx="468">
                  <c:v>2.0162</c:v>
                </c:pt>
                <c:pt idx="469">
                  <c:v>1.9524999999999999</c:v>
                </c:pt>
                <c:pt idx="470">
                  <c:v>1.8902000000000001</c:v>
                </c:pt>
                <c:pt idx="471">
                  <c:v>1.9865999999999999</c:v>
                </c:pt>
                <c:pt idx="472">
                  <c:v>2.0575999999999999</c:v>
                </c:pt>
                <c:pt idx="473">
                  <c:v>2.145</c:v>
                </c:pt>
                <c:pt idx="474">
                  <c:v>2.0922999999999998</c:v>
                </c:pt>
                <c:pt idx="475">
                  <c:v>2.1196000000000002</c:v>
                </c:pt>
                <c:pt idx="476">
                  <c:v>2.1537999999999999</c:v>
                </c:pt>
                <c:pt idx="477">
                  <c:v>2.1419000000000001</c:v>
                </c:pt>
                <c:pt idx="478">
                  <c:v>2.1109</c:v>
                </c:pt>
                <c:pt idx="479">
                  <c:v>2.1635</c:v>
                </c:pt>
                <c:pt idx="480">
                  <c:v>2.1539999999999999</c:v>
                </c:pt>
                <c:pt idx="481">
                  <c:v>2.13</c:v>
                </c:pt>
                <c:pt idx="482">
                  <c:v>2.1320999999999999</c:v>
                </c:pt>
                <c:pt idx="483">
                  <c:v>2.0996999999999999</c:v>
                </c:pt>
                <c:pt idx="484">
                  <c:v>2.1539999999999999</c:v>
                </c:pt>
                <c:pt idx="485">
                  <c:v>2.1608999999999998</c:v>
                </c:pt>
                <c:pt idx="486">
                  <c:v>2.1118999999999999</c:v>
                </c:pt>
                <c:pt idx="487">
                  <c:v>2.1438000000000001</c:v>
                </c:pt>
                <c:pt idx="488">
                  <c:v>2.1269</c:v>
                </c:pt>
                <c:pt idx="489">
                  <c:v>2.1156999999999999</c:v>
                </c:pt>
                <c:pt idx="490">
                  <c:v>2.0602999999999998</c:v>
                </c:pt>
                <c:pt idx="491">
                  <c:v>2.0598000000000001</c:v>
                </c:pt>
                <c:pt idx="492">
                  <c:v>2.0836999999999999</c:v>
                </c:pt>
                <c:pt idx="493">
                  <c:v>2.1261000000000001</c:v>
                </c:pt>
                <c:pt idx="494">
                  <c:v>2.1377000000000002</c:v>
                </c:pt>
                <c:pt idx="495">
                  <c:v>2.17</c:v>
                </c:pt>
                <c:pt idx="496">
                  <c:v>2.1475</c:v>
                </c:pt>
                <c:pt idx="497">
                  <c:v>2.1749999999999998</c:v>
                </c:pt>
                <c:pt idx="498">
                  <c:v>2.194</c:v>
                </c:pt>
                <c:pt idx="499">
                  <c:v>2.25</c:v>
                </c:pt>
                <c:pt idx="500">
                  <c:v>2.3085</c:v>
                </c:pt>
                <c:pt idx="501">
                  <c:v>2.3578999999999999</c:v>
                </c:pt>
                <c:pt idx="502">
                  <c:v>2.3081999999999998</c:v>
                </c:pt>
                <c:pt idx="503">
                  <c:v>2.3344</c:v>
                </c:pt>
                <c:pt idx="504">
                  <c:v>2.3662000000000001</c:v>
                </c:pt>
                <c:pt idx="505">
                  <c:v>2.3778999999999999</c:v>
                </c:pt>
                <c:pt idx="506">
                  <c:v>2.3828999999999998</c:v>
                </c:pt>
                <c:pt idx="507">
                  <c:v>2.4055</c:v>
                </c:pt>
                <c:pt idx="508">
                  <c:v>2.3824000000000001</c:v>
                </c:pt>
                <c:pt idx="509">
                  <c:v>2.4251</c:v>
                </c:pt>
                <c:pt idx="510">
                  <c:v>2.4222999999999999</c:v>
                </c:pt>
                <c:pt idx="511">
                  <c:v>2.4176000000000002</c:v>
                </c:pt>
                <c:pt idx="512">
                  <c:v>2.4468999999999999</c:v>
                </c:pt>
                <c:pt idx="513">
                  <c:v>2.419</c:v>
                </c:pt>
                <c:pt idx="514">
                  <c:v>2.4156</c:v>
                </c:pt>
                <c:pt idx="515">
                  <c:v>2.4426999999999999</c:v>
                </c:pt>
                <c:pt idx="516">
                  <c:v>2.4472</c:v>
                </c:pt>
                <c:pt idx="517">
                  <c:v>2.3792</c:v>
                </c:pt>
                <c:pt idx="518">
                  <c:v>2.3589000000000002</c:v>
                </c:pt>
                <c:pt idx="519">
                  <c:v>2.3696999999999999</c:v>
                </c:pt>
                <c:pt idx="520">
                  <c:v>2.4093</c:v>
                </c:pt>
                <c:pt idx="521">
                  <c:v>2.4500999999999999</c:v>
                </c:pt>
                <c:pt idx="522">
                  <c:v>2.3384999999999998</c:v>
                </c:pt>
                <c:pt idx="523">
                  <c:v>2.2926000000000002</c:v>
                </c:pt>
                <c:pt idx="524">
                  <c:v>2.3209</c:v>
                </c:pt>
                <c:pt idx="525">
                  <c:v>2.3222</c:v>
                </c:pt>
                <c:pt idx="526">
                  <c:v>2.3752</c:v>
                </c:pt>
                <c:pt idx="527">
                  <c:v>2.2646000000000002</c:v>
                </c:pt>
                <c:pt idx="528">
                  <c:v>2.2806000000000002</c:v>
                </c:pt>
                <c:pt idx="529">
                  <c:v>2.2685</c:v>
                </c:pt>
                <c:pt idx="530">
                  <c:v>2.2761999999999998</c:v>
                </c:pt>
                <c:pt idx="531">
                  <c:v>2.2936000000000001</c:v>
                </c:pt>
                <c:pt idx="532">
                  <c:v>2.2305000000000001</c:v>
                </c:pt>
                <c:pt idx="533">
                  <c:v>2.2427000000000001</c:v>
                </c:pt>
                <c:pt idx="534">
                  <c:v>2.1568999999999998</c:v>
                </c:pt>
                <c:pt idx="535">
                  <c:v>2.2033</c:v>
                </c:pt>
                <c:pt idx="536">
                  <c:v>2.2783000000000002</c:v>
                </c:pt>
                <c:pt idx="537">
                  <c:v>2.2658999999999998</c:v>
                </c:pt>
                <c:pt idx="538">
                  <c:v>1.9811000000000001</c:v>
                </c:pt>
                <c:pt idx="539">
                  <c:v>2.0329999999999999</c:v>
                </c:pt>
                <c:pt idx="540">
                  <c:v>1.9400999999999999</c:v>
                </c:pt>
                <c:pt idx="541">
                  <c:v>1.9511000000000001</c:v>
                </c:pt>
                <c:pt idx="542">
                  <c:v>1.9677</c:v>
                </c:pt>
                <c:pt idx="543">
                  <c:v>1.9529000000000001</c:v>
                </c:pt>
                <c:pt idx="544">
                  <c:v>2.0432999999999999</c:v>
                </c:pt>
                <c:pt idx="545">
                  <c:v>2.1</c:v>
                </c:pt>
                <c:pt idx="546">
                  <c:v>2.1484999999999999</c:v>
                </c:pt>
                <c:pt idx="547">
                  <c:v>2.1284000000000001</c:v>
                </c:pt>
                <c:pt idx="548">
                  <c:v>2.1372</c:v>
                </c:pt>
                <c:pt idx="549">
                  <c:v>2.1164999999999998</c:v>
                </c:pt>
                <c:pt idx="550">
                  <c:v>2.1107999999999998</c:v>
                </c:pt>
                <c:pt idx="551">
                  <c:v>2.1122999999999998</c:v>
                </c:pt>
                <c:pt idx="552">
                  <c:v>2.1644000000000001</c:v>
                </c:pt>
                <c:pt idx="553">
                  <c:v>2.1126</c:v>
                </c:pt>
                <c:pt idx="554">
                  <c:v>2.0785999999999998</c:v>
                </c:pt>
                <c:pt idx="555">
                  <c:v>2.1448</c:v>
                </c:pt>
                <c:pt idx="556">
                  <c:v>2.165</c:v>
                </c:pt>
                <c:pt idx="557">
                  <c:v>2.2033</c:v>
                </c:pt>
                <c:pt idx="558">
                  <c:v>2.2303999999999999</c:v>
                </c:pt>
                <c:pt idx="559">
                  <c:v>2.246</c:v>
                </c:pt>
                <c:pt idx="560">
                  <c:v>2.2665999999999999</c:v>
                </c:pt>
                <c:pt idx="561">
                  <c:v>2.2913999999999999</c:v>
                </c:pt>
                <c:pt idx="562">
                  <c:v>2.2246000000000001</c:v>
                </c:pt>
                <c:pt idx="563">
                  <c:v>2.2565</c:v>
                </c:pt>
                <c:pt idx="564">
                  <c:v>2.2763</c:v>
                </c:pt>
                <c:pt idx="565">
                  <c:v>2.2921</c:v>
                </c:pt>
                <c:pt idx="566">
                  <c:v>2.3043</c:v>
                </c:pt>
                <c:pt idx="567">
                  <c:v>2.2989000000000002</c:v>
                </c:pt>
                <c:pt idx="568">
                  <c:v>2.2753999999999999</c:v>
                </c:pt>
                <c:pt idx="569">
                  <c:v>2.3574000000000002</c:v>
                </c:pt>
                <c:pt idx="570">
                  <c:v>2.3908</c:v>
                </c:pt>
                <c:pt idx="571">
                  <c:v>2.3877000000000002</c:v>
                </c:pt>
                <c:pt idx="572">
                  <c:v>2.4237000000000002</c:v>
                </c:pt>
                <c:pt idx="573">
                  <c:v>2.4386999999999999</c:v>
                </c:pt>
                <c:pt idx="574">
                  <c:v>2.4615</c:v>
                </c:pt>
                <c:pt idx="575">
                  <c:v>2.4662000000000002</c:v>
                </c:pt>
                <c:pt idx="576">
                  <c:v>2.4464999999999999</c:v>
                </c:pt>
                <c:pt idx="577">
                  <c:v>2.4020999999999999</c:v>
                </c:pt>
                <c:pt idx="578">
                  <c:v>2.4626000000000001</c:v>
                </c:pt>
                <c:pt idx="579">
                  <c:v>2.5232000000000001</c:v>
                </c:pt>
                <c:pt idx="580">
                  <c:v>2.5209999999999999</c:v>
                </c:pt>
                <c:pt idx="581">
                  <c:v>2.5379</c:v>
                </c:pt>
                <c:pt idx="582">
                  <c:v>2.5543999999999998</c:v>
                </c:pt>
                <c:pt idx="583">
                  <c:v>2.5752000000000002</c:v>
                </c:pt>
                <c:pt idx="584">
                  <c:v>2.6070000000000002</c:v>
                </c:pt>
                <c:pt idx="585">
                  <c:v>2.6427</c:v>
                </c:pt>
                <c:pt idx="586">
                  <c:v>2.6785000000000001</c:v>
                </c:pt>
                <c:pt idx="587">
                  <c:v>2.6852999999999998</c:v>
                </c:pt>
                <c:pt idx="588">
                  <c:v>2.6251000000000002</c:v>
                </c:pt>
                <c:pt idx="589">
                  <c:v>2.6534</c:v>
                </c:pt>
                <c:pt idx="590">
                  <c:v>2.6654</c:v>
                </c:pt>
                <c:pt idx="591">
                  <c:v>2.7385999999999999</c:v>
                </c:pt>
                <c:pt idx="592">
                  <c:v>2.9068000000000001</c:v>
                </c:pt>
                <c:pt idx="593">
                  <c:v>2.8094999999999999</c:v>
                </c:pt>
                <c:pt idx="594">
                  <c:v>2.8283</c:v>
                </c:pt>
                <c:pt idx="595">
                  <c:v>2.7959999999999998</c:v>
                </c:pt>
                <c:pt idx="596">
                  <c:v>2.8119000000000001</c:v>
                </c:pt>
                <c:pt idx="597">
                  <c:v>2.8542999999999998</c:v>
                </c:pt>
                <c:pt idx="598">
                  <c:v>2.8759999999999999</c:v>
                </c:pt>
                <c:pt idx="599">
                  <c:v>2.9165000000000001</c:v>
                </c:pt>
                <c:pt idx="600">
                  <c:v>2.8740999999999999</c:v>
                </c:pt>
                <c:pt idx="601">
                  <c:v>2.9325000000000001</c:v>
                </c:pt>
                <c:pt idx="602">
                  <c:v>3.0886999999999998</c:v>
                </c:pt>
                <c:pt idx="603">
                  <c:v>3.3083</c:v>
                </c:pt>
                <c:pt idx="604">
                  <c:v>3.2844000000000002</c:v>
                </c:pt>
                <c:pt idx="605">
                  <c:v>3.544</c:v>
                </c:pt>
                <c:pt idx="606">
                  <c:v>3.5720999999999998</c:v>
                </c:pt>
                <c:pt idx="607">
                  <c:v>3.6825999999999999</c:v>
                </c:pt>
                <c:pt idx="608">
                  <c:v>3.2938000000000001</c:v>
                </c:pt>
                <c:pt idx="609">
                  <c:v>3.1566999999999998</c:v>
                </c:pt>
                <c:pt idx="610">
                  <c:v>3.3121</c:v>
                </c:pt>
                <c:pt idx="611">
                  <c:v>3.1339000000000001</c:v>
                </c:pt>
                <c:pt idx="612">
                  <c:v>2.9657</c:v>
                </c:pt>
                <c:pt idx="613">
                  <c:v>2.952</c:v>
                </c:pt>
                <c:pt idx="614">
                  <c:v>3.1821999999999999</c:v>
                </c:pt>
                <c:pt idx="615">
                  <c:v>3.2059000000000002</c:v>
                </c:pt>
                <c:pt idx="616">
                  <c:v>3.3378999999999999</c:v>
                </c:pt>
                <c:pt idx="617">
                  <c:v>3.3046000000000002</c:v>
                </c:pt>
                <c:pt idx="618">
                  <c:v>3.4195000000000002</c:v>
                </c:pt>
                <c:pt idx="619">
                  <c:v>3.3689</c:v>
                </c:pt>
                <c:pt idx="620">
                  <c:v>3.4363000000000001</c:v>
                </c:pt>
                <c:pt idx="621">
                  <c:v>3.1962000000000002</c:v>
                </c:pt>
                <c:pt idx="622">
                  <c:v>3.1766999999999999</c:v>
                </c:pt>
                <c:pt idx="623">
                  <c:v>3.2864</c:v>
                </c:pt>
                <c:pt idx="624">
                  <c:v>3.1509</c:v>
                </c:pt>
                <c:pt idx="625">
                  <c:v>3.1535000000000002</c:v>
                </c:pt>
                <c:pt idx="626">
                  <c:v>3.1981000000000002</c:v>
                </c:pt>
                <c:pt idx="627">
                  <c:v>3.1648999999999998</c:v>
                </c:pt>
                <c:pt idx="628">
                  <c:v>3.0461999999999998</c:v>
                </c:pt>
                <c:pt idx="629">
                  <c:v>3.0398000000000001</c:v>
                </c:pt>
                <c:pt idx="630">
                  <c:v>3.1316000000000002</c:v>
                </c:pt>
                <c:pt idx="631">
                  <c:v>3.0030999999999999</c:v>
                </c:pt>
                <c:pt idx="632">
                  <c:v>3.1537999999999999</c:v>
                </c:pt>
                <c:pt idx="633">
                  <c:v>3.2913000000000001</c:v>
                </c:pt>
                <c:pt idx="634">
                  <c:v>3.3814000000000002</c:v>
                </c:pt>
                <c:pt idx="635">
                  <c:v>3.3580000000000001</c:v>
                </c:pt>
                <c:pt idx="636">
                  <c:v>3.2288999999999999</c:v>
                </c:pt>
                <c:pt idx="637">
                  <c:v>3.2618</c:v>
                </c:pt>
                <c:pt idx="638">
                  <c:v>3.3174999999999999</c:v>
                </c:pt>
                <c:pt idx="639">
                  <c:v>3.286</c:v>
                </c:pt>
                <c:pt idx="640">
                  <c:v>3.2206000000000001</c:v>
                </c:pt>
                <c:pt idx="641">
                  <c:v>3.3109999999999999</c:v>
                </c:pt>
                <c:pt idx="642">
                  <c:v>3.4135</c:v>
                </c:pt>
                <c:pt idx="643">
                  <c:v>3.4759000000000002</c:v>
                </c:pt>
                <c:pt idx="644">
                  <c:v>3.4424000000000001</c:v>
                </c:pt>
                <c:pt idx="645">
                  <c:v>3.5101</c:v>
                </c:pt>
                <c:pt idx="646">
                  <c:v>3.5011999999999999</c:v>
                </c:pt>
                <c:pt idx="647">
                  <c:v>3.6522999999999999</c:v>
                </c:pt>
                <c:pt idx="648">
                  <c:v>3.6587000000000001</c:v>
                </c:pt>
                <c:pt idx="649">
                  <c:v>3.7589999999999999</c:v>
                </c:pt>
                <c:pt idx="650">
                  <c:v>3.6419000000000001</c:v>
                </c:pt>
                <c:pt idx="651">
                  <c:v>3.5415000000000001</c:v>
                </c:pt>
                <c:pt idx="652">
                  <c:v>3.6855000000000002</c:v>
                </c:pt>
                <c:pt idx="653">
                  <c:v>3.7917000000000001</c:v>
                </c:pt>
                <c:pt idx="654">
                  <c:v>3.9578000000000002</c:v>
                </c:pt>
                <c:pt idx="655">
                  <c:v>3.8405</c:v>
                </c:pt>
                <c:pt idx="656">
                  <c:v>3.7763</c:v>
                </c:pt>
                <c:pt idx="657">
                  <c:v>3.5912999999999999</c:v>
                </c:pt>
                <c:pt idx="658">
                  <c:v>3.6776</c:v>
                </c:pt>
                <c:pt idx="659">
                  <c:v>3.6897000000000002</c:v>
                </c:pt>
                <c:pt idx="660">
                  <c:v>3.6802000000000001</c:v>
                </c:pt>
                <c:pt idx="661">
                  <c:v>3.6897000000000002</c:v>
                </c:pt>
                <c:pt idx="662">
                  <c:v>3.7252999999999998</c:v>
                </c:pt>
                <c:pt idx="663">
                  <c:v>3.7924000000000002</c:v>
                </c:pt>
                <c:pt idx="664">
                  <c:v>3.9119000000000002</c:v>
                </c:pt>
                <c:pt idx="665">
                  <c:v>3.9161999999999999</c:v>
                </c:pt>
                <c:pt idx="666">
                  <c:v>4.0716000000000001</c:v>
                </c:pt>
                <c:pt idx="667">
                  <c:v>4.1909000000000001</c:v>
                </c:pt>
                <c:pt idx="668">
                  <c:v>4.2522000000000002</c:v>
                </c:pt>
                <c:pt idx="669">
                  <c:v>4.1929999999999996</c:v>
                </c:pt>
                <c:pt idx="670">
                  <c:v>4.1577000000000002</c:v>
                </c:pt>
                <c:pt idx="671">
                  <c:v>4.2218999999999998</c:v>
                </c:pt>
                <c:pt idx="672">
                  <c:v>4.2762000000000002</c:v>
                </c:pt>
                <c:pt idx="673">
                  <c:v>4.1722000000000001</c:v>
                </c:pt>
                <c:pt idx="674">
                  <c:v>4.0353000000000003</c:v>
                </c:pt>
                <c:pt idx="675">
                  <c:v>3.9937999999999998</c:v>
                </c:pt>
                <c:pt idx="676">
                  <c:v>3.8942000000000001</c:v>
                </c:pt>
                <c:pt idx="677">
                  <c:v>3.9558</c:v>
                </c:pt>
                <c:pt idx="678">
                  <c:v>3.7930000000000001</c:v>
                </c:pt>
                <c:pt idx="679">
                  <c:v>3.69</c:v>
                </c:pt>
                <c:pt idx="680">
                  <c:v>3.7298</c:v>
                </c:pt>
                <c:pt idx="681">
                  <c:v>3.661</c:v>
                </c:pt>
                <c:pt idx="682">
                  <c:v>3.72</c:v>
                </c:pt>
                <c:pt idx="683">
                  <c:v>3.73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D44-4982-9E82-B98C83CC8F81}"/>
            </c:ext>
          </c:extLst>
        </c:ser>
        <c:ser>
          <c:idx val="1"/>
          <c:order val="1"/>
          <c:tx>
            <c:strRef>
              <c:f>'GasPrice at Pump'!$L$1</c:f>
              <c:strCache>
                <c:ptCount val="1"/>
                <c:pt idx="0">
                  <c:v>RetailGas</c:v>
                </c:pt>
              </c:strCache>
            </c:strRef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2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'GasPrice at Pump'!$J$2:$J$685</c:f>
              <c:strCache>
                <c:ptCount val="684"/>
                <c:pt idx="0">
                  <c:v>10/31/2019</c:v>
                </c:pt>
                <c:pt idx="1">
                  <c:v>11/1/2019</c:v>
                </c:pt>
                <c:pt idx="2">
                  <c:v>11/4/2019</c:v>
                </c:pt>
                <c:pt idx="3">
                  <c:v>11/5/2019</c:v>
                </c:pt>
                <c:pt idx="4">
                  <c:v>11/6/2019</c:v>
                </c:pt>
                <c:pt idx="5">
                  <c:v>11/7/2019</c:v>
                </c:pt>
                <c:pt idx="6">
                  <c:v>11/8/2019</c:v>
                </c:pt>
                <c:pt idx="7">
                  <c:v>11/11/2019</c:v>
                </c:pt>
                <c:pt idx="8">
                  <c:v>11/12/2019</c:v>
                </c:pt>
                <c:pt idx="9">
                  <c:v>11/13/2019</c:v>
                </c:pt>
                <c:pt idx="10">
                  <c:v>11/14/2019</c:v>
                </c:pt>
                <c:pt idx="11">
                  <c:v>11/15/2019</c:v>
                </c:pt>
                <c:pt idx="12">
                  <c:v>11/18/2019</c:v>
                </c:pt>
                <c:pt idx="13">
                  <c:v>11/19/2019</c:v>
                </c:pt>
                <c:pt idx="14">
                  <c:v>11/20/2019</c:v>
                </c:pt>
                <c:pt idx="15">
                  <c:v>11/21/2019</c:v>
                </c:pt>
                <c:pt idx="16">
                  <c:v>11/22/2019</c:v>
                </c:pt>
                <c:pt idx="17">
                  <c:v>11/25/2019</c:v>
                </c:pt>
                <c:pt idx="18">
                  <c:v>11/26/2019</c:v>
                </c:pt>
                <c:pt idx="19">
                  <c:v>11/27/2019</c:v>
                </c:pt>
                <c:pt idx="20">
                  <c:v>11/28/2019</c:v>
                </c:pt>
                <c:pt idx="21">
                  <c:v>11/29/2019</c:v>
                </c:pt>
                <c:pt idx="22">
                  <c:v>12/2/2019</c:v>
                </c:pt>
                <c:pt idx="23">
                  <c:v>12/3/2019</c:v>
                </c:pt>
                <c:pt idx="24">
                  <c:v>12/4/2019</c:v>
                </c:pt>
                <c:pt idx="25">
                  <c:v>12/5/2019</c:v>
                </c:pt>
                <c:pt idx="26">
                  <c:v>12/6/2019</c:v>
                </c:pt>
                <c:pt idx="27">
                  <c:v>12/9/2019</c:v>
                </c:pt>
                <c:pt idx="28">
                  <c:v>12/10/2019</c:v>
                </c:pt>
                <c:pt idx="29">
                  <c:v>12/11/2019</c:v>
                </c:pt>
                <c:pt idx="30">
                  <c:v>12/12/2019</c:v>
                </c:pt>
                <c:pt idx="31">
                  <c:v>12/13/2019</c:v>
                </c:pt>
                <c:pt idx="32">
                  <c:v>12/16/2019</c:v>
                </c:pt>
                <c:pt idx="33">
                  <c:v>12/17/2019</c:v>
                </c:pt>
                <c:pt idx="34">
                  <c:v>12/18/2019</c:v>
                </c:pt>
                <c:pt idx="35">
                  <c:v>12/19/2019</c:v>
                </c:pt>
                <c:pt idx="36">
                  <c:v>12/20/2019</c:v>
                </c:pt>
                <c:pt idx="37">
                  <c:v>12/23/2019</c:v>
                </c:pt>
                <c:pt idx="38">
                  <c:v>12/24/2019</c:v>
                </c:pt>
                <c:pt idx="39">
                  <c:v>12/26/2019</c:v>
                </c:pt>
                <c:pt idx="40">
                  <c:v>12/27/2019</c:v>
                </c:pt>
                <c:pt idx="41">
                  <c:v>12/30/2019</c:v>
                </c:pt>
                <c:pt idx="42">
                  <c:v>12/31/2019</c:v>
                </c:pt>
                <c:pt idx="43">
                  <c:v>1/2/2020</c:v>
                </c:pt>
                <c:pt idx="44">
                  <c:v>1/3/2020</c:v>
                </c:pt>
                <c:pt idx="45">
                  <c:v>1/6/2020</c:v>
                </c:pt>
                <c:pt idx="46">
                  <c:v>1/7/2020</c:v>
                </c:pt>
                <c:pt idx="47">
                  <c:v>1/8/2020</c:v>
                </c:pt>
                <c:pt idx="48">
                  <c:v>1/9/2020</c:v>
                </c:pt>
                <c:pt idx="49">
                  <c:v>1/10/2020</c:v>
                </c:pt>
                <c:pt idx="50">
                  <c:v>1/13/2020</c:v>
                </c:pt>
                <c:pt idx="51">
                  <c:v>1/14/2020</c:v>
                </c:pt>
                <c:pt idx="52">
                  <c:v>1/15/2020</c:v>
                </c:pt>
                <c:pt idx="53">
                  <c:v>1/16/2020</c:v>
                </c:pt>
                <c:pt idx="54">
                  <c:v>1/17/2020</c:v>
                </c:pt>
                <c:pt idx="55">
                  <c:v>1/20/2020</c:v>
                </c:pt>
                <c:pt idx="56">
                  <c:v>1/21/2020</c:v>
                </c:pt>
                <c:pt idx="57">
                  <c:v>1/22/2020</c:v>
                </c:pt>
                <c:pt idx="58">
                  <c:v>1/23/2020</c:v>
                </c:pt>
                <c:pt idx="59">
                  <c:v>1/24/2020</c:v>
                </c:pt>
                <c:pt idx="60">
                  <c:v>1/27/2020</c:v>
                </c:pt>
                <c:pt idx="61">
                  <c:v>1/28/2020</c:v>
                </c:pt>
                <c:pt idx="62">
                  <c:v>1/29/2020</c:v>
                </c:pt>
                <c:pt idx="63">
                  <c:v>1/30/2020</c:v>
                </c:pt>
                <c:pt idx="64">
                  <c:v>1/31/2020</c:v>
                </c:pt>
                <c:pt idx="65">
                  <c:v>2/3/2020</c:v>
                </c:pt>
                <c:pt idx="66">
                  <c:v>2/4/2020</c:v>
                </c:pt>
                <c:pt idx="67">
                  <c:v>2/5/2020</c:v>
                </c:pt>
                <c:pt idx="68">
                  <c:v>2/6/2020</c:v>
                </c:pt>
                <c:pt idx="69">
                  <c:v>2/7/2020</c:v>
                </c:pt>
                <c:pt idx="70">
                  <c:v>2/10/2020</c:v>
                </c:pt>
                <c:pt idx="71">
                  <c:v>2/11/2020</c:v>
                </c:pt>
                <c:pt idx="72">
                  <c:v>2/12/2020</c:v>
                </c:pt>
                <c:pt idx="73">
                  <c:v>2/13/2020</c:v>
                </c:pt>
                <c:pt idx="74">
                  <c:v>2/14/2020</c:v>
                </c:pt>
                <c:pt idx="75">
                  <c:v>2/17/2020</c:v>
                </c:pt>
                <c:pt idx="76">
                  <c:v>2/18/2020</c:v>
                </c:pt>
                <c:pt idx="77">
                  <c:v>2/19/2020</c:v>
                </c:pt>
                <c:pt idx="78">
                  <c:v>2/20/2020</c:v>
                </c:pt>
                <c:pt idx="79">
                  <c:v>2/21/2020</c:v>
                </c:pt>
                <c:pt idx="80">
                  <c:v>2/24/2020</c:v>
                </c:pt>
                <c:pt idx="81">
                  <c:v>2/25/2020</c:v>
                </c:pt>
                <c:pt idx="82">
                  <c:v>2/26/2020</c:v>
                </c:pt>
                <c:pt idx="83">
                  <c:v>2/27/2020</c:v>
                </c:pt>
                <c:pt idx="84">
                  <c:v>2/28/2020</c:v>
                </c:pt>
                <c:pt idx="85">
                  <c:v>3/2/2020</c:v>
                </c:pt>
                <c:pt idx="86">
                  <c:v>3/3/2020</c:v>
                </c:pt>
                <c:pt idx="87">
                  <c:v>3/4/2020</c:v>
                </c:pt>
                <c:pt idx="88">
                  <c:v>3/5/2020</c:v>
                </c:pt>
                <c:pt idx="89">
                  <c:v>3/6/2020</c:v>
                </c:pt>
                <c:pt idx="90">
                  <c:v>3/9/2020</c:v>
                </c:pt>
                <c:pt idx="91">
                  <c:v>3/10/2020</c:v>
                </c:pt>
                <c:pt idx="92">
                  <c:v>3/11/2020</c:v>
                </c:pt>
                <c:pt idx="93">
                  <c:v>3/12/2020</c:v>
                </c:pt>
                <c:pt idx="94">
                  <c:v>3/13/2020</c:v>
                </c:pt>
                <c:pt idx="95">
                  <c:v>3/16/2020</c:v>
                </c:pt>
                <c:pt idx="96">
                  <c:v>3/17/2020</c:v>
                </c:pt>
                <c:pt idx="97">
                  <c:v>3/18/2020</c:v>
                </c:pt>
                <c:pt idx="98">
                  <c:v>3/19/2020</c:v>
                </c:pt>
                <c:pt idx="99">
                  <c:v>3/20/2020</c:v>
                </c:pt>
                <c:pt idx="100">
                  <c:v>3/23/2020</c:v>
                </c:pt>
                <c:pt idx="101">
                  <c:v>3/24/2020</c:v>
                </c:pt>
                <c:pt idx="102">
                  <c:v>3/25/2020</c:v>
                </c:pt>
                <c:pt idx="103">
                  <c:v>3/26/2020</c:v>
                </c:pt>
                <c:pt idx="104">
                  <c:v>3/27/2020</c:v>
                </c:pt>
                <c:pt idx="105">
                  <c:v>3/30/2020</c:v>
                </c:pt>
                <c:pt idx="106">
                  <c:v>3/31/2020</c:v>
                </c:pt>
                <c:pt idx="107">
                  <c:v>4/1/2020</c:v>
                </c:pt>
                <c:pt idx="108">
                  <c:v>4/2/2020</c:v>
                </c:pt>
                <c:pt idx="109">
                  <c:v>4/3/2020</c:v>
                </c:pt>
                <c:pt idx="110">
                  <c:v>4/6/2020</c:v>
                </c:pt>
                <c:pt idx="111">
                  <c:v>4/7/2020</c:v>
                </c:pt>
                <c:pt idx="112">
                  <c:v>4/8/2020</c:v>
                </c:pt>
                <c:pt idx="113">
                  <c:v>4/9/2020</c:v>
                </c:pt>
                <c:pt idx="114">
                  <c:v>4/13/2020</c:v>
                </c:pt>
                <c:pt idx="115">
                  <c:v>4/14/2020</c:v>
                </c:pt>
                <c:pt idx="116">
                  <c:v>4/15/2020</c:v>
                </c:pt>
                <c:pt idx="117">
                  <c:v>4/16/2020</c:v>
                </c:pt>
                <c:pt idx="118">
                  <c:v>4/17/2020</c:v>
                </c:pt>
                <c:pt idx="119">
                  <c:v>4/20/2020</c:v>
                </c:pt>
                <c:pt idx="120">
                  <c:v>4/21/2020</c:v>
                </c:pt>
                <c:pt idx="121">
                  <c:v>4/22/2020</c:v>
                </c:pt>
                <c:pt idx="122">
                  <c:v>4/23/2020</c:v>
                </c:pt>
                <c:pt idx="123">
                  <c:v>4/24/2020</c:v>
                </c:pt>
                <c:pt idx="124">
                  <c:v>4/27/2020</c:v>
                </c:pt>
                <c:pt idx="125">
                  <c:v>4/28/2020</c:v>
                </c:pt>
                <c:pt idx="126">
                  <c:v>4/29/2020</c:v>
                </c:pt>
                <c:pt idx="127">
                  <c:v>4/30/2020</c:v>
                </c:pt>
                <c:pt idx="128">
                  <c:v>5/1/2020</c:v>
                </c:pt>
                <c:pt idx="129">
                  <c:v>5/4/2020</c:v>
                </c:pt>
                <c:pt idx="130">
                  <c:v>5/5/2020</c:v>
                </c:pt>
                <c:pt idx="131">
                  <c:v>5/6/2020</c:v>
                </c:pt>
                <c:pt idx="132">
                  <c:v>5/7/2020</c:v>
                </c:pt>
                <c:pt idx="133">
                  <c:v>5/8/2020</c:v>
                </c:pt>
                <c:pt idx="134">
                  <c:v>5/11/2020</c:v>
                </c:pt>
                <c:pt idx="135">
                  <c:v>5/12/2020</c:v>
                </c:pt>
                <c:pt idx="136">
                  <c:v>5/13/2020</c:v>
                </c:pt>
                <c:pt idx="137">
                  <c:v>5/14/2020</c:v>
                </c:pt>
                <c:pt idx="138">
                  <c:v>5/15/2020</c:v>
                </c:pt>
                <c:pt idx="139">
                  <c:v>5/18/2020</c:v>
                </c:pt>
                <c:pt idx="140">
                  <c:v>5/19/2020</c:v>
                </c:pt>
                <c:pt idx="141">
                  <c:v>5/20/2020</c:v>
                </c:pt>
                <c:pt idx="142">
                  <c:v>5/21/2020</c:v>
                </c:pt>
                <c:pt idx="143">
                  <c:v>5/22/2020</c:v>
                </c:pt>
                <c:pt idx="144">
                  <c:v>5/26/2020</c:v>
                </c:pt>
                <c:pt idx="145">
                  <c:v>5/27/2020</c:v>
                </c:pt>
                <c:pt idx="146">
                  <c:v>5/28/2020</c:v>
                </c:pt>
                <c:pt idx="147">
                  <c:v>5/29/2020</c:v>
                </c:pt>
                <c:pt idx="148">
                  <c:v>6/1/2020</c:v>
                </c:pt>
                <c:pt idx="149">
                  <c:v>6/2/2020</c:v>
                </c:pt>
                <c:pt idx="150">
                  <c:v>6/3/2020</c:v>
                </c:pt>
                <c:pt idx="151">
                  <c:v>6/4/2020</c:v>
                </c:pt>
                <c:pt idx="152">
                  <c:v>6/5/2020</c:v>
                </c:pt>
                <c:pt idx="153">
                  <c:v>6/8/2020</c:v>
                </c:pt>
                <c:pt idx="154">
                  <c:v>6/9/2020</c:v>
                </c:pt>
                <c:pt idx="155">
                  <c:v>6/10/2020</c:v>
                </c:pt>
                <c:pt idx="156">
                  <c:v>6/11/2020</c:v>
                </c:pt>
                <c:pt idx="157">
                  <c:v>6/12/2020</c:v>
                </c:pt>
                <c:pt idx="158">
                  <c:v>6/15/2020</c:v>
                </c:pt>
                <c:pt idx="159">
                  <c:v>6/16/2020</c:v>
                </c:pt>
                <c:pt idx="160">
                  <c:v>6/17/2020</c:v>
                </c:pt>
                <c:pt idx="161">
                  <c:v>6/18/2020</c:v>
                </c:pt>
                <c:pt idx="162">
                  <c:v>6/19/2020</c:v>
                </c:pt>
                <c:pt idx="163">
                  <c:v>6/22/2020</c:v>
                </c:pt>
                <c:pt idx="164">
                  <c:v>6/23/2020</c:v>
                </c:pt>
                <c:pt idx="165">
                  <c:v>6/24/2020</c:v>
                </c:pt>
                <c:pt idx="166">
                  <c:v>6/25/2020</c:v>
                </c:pt>
                <c:pt idx="167">
                  <c:v>6/26/2020</c:v>
                </c:pt>
                <c:pt idx="168">
                  <c:v>6/29/2020</c:v>
                </c:pt>
                <c:pt idx="169">
                  <c:v>6/30/2020</c:v>
                </c:pt>
                <c:pt idx="170">
                  <c:v>7/1/2020</c:v>
                </c:pt>
                <c:pt idx="171">
                  <c:v>7/2/2020</c:v>
                </c:pt>
                <c:pt idx="172">
                  <c:v>7/3/2020</c:v>
                </c:pt>
                <c:pt idx="173">
                  <c:v>7/6/2020</c:v>
                </c:pt>
                <c:pt idx="174">
                  <c:v>7/7/2020</c:v>
                </c:pt>
                <c:pt idx="175">
                  <c:v>7/8/2020</c:v>
                </c:pt>
                <c:pt idx="176">
                  <c:v>7/9/2020</c:v>
                </c:pt>
                <c:pt idx="177">
                  <c:v>7/10/2020</c:v>
                </c:pt>
                <c:pt idx="178">
                  <c:v>7/13/2020</c:v>
                </c:pt>
                <c:pt idx="179">
                  <c:v>7/14/2020</c:v>
                </c:pt>
                <c:pt idx="180">
                  <c:v>7/15/2020</c:v>
                </c:pt>
                <c:pt idx="181">
                  <c:v>7/16/2020</c:v>
                </c:pt>
                <c:pt idx="182">
                  <c:v>7/17/2020</c:v>
                </c:pt>
                <c:pt idx="183">
                  <c:v>7/20/2020</c:v>
                </c:pt>
                <c:pt idx="184">
                  <c:v>7/21/2020</c:v>
                </c:pt>
                <c:pt idx="185">
                  <c:v>7/22/2020</c:v>
                </c:pt>
                <c:pt idx="186">
                  <c:v>7/23/2020</c:v>
                </c:pt>
                <c:pt idx="187">
                  <c:v>7/24/2020</c:v>
                </c:pt>
                <c:pt idx="188">
                  <c:v>7/27/2020</c:v>
                </c:pt>
                <c:pt idx="189">
                  <c:v>7/28/2020</c:v>
                </c:pt>
                <c:pt idx="190">
                  <c:v>7/29/2020</c:v>
                </c:pt>
                <c:pt idx="191">
                  <c:v>7/30/2020</c:v>
                </c:pt>
                <c:pt idx="192">
                  <c:v>7/31/2020</c:v>
                </c:pt>
                <c:pt idx="193">
                  <c:v>8/3/2020</c:v>
                </c:pt>
                <c:pt idx="194">
                  <c:v>8/4/2020</c:v>
                </c:pt>
                <c:pt idx="195">
                  <c:v>8/5/2020</c:v>
                </c:pt>
                <c:pt idx="196">
                  <c:v>8/6/2020</c:v>
                </c:pt>
                <c:pt idx="197">
                  <c:v>8/7/2020</c:v>
                </c:pt>
                <c:pt idx="198">
                  <c:v>8/10/2020</c:v>
                </c:pt>
                <c:pt idx="199">
                  <c:v>8/11/2020</c:v>
                </c:pt>
                <c:pt idx="200">
                  <c:v>8/12/2020</c:v>
                </c:pt>
                <c:pt idx="201">
                  <c:v>8/13/2020</c:v>
                </c:pt>
                <c:pt idx="202">
                  <c:v>8/14/2020</c:v>
                </c:pt>
                <c:pt idx="203">
                  <c:v>8/17/2020</c:v>
                </c:pt>
                <c:pt idx="204">
                  <c:v>8/18/2020</c:v>
                </c:pt>
                <c:pt idx="205">
                  <c:v>8/19/2020</c:v>
                </c:pt>
                <c:pt idx="206">
                  <c:v>8/20/2020</c:v>
                </c:pt>
                <c:pt idx="207">
                  <c:v>8/21/2020</c:v>
                </c:pt>
                <c:pt idx="208">
                  <c:v>8/24/2020</c:v>
                </c:pt>
                <c:pt idx="209">
                  <c:v>8/25/2020</c:v>
                </c:pt>
                <c:pt idx="210">
                  <c:v>8/26/2020</c:v>
                </c:pt>
                <c:pt idx="211">
                  <c:v>8/27/2020</c:v>
                </c:pt>
                <c:pt idx="212">
                  <c:v>8/28/2020</c:v>
                </c:pt>
                <c:pt idx="213">
                  <c:v>8/31/2020</c:v>
                </c:pt>
                <c:pt idx="214">
                  <c:v>9/1/2020</c:v>
                </c:pt>
                <c:pt idx="215">
                  <c:v>9/2/2020</c:v>
                </c:pt>
                <c:pt idx="216">
                  <c:v>9/3/2020</c:v>
                </c:pt>
                <c:pt idx="217">
                  <c:v>9/4/2020</c:v>
                </c:pt>
                <c:pt idx="218">
                  <c:v>9/7/2020</c:v>
                </c:pt>
                <c:pt idx="219">
                  <c:v>9/8/2020</c:v>
                </c:pt>
                <c:pt idx="220">
                  <c:v>9/9/2020</c:v>
                </c:pt>
                <c:pt idx="221">
                  <c:v>9/10/2020</c:v>
                </c:pt>
                <c:pt idx="222">
                  <c:v>9/11/2020</c:v>
                </c:pt>
                <c:pt idx="223">
                  <c:v>9/14/2020</c:v>
                </c:pt>
                <c:pt idx="224">
                  <c:v>9/15/2020</c:v>
                </c:pt>
                <c:pt idx="225">
                  <c:v>9/16/2020</c:v>
                </c:pt>
                <c:pt idx="226">
                  <c:v>9/17/2020</c:v>
                </c:pt>
                <c:pt idx="227">
                  <c:v>9/18/2020</c:v>
                </c:pt>
                <c:pt idx="228">
                  <c:v>9/21/2020</c:v>
                </c:pt>
                <c:pt idx="229">
                  <c:v>9/22/2020</c:v>
                </c:pt>
                <c:pt idx="230">
                  <c:v>9/23/2020</c:v>
                </c:pt>
                <c:pt idx="231">
                  <c:v>9/24/2020</c:v>
                </c:pt>
                <c:pt idx="232">
                  <c:v>9/25/2020</c:v>
                </c:pt>
                <c:pt idx="233">
                  <c:v>9/28/2020</c:v>
                </c:pt>
                <c:pt idx="234">
                  <c:v>9/29/2020</c:v>
                </c:pt>
                <c:pt idx="235">
                  <c:v>9/30/2020</c:v>
                </c:pt>
                <c:pt idx="236">
                  <c:v>10/1/2020</c:v>
                </c:pt>
                <c:pt idx="237">
                  <c:v>10/2/2020</c:v>
                </c:pt>
                <c:pt idx="238">
                  <c:v>10/5/2020</c:v>
                </c:pt>
                <c:pt idx="239">
                  <c:v>10/6/2020</c:v>
                </c:pt>
                <c:pt idx="240">
                  <c:v>10/7/2020</c:v>
                </c:pt>
                <c:pt idx="241">
                  <c:v>10/8/2020</c:v>
                </c:pt>
                <c:pt idx="242">
                  <c:v>10/9/2020</c:v>
                </c:pt>
                <c:pt idx="243">
                  <c:v>10/12/2020</c:v>
                </c:pt>
                <c:pt idx="244">
                  <c:v>10/13/2020</c:v>
                </c:pt>
                <c:pt idx="245">
                  <c:v>10/14/2020</c:v>
                </c:pt>
                <c:pt idx="246">
                  <c:v>10/15/2020</c:v>
                </c:pt>
                <c:pt idx="247">
                  <c:v>10/16/2020</c:v>
                </c:pt>
                <c:pt idx="248">
                  <c:v>10/19/2020</c:v>
                </c:pt>
                <c:pt idx="249">
                  <c:v>10/20/2020</c:v>
                </c:pt>
                <c:pt idx="250">
                  <c:v>10/21/2020</c:v>
                </c:pt>
                <c:pt idx="251">
                  <c:v>10/22/2020</c:v>
                </c:pt>
                <c:pt idx="252">
                  <c:v>10/23/2020</c:v>
                </c:pt>
                <c:pt idx="253">
                  <c:v>10/26/2020</c:v>
                </c:pt>
                <c:pt idx="254">
                  <c:v>10/27/2020</c:v>
                </c:pt>
                <c:pt idx="255">
                  <c:v>10/28/2020</c:v>
                </c:pt>
                <c:pt idx="256">
                  <c:v>10/29/2020</c:v>
                </c:pt>
                <c:pt idx="257">
                  <c:v>10/30/2020</c:v>
                </c:pt>
                <c:pt idx="258">
                  <c:v>11/2/2020</c:v>
                </c:pt>
                <c:pt idx="259">
                  <c:v>11/3/2020</c:v>
                </c:pt>
                <c:pt idx="260">
                  <c:v>11/4/2020</c:v>
                </c:pt>
                <c:pt idx="261">
                  <c:v>11/5/2020</c:v>
                </c:pt>
                <c:pt idx="262">
                  <c:v>11/6/2020</c:v>
                </c:pt>
                <c:pt idx="263">
                  <c:v>11/9/2020</c:v>
                </c:pt>
                <c:pt idx="264">
                  <c:v>11/10/2020</c:v>
                </c:pt>
                <c:pt idx="265">
                  <c:v>11/11/2020</c:v>
                </c:pt>
                <c:pt idx="266">
                  <c:v>11/12/2020</c:v>
                </c:pt>
                <c:pt idx="267">
                  <c:v>11/13/2020</c:v>
                </c:pt>
                <c:pt idx="268">
                  <c:v>11/16/2020</c:v>
                </c:pt>
                <c:pt idx="269">
                  <c:v>11/17/2020</c:v>
                </c:pt>
                <c:pt idx="270">
                  <c:v>11/18/2020</c:v>
                </c:pt>
                <c:pt idx="271">
                  <c:v>11/19/2020</c:v>
                </c:pt>
                <c:pt idx="272">
                  <c:v>11/20/2020</c:v>
                </c:pt>
                <c:pt idx="273">
                  <c:v>11/23/2020</c:v>
                </c:pt>
                <c:pt idx="274">
                  <c:v>11/24/2020</c:v>
                </c:pt>
                <c:pt idx="275">
                  <c:v>11/25/2020</c:v>
                </c:pt>
                <c:pt idx="276">
                  <c:v>11/26/2020</c:v>
                </c:pt>
                <c:pt idx="277">
                  <c:v>11/27/2020</c:v>
                </c:pt>
                <c:pt idx="278">
                  <c:v>11/30/2020</c:v>
                </c:pt>
                <c:pt idx="279">
                  <c:v>12/1/2020</c:v>
                </c:pt>
                <c:pt idx="280">
                  <c:v>12/2/2020</c:v>
                </c:pt>
                <c:pt idx="281">
                  <c:v>12/3/2020</c:v>
                </c:pt>
                <c:pt idx="282">
                  <c:v>12/4/2020</c:v>
                </c:pt>
                <c:pt idx="283">
                  <c:v>12/7/2020</c:v>
                </c:pt>
                <c:pt idx="284">
                  <c:v>12/8/2020</c:v>
                </c:pt>
                <c:pt idx="285">
                  <c:v>12/9/2020</c:v>
                </c:pt>
                <c:pt idx="286">
                  <c:v>12/10/2020</c:v>
                </c:pt>
                <c:pt idx="287">
                  <c:v>12/11/2020</c:v>
                </c:pt>
                <c:pt idx="288">
                  <c:v>12/14/2020</c:v>
                </c:pt>
                <c:pt idx="289">
                  <c:v>12/15/2020</c:v>
                </c:pt>
                <c:pt idx="290">
                  <c:v>12/16/2020</c:v>
                </c:pt>
                <c:pt idx="291">
                  <c:v>12/17/2020</c:v>
                </c:pt>
                <c:pt idx="292">
                  <c:v>12/18/2020</c:v>
                </c:pt>
                <c:pt idx="293">
                  <c:v>12/21/2020</c:v>
                </c:pt>
                <c:pt idx="294">
                  <c:v>12/22/2020</c:v>
                </c:pt>
                <c:pt idx="295">
                  <c:v>12/23/2020</c:v>
                </c:pt>
                <c:pt idx="296">
                  <c:v>12/24/2020</c:v>
                </c:pt>
                <c:pt idx="297">
                  <c:v>12/28/2020</c:v>
                </c:pt>
                <c:pt idx="298">
                  <c:v>12/29/2020</c:v>
                </c:pt>
                <c:pt idx="299">
                  <c:v>12/30/2020</c:v>
                </c:pt>
                <c:pt idx="300">
                  <c:v>12/31/2020</c:v>
                </c:pt>
                <c:pt idx="301">
                  <c:v>1/4/2021</c:v>
                </c:pt>
                <c:pt idx="302">
                  <c:v>1/5/2021</c:v>
                </c:pt>
                <c:pt idx="303">
                  <c:v>1/6/2021</c:v>
                </c:pt>
                <c:pt idx="304">
                  <c:v>1/7/2021</c:v>
                </c:pt>
                <c:pt idx="305">
                  <c:v>1/8/2021</c:v>
                </c:pt>
                <c:pt idx="306">
                  <c:v>1/11/2021</c:v>
                </c:pt>
                <c:pt idx="307">
                  <c:v>1/12/2021</c:v>
                </c:pt>
                <c:pt idx="308">
                  <c:v>1/13/2021</c:v>
                </c:pt>
                <c:pt idx="309">
                  <c:v>1/14/2021</c:v>
                </c:pt>
                <c:pt idx="310">
                  <c:v>1/15/2021</c:v>
                </c:pt>
                <c:pt idx="311">
                  <c:v>1/18/2021</c:v>
                </c:pt>
                <c:pt idx="312">
                  <c:v>1/19/2021</c:v>
                </c:pt>
                <c:pt idx="313">
                  <c:v>1/20/2021</c:v>
                </c:pt>
                <c:pt idx="314">
                  <c:v>1/21/2021</c:v>
                </c:pt>
                <c:pt idx="315">
                  <c:v>1/22/2021</c:v>
                </c:pt>
                <c:pt idx="316">
                  <c:v>1/25/2021</c:v>
                </c:pt>
                <c:pt idx="317">
                  <c:v>1/26/2021</c:v>
                </c:pt>
                <c:pt idx="318">
                  <c:v>1/27/2021</c:v>
                </c:pt>
                <c:pt idx="319">
                  <c:v>1/28/2021</c:v>
                </c:pt>
                <c:pt idx="320">
                  <c:v>1/29/2021</c:v>
                </c:pt>
                <c:pt idx="321">
                  <c:v>2/1/2021</c:v>
                </c:pt>
                <c:pt idx="322">
                  <c:v>2/2/2021</c:v>
                </c:pt>
                <c:pt idx="323">
                  <c:v>2/3/2021</c:v>
                </c:pt>
                <c:pt idx="324">
                  <c:v>2/4/2021</c:v>
                </c:pt>
                <c:pt idx="325">
                  <c:v>2/5/2021</c:v>
                </c:pt>
                <c:pt idx="326">
                  <c:v>2/8/2021</c:v>
                </c:pt>
                <c:pt idx="327">
                  <c:v>2/9/2021</c:v>
                </c:pt>
                <c:pt idx="328">
                  <c:v>2/10/2021</c:v>
                </c:pt>
                <c:pt idx="329">
                  <c:v>2/11/2021</c:v>
                </c:pt>
                <c:pt idx="330">
                  <c:v>2/12/2021</c:v>
                </c:pt>
                <c:pt idx="331">
                  <c:v>2/15/2021</c:v>
                </c:pt>
                <c:pt idx="332">
                  <c:v>2/16/2021</c:v>
                </c:pt>
                <c:pt idx="333">
                  <c:v>2/17/2021</c:v>
                </c:pt>
                <c:pt idx="334">
                  <c:v>2/18/2021</c:v>
                </c:pt>
                <c:pt idx="335">
                  <c:v>2/19/2021</c:v>
                </c:pt>
                <c:pt idx="336">
                  <c:v>2/22/2021</c:v>
                </c:pt>
                <c:pt idx="337">
                  <c:v>2/23/2021</c:v>
                </c:pt>
                <c:pt idx="338">
                  <c:v>2/24/2021</c:v>
                </c:pt>
                <c:pt idx="339">
                  <c:v>2/25/2021</c:v>
                </c:pt>
                <c:pt idx="340">
                  <c:v>2/26/2021</c:v>
                </c:pt>
                <c:pt idx="341">
                  <c:v>3/1/2021</c:v>
                </c:pt>
                <c:pt idx="342">
                  <c:v>3/2/2021</c:v>
                </c:pt>
                <c:pt idx="343">
                  <c:v>3/3/2021</c:v>
                </c:pt>
                <c:pt idx="344">
                  <c:v>3/4/2021</c:v>
                </c:pt>
                <c:pt idx="345">
                  <c:v>3/5/2021</c:v>
                </c:pt>
                <c:pt idx="346">
                  <c:v>3/8/2021</c:v>
                </c:pt>
                <c:pt idx="347">
                  <c:v>3/9/2021</c:v>
                </c:pt>
                <c:pt idx="348">
                  <c:v>3/10/2021</c:v>
                </c:pt>
                <c:pt idx="349">
                  <c:v>3/11/2021</c:v>
                </c:pt>
                <c:pt idx="350">
                  <c:v>3/12/2021</c:v>
                </c:pt>
                <c:pt idx="351">
                  <c:v>3/15/2021</c:v>
                </c:pt>
                <c:pt idx="352">
                  <c:v>3/16/2021</c:v>
                </c:pt>
                <c:pt idx="353">
                  <c:v>3/17/2021</c:v>
                </c:pt>
                <c:pt idx="354">
                  <c:v>3/18/2021</c:v>
                </c:pt>
                <c:pt idx="355">
                  <c:v>3/19/2021</c:v>
                </c:pt>
                <c:pt idx="356">
                  <c:v>3/22/2021</c:v>
                </c:pt>
                <c:pt idx="357">
                  <c:v>3/23/2021</c:v>
                </c:pt>
                <c:pt idx="358">
                  <c:v>3/24/2021</c:v>
                </c:pt>
                <c:pt idx="359">
                  <c:v>3/25/2021</c:v>
                </c:pt>
                <c:pt idx="360">
                  <c:v>3/26/2021</c:v>
                </c:pt>
                <c:pt idx="361">
                  <c:v>3/29/2021</c:v>
                </c:pt>
                <c:pt idx="362">
                  <c:v>3/30/2021</c:v>
                </c:pt>
                <c:pt idx="363">
                  <c:v>3/31/2021</c:v>
                </c:pt>
                <c:pt idx="364">
                  <c:v>4/1/2021</c:v>
                </c:pt>
                <c:pt idx="365">
                  <c:v>4/5/2021</c:v>
                </c:pt>
                <c:pt idx="366">
                  <c:v>4/6/2021</c:v>
                </c:pt>
                <c:pt idx="367">
                  <c:v>4/7/2021</c:v>
                </c:pt>
                <c:pt idx="368">
                  <c:v>4/8/2021</c:v>
                </c:pt>
                <c:pt idx="369">
                  <c:v>4/9/2021</c:v>
                </c:pt>
                <c:pt idx="370">
                  <c:v>4/12/2021</c:v>
                </c:pt>
                <c:pt idx="371">
                  <c:v>4/13/2021</c:v>
                </c:pt>
                <c:pt idx="372">
                  <c:v>4/14/2021</c:v>
                </c:pt>
                <c:pt idx="373">
                  <c:v>4/15/2021</c:v>
                </c:pt>
                <c:pt idx="374">
                  <c:v>4/16/2021</c:v>
                </c:pt>
                <c:pt idx="375">
                  <c:v>4/19/2021</c:v>
                </c:pt>
                <c:pt idx="376">
                  <c:v>4/20/2021</c:v>
                </c:pt>
                <c:pt idx="377">
                  <c:v>4/21/2021</c:v>
                </c:pt>
                <c:pt idx="378">
                  <c:v>4/22/2021</c:v>
                </c:pt>
                <c:pt idx="379">
                  <c:v>4/23/2021</c:v>
                </c:pt>
                <c:pt idx="380">
                  <c:v>4/26/2021</c:v>
                </c:pt>
                <c:pt idx="381">
                  <c:v>4/27/2021</c:v>
                </c:pt>
                <c:pt idx="382">
                  <c:v>4/28/2021</c:v>
                </c:pt>
                <c:pt idx="383">
                  <c:v>4/29/2021</c:v>
                </c:pt>
                <c:pt idx="384">
                  <c:v>4/30/2021</c:v>
                </c:pt>
                <c:pt idx="385">
                  <c:v>5/3/2021</c:v>
                </c:pt>
                <c:pt idx="386">
                  <c:v>5/4/2021</c:v>
                </c:pt>
                <c:pt idx="387">
                  <c:v>5/5/2021</c:v>
                </c:pt>
                <c:pt idx="388">
                  <c:v>5/6/2021</c:v>
                </c:pt>
                <c:pt idx="389">
                  <c:v>5/7/2021</c:v>
                </c:pt>
                <c:pt idx="390">
                  <c:v>5/10/2021</c:v>
                </c:pt>
                <c:pt idx="391">
                  <c:v>5/11/2021</c:v>
                </c:pt>
                <c:pt idx="392">
                  <c:v>5/12/2021</c:v>
                </c:pt>
                <c:pt idx="393">
                  <c:v>5/13/2021</c:v>
                </c:pt>
                <c:pt idx="394">
                  <c:v>5/14/2021</c:v>
                </c:pt>
                <c:pt idx="395">
                  <c:v>5/17/2021</c:v>
                </c:pt>
                <c:pt idx="396">
                  <c:v>5/18/2021</c:v>
                </c:pt>
                <c:pt idx="397">
                  <c:v>5/19/2021</c:v>
                </c:pt>
                <c:pt idx="398">
                  <c:v>5/20/2021</c:v>
                </c:pt>
                <c:pt idx="399">
                  <c:v>5/21/2021</c:v>
                </c:pt>
                <c:pt idx="400">
                  <c:v>5/24/2021</c:v>
                </c:pt>
                <c:pt idx="401">
                  <c:v>5/25/2021</c:v>
                </c:pt>
                <c:pt idx="402">
                  <c:v>5/26/2021</c:v>
                </c:pt>
                <c:pt idx="403">
                  <c:v>5/27/2021</c:v>
                </c:pt>
                <c:pt idx="404">
                  <c:v>5/28/2021</c:v>
                </c:pt>
                <c:pt idx="405">
                  <c:v>5/31/2021</c:v>
                </c:pt>
                <c:pt idx="406">
                  <c:v>6/1/2021</c:v>
                </c:pt>
                <c:pt idx="407">
                  <c:v>6/2/2021</c:v>
                </c:pt>
                <c:pt idx="408">
                  <c:v>6/3/2021</c:v>
                </c:pt>
                <c:pt idx="409">
                  <c:v>6/4/2021</c:v>
                </c:pt>
                <c:pt idx="410">
                  <c:v>6/7/2021</c:v>
                </c:pt>
                <c:pt idx="411">
                  <c:v>6/8/2021</c:v>
                </c:pt>
                <c:pt idx="412">
                  <c:v>6/9/2021</c:v>
                </c:pt>
                <c:pt idx="413">
                  <c:v>6/10/2021</c:v>
                </c:pt>
                <c:pt idx="414">
                  <c:v>6/11/2021</c:v>
                </c:pt>
                <c:pt idx="415">
                  <c:v>6/14/2021</c:v>
                </c:pt>
                <c:pt idx="416">
                  <c:v>6/15/2021</c:v>
                </c:pt>
                <c:pt idx="417">
                  <c:v>6/16/2021</c:v>
                </c:pt>
                <c:pt idx="418">
                  <c:v>6/17/2021</c:v>
                </c:pt>
                <c:pt idx="419">
                  <c:v>6/18/2021</c:v>
                </c:pt>
                <c:pt idx="420">
                  <c:v>6/21/2021</c:v>
                </c:pt>
                <c:pt idx="421">
                  <c:v>6/22/2021</c:v>
                </c:pt>
                <c:pt idx="422">
                  <c:v>6/23/2021</c:v>
                </c:pt>
                <c:pt idx="423">
                  <c:v>6/24/2021</c:v>
                </c:pt>
                <c:pt idx="424">
                  <c:v>6/25/2021</c:v>
                </c:pt>
                <c:pt idx="425">
                  <c:v>6/28/2021</c:v>
                </c:pt>
                <c:pt idx="426">
                  <c:v>6/29/2021</c:v>
                </c:pt>
                <c:pt idx="427">
                  <c:v>6/30/2021</c:v>
                </c:pt>
                <c:pt idx="428">
                  <c:v>7/1/2021</c:v>
                </c:pt>
                <c:pt idx="429">
                  <c:v>7/2/2021</c:v>
                </c:pt>
                <c:pt idx="430">
                  <c:v>7/5/2021</c:v>
                </c:pt>
                <c:pt idx="431">
                  <c:v>7/6/2021</c:v>
                </c:pt>
                <c:pt idx="432">
                  <c:v>7/7/2021</c:v>
                </c:pt>
                <c:pt idx="433">
                  <c:v>7/8/2021</c:v>
                </c:pt>
                <c:pt idx="434">
                  <c:v>7/9/2021</c:v>
                </c:pt>
                <c:pt idx="435">
                  <c:v>7/12/2021</c:v>
                </c:pt>
                <c:pt idx="436">
                  <c:v>7/13/2021</c:v>
                </c:pt>
                <c:pt idx="437">
                  <c:v>7/14/2021</c:v>
                </c:pt>
                <c:pt idx="438">
                  <c:v>7/15/2021</c:v>
                </c:pt>
                <c:pt idx="439">
                  <c:v>7/16/2021</c:v>
                </c:pt>
                <c:pt idx="440">
                  <c:v>7/19/2021</c:v>
                </c:pt>
                <c:pt idx="441">
                  <c:v>7/20/2021</c:v>
                </c:pt>
                <c:pt idx="442">
                  <c:v>7/21/2021</c:v>
                </c:pt>
                <c:pt idx="443">
                  <c:v>7/22/2021</c:v>
                </c:pt>
                <c:pt idx="444">
                  <c:v>7/23/2021</c:v>
                </c:pt>
                <c:pt idx="445">
                  <c:v>7/26/2021</c:v>
                </c:pt>
                <c:pt idx="446">
                  <c:v>7/27/2021</c:v>
                </c:pt>
                <c:pt idx="447">
                  <c:v>7/28/2021</c:v>
                </c:pt>
                <c:pt idx="448">
                  <c:v>7/29/2021</c:v>
                </c:pt>
                <c:pt idx="449">
                  <c:v>7/30/2021</c:v>
                </c:pt>
                <c:pt idx="450">
                  <c:v>8/2/2021</c:v>
                </c:pt>
                <c:pt idx="451">
                  <c:v>8/3/2021</c:v>
                </c:pt>
                <c:pt idx="452">
                  <c:v>8/4/2021</c:v>
                </c:pt>
                <c:pt idx="453">
                  <c:v>8/5/2021</c:v>
                </c:pt>
                <c:pt idx="454">
                  <c:v>8/6/2021</c:v>
                </c:pt>
                <c:pt idx="455">
                  <c:v>8/9/2021</c:v>
                </c:pt>
                <c:pt idx="456">
                  <c:v>8/10/2021</c:v>
                </c:pt>
                <c:pt idx="457">
                  <c:v>8/11/2021</c:v>
                </c:pt>
                <c:pt idx="458">
                  <c:v>8/12/2021</c:v>
                </c:pt>
                <c:pt idx="459">
                  <c:v>8/13/2021</c:v>
                </c:pt>
                <c:pt idx="460">
                  <c:v>8/16/2021</c:v>
                </c:pt>
                <c:pt idx="461">
                  <c:v>8/17/2021</c:v>
                </c:pt>
                <c:pt idx="462">
                  <c:v>8/18/2021</c:v>
                </c:pt>
                <c:pt idx="463">
                  <c:v>8/19/2021</c:v>
                </c:pt>
                <c:pt idx="464">
                  <c:v>8/20/2021</c:v>
                </c:pt>
                <c:pt idx="465">
                  <c:v>8/23/2021</c:v>
                </c:pt>
                <c:pt idx="466">
                  <c:v>8/24/2021</c:v>
                </c:pt>
                <c:pt idx="467">
                  <c:v>8/25/2021</c:v>
                </c:pt>
                <c:pt idx="468">
                  <c:v>8/26/2021</c:v>
                </c:pt>
                <c:pt idx="469">
                  <c:v>8/27/2021</c:v>
                </c:pt>
                <c:pt idx="470">
                  <c:v>8/30/2021</c:v>
                </c:pt>
                <c:pt idx="471">
                  <c:v>8/31/2021</c:v>
                </c:pt>
                <c:pt idx="472">
                  <c:v>9/1/2021</c:v>
                </c:pt>
                <c:pt idx="473">
                  <c:v>9/2/2021</c:v>
                </c:pt>
                <c:pt idx="474">
                  <c:v>9/3/2021</c:v>
                </c:pt>
                <c:pt idx="475">
                  <c:v>9/6/2021</c:v>
                </c:pt>
                <c:pt idx="476">
                  <c:v>9/7/2021</c:v>
                </c:pt>
                <c:pt idx="477">
                  <c:v>9/8/2021</c:v>
                </c:pt>
                <c:pt idx="478">
                  <c:v>9/9/2021</c:v>
                </c:pt>
                <c:pt idx="479">
                  <c:v>9/10/2021</c:v>
                </c:pt>
                <c:pt idx="480">
                  <c:v>9/13/2021</c:v>
                </c:pt>
                <c:pt idx="481">
                  <c:v>9/14/2021</c:v>
                </c:pt>
                <c:pt idx="482">
                  <c:v>9/15/2021</c:v>
                </c:pt>
                <c:pt idx="483">
                  <c:v>9/16/2021</c:v>
                </c:pt>
                <c:pt idx="484">
                  <c:v>9/17/2021</c:v>
                </c:pt>
                <c:pt idx="485">
                  <c:v>9/20/2021</c:v>
                </c:pt>
                <c:pt idx="486">
                  <c:v>9/21/2021</c:v>
                </c:pt>
                <c:pt idx="487">
                  <c:v>9/22/2021</c:v>
                </c:pt>
                <c:pt idx="488">
                  <c:v>9/23/2021</c:v>
                </c:pt>
                <c:pt idx="489">
                  <c:v>9/24/2021</c:v>
                </c:pt>
                <c:pt idx="490">
                  <c:v>9/27/2021</c:v>
                </c:pt>
                <c:pt idx="491">
                  <c:v>9/28/2021</c:v>
                </c:pt>
                <c:pt idx="492">
                  <c:v>9/29/2021</c:v>
                </c:pt>
                <c:pt idx="493">
                  <c:v>9/30/2021</c:v>
                </c:pt>
                <c:pt idx="494">
                  <c:v>10/1/2021</c:v>
                </c:pt>
                <c:pt idx="495">
                  <c:v>10/4/2021</c:v>
                </c:pt>
                <c:pt idx="496">
                  <c:v>10/5/2021</c:v>
                </c:pt>
                <c:pt idx="497">
                  <c:v>10/6/2021</c:v>
                </c:pt>
                <c:pt idx="498">
                  <c:v>10/7/2021</c:v>
                </c:pt>
                <c:pt idx="499">
                  <c:v>10/8/2021</c:v>
                </c:pt>
                <c:pt idx="500">
                  <c:v>10/11/2021</c:v>
                </c:pt>
                <c:pt idx="501">
                  <c:v>10/12/2021</c:v>
                </c:pt>
                <c:pt idx="502">
                  <c:v>10/13/2021</c:v>
                </c:pt>
                <c:pt idx="503">
                  <c:v>10/14/2021</c:v>
                </c:pt>
                <c:pt idx="504">
                  <c:v>10/15/2021</c:v>
                </c:pt>
                <c:pt idx="505">
                  <c:v>10/18/2021</c:v>
                </c:pt>
                <c:pt idx="506">
                  <c:v>10/19/2021</c:v>
                </c:pt>
                <c:pt idx="507">
                  <c:v>10/20/2021</c:v>
                </c:pt>
                <c:pt idx="508">
                  <c:v>10/21/2021</c:v>
                </c:pt>
                <c:pt idx="509">
                  <c:v>10/22/2021</c:v>
                </c:pt>
                <c:pt idx="510">
                  <c:v>10/25/2021</c:v>
                </c:pt>
                <c:pt idx="511">
                  <c:v>10/26/2021</c:v>
                </c:pt>
                <c:pt idx="512">
                  <c:v>10/27/2021</c:v>
                </c:pt>
                <c:pt idx="513">
                  <c:v>10/28/2021</c:v>
                </c:pt>
                <c:pt idx="514">
                  <c:v>10/29/2021</c:v>
                </c:pt>
                <c:pt idx="515">
                  <c:v>11/1/2021</c:v>
                </c:pt>
                <c:pt idx="516">
                  <c:v>11/2/2021</c:v>
                </c:pt>
                <c:pt idx="517">
                  <c:v>11/3/2021</c:v>
                </c:pt>
                <c:pt idx="518">
                  <c:v>11/4/2021</c:v>
                </c:pt>
                <c:pt idx="519">
                  <c:v>11/5/2021</c:v>
                </c:pt>
                <c:pt idx="520">
                  <c:v>11/8/2021</c:v>
                </c:pt>
                <c:pt idx="521">
                  <c:v>11/9/2021</c:v>
                </c:pt>
                <c:pt idx="522">
                  <c:v>11/10/2021</c:v>
                </c:pt>
                <c:pt idx="523">
                  <c:v>11/11/2021</c:v>
                </c:pt>
                <c:pt idx="524">
                  <c:v>11/12/2021</c:v>
                </c:pt>
                <c:pt idx="525">
                  <c:v>11/15/2021</c:v>
                </c:pt>
                <c:pt idx="526">
                  <c:v>11/16/2021</c:v>
                </c:pt>
                <c:pt idx="527">
                  <c:v>11/17/2021</c:v>
                </c:pt>
                <c:pt idx="528">
                  <c:v>11/18/2021</c:v>
                </c:pt>
                <c:pt idx="529">
                  <c:v>11/19/2021</c:v>
                </c:pt>
                <c:pt idx="530">
                  <c:v>11/22/2021</c:v>
                </c:pt>
                <c:pt idx="531">
                  <c:v>11/23/2021</c:v>
                </c:pt>
                <c:pt idx="532">
                  <c:v>11/24/2021</c:v>
                </c:pt>
                <c:pt idx="533">
                  <c:v>11/25/2021</c:v>
                </c:pt>
                <c:pt idx="534">
                  <c:v>11/26/2021</c:v>
                </c:pt>
                <c:pt idx="535">
                  <c:v>11/29/2021</c:v>
                </c:pt>
                <c:pt idx="536">
                  <c:v>11/30/2021</c:v>
                </c:pt>
                <c:pt idx="537">
                  <c:v>12/1/2021</c:v>
                </c:pt>
                <c:pt idx="538">
                  <c:v>12/2/2021</c:v>
                </c:pt>
                <c:pt idx="539">
                  <c:v>12/3/2021</c:v>
                </c:pt>
                <c:pt idx="540">
                  <c:v>12/6/2021</c:v>
                </c:pt>
                <c:pt idx="541">
                  <c:v>12/7/2021</c:v>
                </c:pt>
                <c:pt idx="542">
                  <c:v>12/8/2021</c:v>
                </c:pt>
                <c:pt idx="543">
                  <c:v>12/9/2021</c:v>
                </c:pt>
                <c:pt idx="544">
                  <c:v>12/10/2021</c:v>
                </c:pt>
                <c:pt idx="545">
                  <c:v>12/13/2021</c:v>
                </c:pt>
                <c:pt idx="546">
                  <c:v>12/14/2021</c:v>
                </c:pt>
                <c:pt idx="547">
                  <c:v>12/15/2021</c:v>
                </c:pt>
                <c:pt idx="548">
                  <c:v>12/16/2021</c:v>
                </c:pt>
                <c:pt idx="549">
                  <c:v>12/17/2021</c:v>
                </c:pt>
                <c:pt idx="550">
                  <c:v>12/20/2021</c:v>
                </c:pt>
                <c:pt idx="551">
                  <c:v>12/21/2021</c:v>
                </c:pt>
                <c:pt idx="552">
                  <c:v>12/22/2021</c:v>
                </c:pt>
                <c:pt idx="553">
                  <c:v>12/23/2021</c:v>
                </c:pt>
                <c:pt idx="554">
                  <c:v>12/24/2021</c:v>
                </c:pt>
                <c:pt idx="555">
                  <c:v>12/27/2021</c:v>
                </c:pt>
                <c:pt idx="556">
                  <c:v>12/28/2021</c:v>
                </c:pt>
                <c:pt idx="557">
                  <c:v>12/29/2021</c:v>
                </c:pt>
                <c:pt idx="558">
                  <c:v>12/30/2021</c:v>
                </c:pt>
                <c:pt idx="559">
                  <c:v>12/31/2021</c:v>
                </c:pt>
                <c:pt idx="560">
                  <c:v>1/3/2022</c:v>
                </c:pt>
                <c:pt idx="561">
                  <c:v>1/4/2022</c:v>
                </c:pt>
                <c:pt idx="562">
                  <c:v>1/5/2022</c:v>
                </c:pt>
                <c:pt idx="563">
                  <c:v>1/6/2022</c:v>
                </c:pt>
                <c:pt idx="564">
                  <c:v>1/7/2022</c:v>
                </c:pt>
                <c:pt idx="565">
                  <c:v>1/10/2022</c:v>
                </c:pt>
                <c:pt idx="566">
                  <c:v>1/11/2022</c:v>
                </c:pt>
                <c:pt idx="567">
                  <c:v>1/12/2022</c:v>
                </c:pt>
                <c:pt idx="568">
                  <c:v>1/13/2022</c:v>
                </c:pt>
                <c:pt idx="569">
                  <c:v>1/14/2022</c:v>
                </c:pt>
                <c:pt idx="570">
                  <c:v>1/17/2022</c:v>
                </c:pt>
                <c:pt idx="571">
                  <c:v>1/18/2022</c:v>
                </c:pt>
                <c:pt idx="572">
                  <c:v>1/19/2022</c:v>
                </c:pt>
                <c:pt idx="573">
                  <c:v>1/20/2022</c:v>
                </c:pt>
                <c:pt idx="574">
                  <c:v>1/21/2022</c:v>
                </c:pt>
                <c:pt idx="575">
                  <c:v>1/24/2022</c:v>
                </c:pt>
                <c:pt idx="576">
                  <c:v>1/25/2022</c:v>
                </c:pt>
                <c:pt idx="577">
                  <c:v>1/26/2022</c:v>
                </c:pt>
                <c:pt idx="578">
                  <c:v>1/27/2022</c:v>
                </c:pt>
                <c:pt idx="579">
                  <c:v>1/28/2022</c:v>
                </c:pt>
                <c:pt idx="580">
                  <c:v>1/31/2022</c:v>
                </c:pt>
                <c:pt idx="581">
                  <c:v>2/1/2022</c:v>
                </c:pt>
                <c:pt idx="582">
                  <c:v>2/2/2022</c:v>
                </c:pt>
                <c:pt idx="583">
                  <c:v>2/3/2022</c:v>
                </c:pt>
                <c:pt idx="584">
                  <c:v>2/4/2022</c:v>
                </c:pt>
                <c:pt idx="585">
                  <c:v>2/7/2022</c:v>
                </c:pt>
                <c:pt idx="586">
                  <c:v>2/8/2022</c:v>
                </c:pt>
                <c:pt idx="587">
                  <c:v>2/9/2022</c:v>
                </c:pt>
                <c:pt idx="588">
                  <c:v>2/10/2022</c:v>
                </c:pt>
                <c:pt idx="589">
                  <c:v>2/11/2022</c:v>
                </c:pt>
                <c:pt idx="590">
                  <c:v>2/14/2022</c:v>
                </c:pt>
                <c:pt idx="591">
                  <c:v>2/15/2022</c:v>
                </c:pt>
                <c:pt idx="592">
                  <c:v>2/16/2022</c:v>
                </c:pt>
                <c:pt idx="593">
                  <c:v>2/17/2022</c:v>
                </c:pt>
                <c:pt idx="594">
                  <c:v>2/18/2022</c:v>
                </c:pt>
                <c:pt idx="595">
                  <c:v>2/21/2022</c:v>
                </c:pt>
                <c:pt idx="596">
                  <c:v>2/22/2022</c:v>
                </c:pt>
                <c:pt idx="597">
                  <c:v>2/23/2022</c:v>
                </c:pt>
                <c:pt idx="598">
                  <c:v>2/24/2022</c:v>
                </c:pt>
                <c:pt idx="599">
                  <c:v>2/25/2022</c:v>
                </c:pt>
                <c:pt idx="600">
                  <c:v>2/28/2022</c:v>
                </c:pt>
                <c:pt idx="601">
                  <c:v>3/1/2022</c:v>
                </c:pt>
                <c:pt idx="602">
                  <c:v>3/2/2022</c:v>
                </c:pt>
                <c:pt idx="603">
                  <c:v>3/3/2022</c:v>
                </c:pt>
                <c:pt idx="604">
                  <c:v>3/4/2022</c:v>
                </c:pt>
                <c:pt idx="605">
                  <c:v>3/7/2022</c:v>
                </c:pt>
                <c:pt idx="606">
                  <c:v>3/8/2022</c:v>
                </c:pt>
                <c:pt idx="607">
                  <c:v>3/9/2022</c:v>
                </c:pt>
                <c:pt idx="608">
                  <c:v>3/10/2022</c:v>
                </c:pt>
                <c:pt idx="609">
                  <c:v>3/11/2022</c:v>
                </c:pt>
                <c:pt idx="610">
                  <c:v>3/14/2022</c:v>
                </c:pt>
                <c:pt idx="611">
                  <c:v>3/15/2022</c:v>
                </c:pt>
                <c:pt idx="612">
                  <c:v>3/16/2022</c:v>
                </c:pt>
                <c:pt idx="613">
                  <c:v>3/17/2022</c:v>
                </c:pt>
                <c:pt idx="614">
                  <c:v>3/18/2022</c:v>
                </c:pt>
                <c:pt idx="615">
                  <c:v>3/21/2022</c:v>
                </c:pt>
                <c:pt idx="616">
                  <c:v>3/22/2022</c:v>
                </c:pt>
                <c:pt idx="617">
                  <c:v>3/23/2022</c:v>
                </c:pt>
                <c:pt idx="618">
                  <c:v>3/24/2022</c:v>
                </c:pt>
                <c:pt idx="619">
                  <c:v>3/25/2022</c:v>
                </c:pt>
                <c:pt idx="620">
                  <c:v>3/28/2022</c:v>
                </c:pt>
                <c:pt idx="621">
                  <c:v>3/29/2022</c:v>
                </c:pt>
                <c:pt idx="622">
                  <c:v>3/30/2022</c:v>
                </c:pt>
                <c:pt idx="623">
                  <c:v>3/31/2022</c:v>
                </c:pt>
                <c:pt idx="624">
                  <c:v>4/1/2022</c:v>
                </c:pt>
                <c:pt idx="625">
                  <c:v>4/4/2022</c:v>
                </c:pt>
                <c:pt idx="626">
                  <c:v>4/5/2022</c:v>
                </c:pt>
                <c:pt idx="627">
                  <c:v>4/6/2022</c:v>
                </c:pt>
                <c:pt idx="628">
                  <c:v>4/7/2022</c:v>
                </c:pt>
                <c:pt idx="629">
                  <c:v>4/8/2022</c:v>
                </c:pt>
                <c:pt idx="630">
                  <c:v>4/11/2022</c:v>
                </c:pt>
                <c:pt idx="631">
                  <c:v>4/12/2022</c:v>
                </c:pt>
                <c:pt idx="632">
                  <c:v>4/13/2022</c:v>
                </c:pt>
                <c:pt idx="633">
                  <c:v>4/14/2022</c:v>
                </c:pt>
                <c:pt idx="634">
                  <c:v>4/18/2022</c:v>
                </c:pt>
                <c:pt idx="635">
                  <c:v>4/19/2022</c:v>
                </c:pt>
                <c:pt idx="636">
                  <c:v>4/20/2022</c:v>
                </c:pt>
                <c:pt idx="637">
                  <c:v>4/21/2022</c:v>
                </c:pt>
                <c:pt idx="638">
                  <c:v>4/22/2022</c:v>
                </c:pt>
                <c:pt idx="639">
                  <c:v>4/25/2022</c:v>
                </c:pt>
                <c:pt idx="640">
                  <c:v>4/26/2022</c:v>
                </c:pt>
                <c:pt idx="641">
                  <c:v>4/27/2022</c:v>
                </c:pt>
                <c:pt idx="642">
                  <c:v>4/28/2022</c:v>
                </c:pt>
                <c:pt idx="643">
                  <c:v>4/29/2022</c:v>
                </c:pt>
                <c:pt idx="644">
                  <c:v>5/2/2022</c:v>
                </c:pt>
                <c:pt idx="645">
                  <c:v>5/3/2022</c:v>
                </c:pt>
                <c:pt idx="646">
                  <c:v>5/4/2022</c:v>
                </c:pt>
                <c:pt idx="647">
                  <c:v>5/5/2022</c:v>
                </c:pt>
                <c:pt idx="648">
                  <c:v>5/6/2022</c:v>
                </c:pt>
                <c:pt idx="649">
                  <c:v>5/9/2022</c:v>
                </c:pt>
                <c:pt idx="650">
                  <c:v>5/10/2022</c:v>
                </c:pt>
                <c:pt idx="651">
                  <c:v>5/11/2022</c:v>
                </c:pt>
                <c:pt idx="652">
                  <c:v>5/12/2022</c:v>
                </c:pt>
                <c:pt idx="653">
                  <c:v>5/13/2022</c:v>
                </c:pt>
                <c:pt idx="654">
                  <c:v>5/16/2022</c:v>
                </c:pt>
                <c:pt idx="655">
                  <c:v>5/17/2022</c:v>
                </c:pt>
                <c:pt idx="656">
                  <c:v>5/18/2022</c:v>
                </c:pt>
                <c:pt idx="657">
                  <c:v>5/19/2022</c:v>
                </c:pt>
                <c:pt idx="658">
                  <c:v>5/20/2022</c:v>
                </c:pt>
                <c:pt idx="659">
                  <c:v>5/23/2022</c:v>
                </c:pt>
                <c:pt idx="660">
                  <c:v>5/24/2022</c:v>
                </c:pt>
                <c:pt idx="661">
                  <c:v>5/25/2022</c:v>
                </c:pt>
                <c:pt idx="662">
                  <c:v>5/26/2022</c:v>
                </c:pt>
                <c:pt idx="663">
                  <c:v>5/27/2022</c:v>
                </c:pt>
                <c:pt idx="664">
                  <c:v>5/30/2022</c:v>
                </c:pt>
                <c:pt idx="665">
                  <c:v>5/31/2022</c:v>
                </c:pt>
                <c:pt idx="666">
                  <c:v>6/1/2022</c:v>
                </c:pt>
                <c:pt idx="667">
                  <c:v>6/2/2022</c:v>
                </c:pt>
                <c:pt idx="668">
                  <c:v>6/3/2022</c:v>
                </c:pt>
                <c:pt idx="669">
                  <c:v>6/6/2022</c:v>
                </c:pt>
                <c:pt idx="670">
                  <c:v>6/7/2022</c:v>
                </c:pt>
                <c:pt idx="671">
                  <c:v>6/8/2022</c:v>
                </c:pt>
                <c:pt idx="672">
                  <c:v>6/9/2022</c:v>
                </c:pt>
                <c:pt idx="673">
                  <c:v>6/10/2022</c:v>
                </c:pt>
                <c:pt idx="674">
                  <c:v>6/13/2022</c:v>
                </c:pt>
                <c:pt idx="675">
                  <c:v>6/14/2022</c:v>
                </c:pt>
                <c:pt idx="676">
                  <c:v>6/15/2022</c:v>
                </c:pt>
                <c:pt idx="677">
                  <c:v>6/16/2022</c:v>
                </c:pt>
                <c:pt idx="678">
                  <c:v>6/17/2022</c:v>
                </c:pt>
                <c:pt idx="679">
                  <c:v>6/21/2022</c:v>
                </c:pt>
                <c:pt idx="680">
                  <c:v>6/22/2022</c:v>
                </c:pt>
                <c:pt idx="681">
                  <c:v>6/23/2022</c:v>
                </c:pt>
                <c:pt idx="682">
                  <c:v>6/24/2022</c:v>
                </c:pt>
                <c:pt idx="683">
                  <c:v>6/27/2022</c:v>
                </c:pt>
              </c:strCache>
            </c:strRef>
          </c:cat>
          <c:val>
            <c:numRef>
              <c:f>'GasPrice at Pump'!$L$2:$L$685</c:f>
              <c:numCache>
                <c:formatCode>"$"#,##0.00</c:formatCode>
                <c:ptCount val="684"/>
                <c:pt idx="168">
                  <c:v>2.1</c:v>
                </c:pt>
                <c:pt idx="210">
                  <c:v>1.9947599999999999</c:v>
                </c:pt>
                <c:pt idx="235">
                  <c:v>2.1491600000000002</c:v>
                </c:pt>
                <c:pt idx="261">
                  <c:v>1.89025</c:v>
                </c:pt>
                <c:pt idx="286">
                  <c:v>2.0043099999999998</c:v>
                </c:pt>
                <c:pt idx="311">
                  <c:v>2.0738999999999996</c:v>
                </c:pt>
                <c:pt idx="336">
                  <c:v>1.9519999999999997</c:v>
                </c:pt>
                <c:pt idx="361">
                  <c:v>1.93</c:v>
                </c:pt>
                <c:pt idx="386">
                  <c:v>1.7336999999999998</c:v>
                </c:pt>
                <c:pt idx="410">
                  <c:v>2.83</c:v>
                </c:pt>
                <c:pt idx="412">
                  <c:v>2.9</c:v>
                </c:pt>
                <c:pt idx="429">
                  <c:v>2.89</c:v>
                </c:pt>
                <c:pt idx="437">
                  <c:v>3.3</c:v>
                </c:pt>
                <c:pt idx="462">
                  <c:v>3.3</c:v>
                </c:pt>
                <c:pt idx="487">
                  <c:v>3.0646499999999999</c:v>
                </c:pt>
                <c:pt idx="497">
                  <c:v>3.2890000000000001</c:v>
                </c:pt>
                <c:pt idx="512">
                  <c:v>3.05</c:v>
                </c:pt>
                <c:pt idx="537">
                  <c:v>3.1</c:v>
                </c:pt>
                <c:pt idx="563">
                  <c:v>3.4450000000000003</c:v>
                </c:pt>
                <c:pt idx="583">
                  <c:v>3.1989999999999998</c:v>
                </c:pt>
                <c:pt idx="595">
                  <c:v>3.4990000000000001</c:v>
                </c:pt>
                <c:pt idx="596">
                  <c:v>3.96</c:v>
                </c:pt>
                <c:pt idx="600">
                  <c:v>3.92</c:v>
                </c:pt>
                <c:pt idx="603">
                  <c:v>3.9</c:v>
                </c:pt>
                <c:pt idx="606">
                  <c:v>3.85</c:v>
                </c:pt>
                <c:pt idx="609">
                  <c:v>3.82</c:v>
                </c:pt>
                <c:pt idx="611">
                  <c:v>4.1900000000000004</c:v>
                </c:pt>
                <c:pt idx="612">
                  <c:v>3.8</c:v>
                </c:pt>
                <c:pt idx="616">
                  <c:v>3.82</c:v>
                </c:pt>
                <c:pt idx="619">
                  <c:v>3.83</c:v>
                </c:pt>
                <c:pt idx="622">
                  <c:v>3.82</c:v>
                </c:pt>
                <c:pt idx="625">
                  <c:v>3.78</c:v>
                </c:pt>
                <c:pt idx="628">
                  <c:v>3.92</c:v>
                </c:pt>
                <c:pt idx="631">
                  <c:v>3.96</c:v>
                </c:pt>
                <c:pt idx="635">
                  <c:v>4.05</c:v>
                </c:pt>
                <c:pt idx="638">
                  <c:v>4.17</c:v>
                </c:pt>
                <c:pt idx="641">
                  <c:v>4.2300000000000004</c:v>
                </c:pt>
                <c:pt idx="643">
                  <c:v>3.99</c:v>
                </c:pt>
                <c:pt idx="644">
                  <c:v>4.24</c:v>
                </c:pt>
                <c:pt idx="646">
                  <c:v>4.25</c:v>
                </c:pt>
                <c:pt idx="650">
                  <c:v>4.37</c:v>
                </c:pt>
                <c:pt idx="654">
                  <c:v>4.37</c:v>
                </c:pt>
                <c:pt idx="657">
                  <c:v>4.3499999999999996</c:v>
                </c:pt>
                <c:pt idx="659">
                  <c:v>4.3600000000000003</c:v>
                </c:pt>
                <c:pt idx="660">
                  <c:v>4.3899999999999997</c:v>
                </c:pt>
                <c:pt idx="661">
                  <c:v>4.4400000000000004</c:v>
                </c:pt>
                <c:pt idx="662">
                  <c:v>4.51</c:v>
                </c:pt>
                <c:pt idx="663">
                  <c:v>4.5199999999999996</c:v>
                </c:pt>
                <c:pt idx="664">
                  <c:v>4.5199999999999996</c:v>
                </c:pt>
                <c:pt idx="665">
                  <c:v>4.57</c:v>
                </c:pt>
                <c:pt idx="666">
                  <c:v>4.6500000000000004</c:v>
                </c:pt>
                <c:pt idx="667">
                  <c:v>4.68</c:v>
                </c:pt>
                <c:pt idx="668">
                  <c:v>4.68</c:v>
                </c:pt>
                <c:pt idx="669">
                  <c:v>4.6900000000000004</c:v>
                </c:pt>
                <c:pt idx="670">
                  <c:v>4.68</c:v>
                </c:pt>
                <c:pt idx="671">
                  <c:v>4.67</c:v>
                </c:pt>
                <c:pt idx="672">
                  <c:v>4.6500000000000004</c:v>
                </c:pt>
                <c:pt idx="673">
                  <c:v>4.67</c:v>
                </c:pt>
                <c:pt idx="674">
                  <c:v>4.67</c:v>
                </c:pt>
                <c:pt idx="675">
                  <c:v>4.66</c:v>
                </c:pt>
                <c:pt idx="676">
                  <c:v>4.6399999999999997</c:v>
                </c:pt>
                <c:pt idx="677">
                  <c:v>4.63</c:v>
                </c:pt>
                <c:pt idx="678">
                  <c:v>4.63</c:v>
                </c:pt>
                <c:pt idx="679">
                  <c:v>4.59</c:v>
                </c:pt>
                <c:pt idx="680">
                  <c:v>4.5599999999999996</c:v>
                </c:pt>
                <c:pt idx="681">
                  <c:v>4.54</c:v>
                </c:pt>
                <c:pt idx="682">
                  <c:v>4.54</c:v>
                </c:pt>
                <c:pt idx="683">
                  <c:v>4.5199999999999996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D44-4982-9E82-B98C83CC8F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07322928"/>
        <c:axId val="807318008"/>
      </c:lineChart>
      <c:catAx>
        <c:axId val="8073229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07318008"/>
        <c:crosses val="autoZero"/>
        <c:auto val="1"/>
        <c:lblAlgn val="ctr"/>
        <c:lblOffset val="100"/>
        <c:noMultiLvlLbl val="0"/>
      </c:catAx>
      <c:valAx>
        <c:axId val="8073180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bg2">
                  <a:lumMod val="75000"/>
                </a:schemeClr>
              </a:solidFill>
              <a:round/>
            </a:ln>
            <a:effectLst/>
          </c:spPr>
        </c:majorGridlines>
        <c:numFmt formatCode="&quot;$&quot;#,##0.00" sourceLinked="1"/>
        <c:majorTickMark val="none"/>
        <c:minorTickMark val="none"/>
        <c:tickLblPos val="nextTo"/>
        <c:spPr>
          <a:noFill/>
          <a:ln w="12700"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073229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[Foley_FinalProject_Completed.xlsm]Crude to Gas Correlation !CrudeOil2GasComparison</c:name>
    <c:fmtId val="6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ln w="28575" cap="rnd">
            <a:solidFill>
              <a:srgbClr val="FFC000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3094457550782806"/>
          <c:y val="7.2632944228274973E-2"/>
          <c:w val="0.61367003182853186"/>
          <c:h val="0.74378271619313896"/>
        </c:manualLayout>
      </c:layout>
      <c:lineChart>
        <c:grouping val="stacked"/>
        <c:varyColors val="0"/>
        <c:ser>
          <c:idx val="0"/>
          <c:order val="0"/>
          <c:tx>
            <c:strRef>
              <c:f>'Crude to Gas Correlation '!$B$3</c:f>
              <c:strCache>
                <c:ptCount val="1"/>
                <c:pt idx="0">
                  <c:v>Crude oil 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'Crude to Gas Correlation '!$A$4:$A$688</c:f>
              <c:strCache>
                <c:ptCount val="684"/>
                <c:pt idx="0">
                  <c:v>10/31/2019</c:v>
                </c:pt>
                <c:pt idx="1">
                  <c:v>11/1/2019</c:v>
                </c:pt>
                <c:pt idx="2">
                  <c:v>11/4/2019</c:v>
                </c:pt>
                <c:pt idx="3">
                  <c:v>11/5/2019</c:v>
                </c:pt>
                <c:pt idx="4">
                  <c:v>11/6/2019</c:v>
                </c:pt>
                <c:pt idx="5">
                  <c:v>11/7/2019</c:v>
                </c:pt>
                <c:pt idx="6">
                  <c:v>11/8/2019</c:v>
                </c:pt>
                <c:pt idx="7">
                  <c:v>11/11/2019</c:v>
                </c:pt>
                <c:pt idx="8">
                  <c:v>11/12/2019</c:v>
                </c:pt>
                <c:pt idx="9">
                  <c:v>11/13/2019</c:v>
                </c:pt>
                <c:pt idx="10">
                  <c:v>11/14/2019</c:v>
                </c:pt>
                <c:pt idx="11">
                  <c:v>11/15/2019</c:v>
                </c:pt>
                <c:pt idx="12">
                  <c:v>11/18/2019</c:v>
                </c:pt>
                <c:pt idx="13">
                  <c:v>11/19/2019</c:v>
                </c:pt>
                <c:pt idx="14">
                  <c:v>11/20/2019</c:v>
                </c:pt>
                <c:pt idx="15">
                  <c:v>11/21/2019</c:v>
                </c:pt>
                <c:pt idx="16">
                  <c:v>11/22/2019</c:v>
                </c:pt>
                <c:pt idx="17">
                  <c:v>11/25/2019</c:v>
                </c:pt>
                <c:pt idx="18">
                  <c:v>11/26/2019</c:v>
                </c:pt>
                <c:pt idx="19">
                  <c:v>11/27/2019</c:v>
                </c:pt>
                <c:pt idx="20">
                  <c:v>11/28/2019</c:v>
                </c:pt>
                <c:pt idx="21">
                  <c:v>11/29/2019</c:v>
                </c:pt>
                <c:pt idx="22">
                  <c:v>12/2/2019</c:v>
                </c:pt>
                <c:pt idx="23">
                  <c:v>12/3/2019</c:v>
                </c:pt>
                <c:pt idx="24">
                  <c:v>12/4/2019</c:v>
                </c:pt>
                <c:pt idx="25">
                  <c:v>12/5/2019</c:v>
                </c:pt>
                <c:pt idx="26">
                  <c:v>12/6/2019</c:v>
                </c:pt>
                <c:pt idx="27">
                  <c:v>12/9/2019</c:v>
                </c:pt>
                <c:pt idx="28">
                  <c:v>12/10/2019</c:v>
                </c:pt>
                <c:pt idx="29">
                  <c:v>12/11/2019</c:v>
                </c:pt>
                <c:pt idx="30">
                  <c:v>12/12/2019</c:v>
                </c:pt>
                <c:pt idx="31">
                  <c:v>12/13/2019</c:v>
                </c:pt>
                <c:pt idx="32">
                  <c:v>12/16/2019</c:v>
                </c:pt>
                <c:pt idx="33">
                  <c:v>12/17/2019</c:v>
                </c:pt>
                <c:pt idx="34">
                  <c:v>12/18/2019</c:v>
                </c:pt>
                <c:pt idx="35">
                  <c:v>12/19/2019</c:v>
                </c:pt>
                <c:pt idx="36">
                  <c:v>12/20/2019</c:v>
                </c:pt>
                <c:pt idx="37">
                  <c:v>12/23/2019</c:v>
                </c:pt>
                <c:pt idx="38">
                  <c:v>12/24/2019</c:v>
                </c:pt>
                <c:pt idx="39">
                  <c:v>12/26/2019</c:v>
                </c:pt>
                <c:pt idx="40">
                  <c:v>12/27/2019</c:v>
                </c:pt>
                <c:pt idx="41">
                  <c:v>12/30/2019</c:v>
                </c:pt>
                <c:pt idx="42">
                  <c:v>12/31/2019</c:v>
                </c:pt>
                <c:pt idx="43">
                  <c:v>1/2/2020</c:v>
                </c:pt>
                <c:pt idx="44">
                  <c:v>1/3/2020</c:v>
                </c:pt>
                <c:pt idx="45">
                  <c:v>1/6/2020</c:v>
                </c:pt>
                <c:pt idx="46">
                  <c:v>1/7/2020</c:v>
                </c:pt>
                <c:pt idx="47">
                  <c:v>1/8/2020</c:v>
                </c:pt>
                <c:pt idx="48">
                  <c:v>1/9/2020</c:v>
                </c:pt>
                <c:pt idx="49">
                  <c:v>1/10/2020</c:v>
                </c:pt>
                <c:pt idx="50">
                  <c:v>1/13/2020</c:v>
                </c:pt>
                <c:pt idx="51">
                  <c:v>1/14/2020</c:v>
                </c:pt>
                <c:pt idx="52">
                  <c:v>1/15/2020</c:v>
                </c:pt>
                <c:pt idx="53">
                  <c:v>1/16/2020</c:v>
                </c:pt>
                <c:pt idx="54">
                  <c:v>1/17/2020</c:v>
                </c:pt>
                <c:pt idx="55">
                  <c:v>1/20/2020</c:v>
                </c:pt>
                <c:pt idx="56">
                  <c:v>1/21/2020</c:v>
                </c:pt>
                <c:pt idx="57">
                  <c:v>1/22/2020</c:v>
                </c:pt>
                <c:pt idx="58">
                  <c:v>1/23/2020</c:v>
                </c:pt>
                <c:pt idx="59">
                  <c:v>1/24/2020</c:v>
                </c:pt>
                <c:pt idx="60">
                  <c:v>1/27/2020</c:v>
                </c:pt>
                <c:pt idx="61">
                  <c:v>1/28/2020</c:v>
                </c:pt>
                <c:pt idx="62">
                  <c:v>1/29/2020</c:v>
                </c:pt>
                <c:pt idx="63">
                  <c:v>1/30/2020</c:v>
                </c:pt>
                <c:pt idx="64">
                  <c:v>1/31/2020</c:v>
                </c:pt>
                <c:pt idx="65">
                  <c:v>2/3/2020</c:v>
                </c:pt>
                <c:pt idx="66">
                  <c:v>2/4/2020</c:v>
                </c:pt>
                <c:pt idx="67">
                  <c:v>2/5/2020</c:v>
                </c:pt>
                <c:pt idx="68">
                  <c:v>2/6/2020</c:v>
                </c:pt>
                <c:pt idx="69">
                  <c:v>2/7/2020</c:v>
                </c:pt>
                <c:pt idx="70">
                  <c:v>2/10/2020</c:v>
                </c:pt>
                <c:pt idx="71">
                  <c:v>2/11/2020</c:v>
                </c:pt>
                <c:pt idx="72">
                  <c:v>2/12/2020</c:v>
                </c:pt>
                <c:pt idx="73">
                  <c:v>2/13/2020</c:v>
                </c:pt>
                <c:pt idx="74">
                  <c:v>2/14/2020</c:v>
                </c:pt>
                <c:pt idx="75">
                  <c:v>2/17/2020</c:v>
                </c:pt>
                <c:pt idx="76">
                  <c:v>2/18/2020</c:v>
                </c:pt>
                <c:pt idx="77">
                  <c:v>2/19/2020</c:v>
                </c:pt>
                <c:pt idx="78">
                  <c:v>2/20/2020</c:v>
                </c:pt>
                <c:pt idx="79">
                  <c:v>2/21/2020</c:v>
                </c:pt>
                <c:pt idx="80">
                  <c:v>2/24/2020</c:v>
                </c:pt>
                <c:pt idx="81">
                  <c:v>2/25/2020</c:v>
                </c:pt>
                <c:pt idx="82">
                  <c:v>2/26/2020</c:v>
                </c:pt>
                <c:pt idx="83">
                  <c:v>2/27/2020</c:v>
                </c:pt>
                <c:pt idx="84">
                  <c:v>2/28/2020</c:v>
                </c:pt>
                <c:pt idx="85">
                  <c:v>3/2/2020</c:v>
                </c:pt>
                <c:pt idx="86">
                  <c:v>3/3/2020</c:v>
                </c:pt>
                <c:pt idx="87">
                  <c:v>3/4/2020</c:v>
                </c:pt>
                <c:pt idx="88">
                  <c:v>3/5/2020</c:v>
                </c:pt>
                <c:pt idx="89">
                  <c:v>3/6/2020</c:v>
                </c:pt>
                <c:pt idx="90">
                  <c:v>3/9/2020</c:v>
                </c:pt>
                <c:pt idx="91">
                  <c:v>3/10/2020</c:v>
                </c:pt>
                <c:pt idx="92">
                  <c:v>3/11/2020</c:v>
                </c:pt>
                <c:pt idx="93">
                  <c:v>3/12/2020</c:v>
                </c:pt>
                <c:pt idx="94">
                  <c:v>3/13/2020</c:v>
                </c:pt>
                <c:pt idx="95">
                  <c:v>3/16/2020</c:v>
                </c:pt>
                <c:pt idx="96">
                  <c:v>3/17/2020</c:v>
                </c:pt>
                <c:pt idx="97">
                  <c:v>3/18/2020</c:v>
                </c:pt>
                <c:pt idx="98">
                  <c:v>3/19/2020</c:v>
                </c:pt>
                <c:pt idx="99">
                  <c:v>3/20/2020</c:v>
                </c:pt>
                <c:pt idx="100">
                  <c:v>3/23/2020</c:v>
                </c:pt>
                <c:pt idx="101">
                  <c:v>3/24/2020</c:v>
                </c:pt>
                <c:pt idx="102">
                  <c:v>3/25/2020</c:v>
                </c:pt>
                <c:pt idx="103">
                  <c:v>3/26/2020</c:v>
                </c:pt>
                <c:pt idx="104">
                  <c:v>3/27/2020</c:v>
                </c:pt>
                <c:pt idx="105">
                  <c:v>3/30/2020</c:v>
                </c:pt>
                <c:pt idx="106">
                  <c:v>3/31/2020</c:v>
                </c:pt>
                <c:pt idx="107">
                  <c:v>4/1/2020</c:v>
                </c:pt>
                <c:pt idx="108">
                  <c:v>4/2/2020</c:v>
                </c:pt>
                <c:pt idx="109">
                  <c:v>4/3/2020</c:v>
                </c:pt>
                <c:pt idx="110">
                  <c:v>4/6/2020</c:v>
                </c:pt>
                <c:pt idx="111">
                  <c:v>4/7/2020</c:v>
                </c:pt>
                <c:pt idx="112">
                  <c:v>4/8/2020</c:v>
                </c:pt>
                <c:pt idx="113">
                  <c:v>4/9/2020</c:v>
                </c:pt>
                <c:pt idx="114">
                  <c:v>4/13/2020</c:v>
                </c:pt>
                <c:pt idx="115">
                  <c:v>4/14/2020</c:v>
                </c:pt>
                <c:pt idx="116">
                  <c:v>4/15/2020</c:v>
                </c:pt>
                <c:pt idx="117">
                  <c:v>4/16/2020</c:v>
                </c:pt>
                <c:pt idx="118">
                  <c:v>4/17/2020</c:v>
                </c:pt>
                <c:pt idx="119">
                  <c:v>4/20/2020</c:v>
                </c:pt>
                <c:pt idx="120">
                  <c:v>4/21/2020</c:v>
                </c:pt>
                <c:pt idx="121">
                  <c:v>4/22/2020</c:v>
                </c:pt>
                <c:pt idx="122">
                  <c:v>4/23/2020</c:v>
                </c:pt>
                <c:pt idx="123">
                  <c:v>4/24/2020</c:v>
                </c:pt>
                <c:pt idx="124">
                  <c:v>4/27/2020</c:v>
                </c:pt>
                <c:pt idx="125">
                  <c:v>4/28/2020</c:v>
                </c:pt>
                <c:pt idx="126">
                  <c:v>4/29/2020</c:v>
                </c:pt>
                <c:pt idx="127">
                  <c:v>4/30/2020</c:v>
                </c:pt>
                <c:pt idx="128">
                  <c:v>5/1/2020</c:v>
                </c:pt>
                <c:pt idx="129">
                  <c:v>5/4/2020</c:v>
                </c:pt>
                <c:pt idx="130">
                  <c:v>5/5/2020</c:v>
                </c:pt>
                <c:pt idx="131">
                  <c:v>5/6/2020</c:v>
                </c:pt>
                <c:pt idx="132">
                  <c:v>5/7/2020</c:v>
                </c:pt>
                <c:pt idx="133">
                  <c:v>5/8/2020</c:v>
                </c:pt>
                <c:pt idx="134">
                  <c:v>5/11/2020</c:v>
                </c:pt>
                <c:pt idx="135">
                  <c:v>5/12/2020</c:v>
                </c:pt>
                <c:pt idx="136">
                  <c:v>5/13/2020</c:v>
                </c:pt>
                <c:pt idx="137">
                  <c:v>5/14/2020</c:v>
                </c:pt>
                <c:pt idx="138">
                  <c:v>5/15/2020</c:v>
                </c:pt>
                <c:pt idx="139">
                  <c:v>5/18/2020</c:v>
                </c:pt>
                <c:pt idx="140">
                  <c:v>5/19/2020</c:v>
                </c:pt>
                <c:pt idx="141">
                  <c:v>5/20/2020</c:v>
                </c:pt>
                <c:pt idx="142">
                  <c:v>5/21/2020</c:v>
                </c:pt>
                <c:pt idx="143">
                  <c:v>5/22/2020</c:v>
                </c:pt>
                <c:pt idx="144">
                  <c:v>5/26/2020</c:v>
                </c:pt>
                <c:pt idx="145">
                  <c:v>5/27/2020</c:v>
                </c:pt>
                <c:pt idx="146">
                  <c:v>5/28/2020</c:v>
                </c:pt>
                <c:pt idx="147">
                  <c:v>5/29/2020</c:v>
                </c:pt>
                <c:pt idx="148">
                  <c:v>6/1/2020</c:v>
                </c:pt>
                <c:pt idx="149">
                  <c:v>6/2/2020</c:v>
                </c:pt>
                <c:pt idx="150">
                  <c:v>6/3/2020</c:v>
                </c:pt>
                <c:pt idx="151">
                  <c:v>6/4/2020</c:v>
                </c:pt>
                <c:pt idx="152">
                  <c:v>6/5/2020</c:v>
                </c:pt>
                <c:pt idx="153">
                  <c:v>6/8/2020</c:v>
                </c:pt>
                <c:pt idx="154">
                  <c:v>6/9/2020</c:v>
                </c:pt>
                <c:pt idx="155">
                  <c:v>6/10/2020</c:v>
                </c:pt>
                <c:pt idx="156">
                  <c:v>6/11/2020</c:v>
                </c:pt>
                <c:pt idx="157">
                  <c:v>6/12/2020</c:v>
                </c:pt>
                <c:pt idx="158">
                  <c:v>6/15/2020</c:v>
                </c:pt>
                <c:pt idx="159">
                  <c:v>6/16/2020</c:v>
                </c:pt>
                <c:pt idx="160">
                  <c:v>6/17/2020</c:v>
                </c:pt>
                <c:pt idx="161">
                  <c:v>6/18/2020</c:v>
                </c:pt>
                <c:pt idx="162">
                  <c:v>6/19/2020</c:v>
                </c:pt>
                <c:pt idx="163">
                  <c:v>6/22/2020</c:v>
                </c:pt>
                <c:pt idx="164">
                  <c:v>6/23/2020</c:v>
                </c:pt>
                <c:pt idx="165">
                  <c:v>6/24/2020</c:v>
                </c:pt>
                <c:pt idx="166">
                  <c:v>6/25/2020</c:v>
                </c:pt>
                <c:pt idx="167">
                  <c:v>6/26/2020</c:v>
                </c:pt>
                <c:pt idx="168">
                  <c:v>6/29/2020</c:v>
                </c:pt>
                <c:pt idx="169">
                  <c:v>6/30/2020</c:v>
                </c:pt>
                <c:pt idx="170">
                  <c:v>7/1/2020</c:v>
                </c:pt>
                <c:pt idx="171">
                  <c:v>7/2/2020</c:v>
                </c:pt>
                <c:pt idx="172">
                  <c:v>7/3/2020</c:v>
                </c:pt>
                <c:pt idx="173">
                  <c:v>7/6/2020</c:v>
                </c:pt>
                <c:pt idx="174">
                  <c:v>7/7/2020</c:v>
                </c:pt>
                <c:pt idx="175">
                  <c:v>7/8/2020</c:v>
                </c:pt>
                <c:pt idx="176">
                  <c:v>7/9/2020</c:v>
                </c:pt>
                <c:pt idx="177">
                  <c:v>7/10/2020</c:v>
                </c:pt>
                <c:pt idx="178">
                  <c:v>7/13/2020</c:v>
                </c:pt>
                <c:pt idx="179">
                  <c:v>7/14/2020</c:v>
                </c:pt>
                <c:pt idx="180">
                  <c:v>7/15/2020</c:v>
                </c:pt>
                <c:pt idx="181">
                  <c:v>7/16/2020</c:v>
                </c:pt>
                <c:pt idx="182">
                  <c:v>7/17/2020</c:v>
                </c:pt>
                <c:pt idx="183">
                  <c:v>7/20/2020</c:v>
                </c:pt>
                <c:pt idx="184">
                  <c:v>7/21/2020</c:v>
                </c:pt>
                <c:pt idx="185">
                  <c:v>7/22/2020</c:v>
                </c:pt>
                <c:pt idx="186">
                  <c:v>7/23/2020</c:v>
                </c:pt>
                <c:pt idx="187">
                  <c:v>7/24/2020</c:v>
                </c:pt>
                <c:pt idx="188">
                  <c:v>7/27/2020</c:v>
                </c:pt>
                <c:pt idx="189">
                  <c:v>7/28/2020</c:v>
                </c:pt>
                <c:pt idx="190">
                  <c:v>7/29/2020</c:v>
                </c:pt>
                <c:pt idx="191">
                  <c:v>7/30/2020</c:v>
                </c:pt>
                <c:pt idx="192">
                  <c:v>7/31/2020</c:v>
                </c:pt>
                <c:pt idx="193">
                  <c:v>8/3/2020</c:v>
                </c:pt>
                <c:pt idx="194">
                  <c:v>8/4/2020</c:v>
                </c:pt>
                <c:pt idx="195">
                  <c:v>8/5/2020</c:v>
                </c:pt>
                <c:pt idx="196">
                  <c:v>8/6/2020</c:v>
                </c:pt>
                <c:pt idx="197">
                  <c:v>8/7/2020</c:v>
                </c:pt>
                <c:pt idx="198">
                  <c:v>8/10/2020</c:v>
                </c:pt>
                <c:pt idx="199">
                  <c:v>8/11/2020</c:v>
                </c:pt>
                <c:pt idx="200">
                  <c:v>8/12/2020</c:v>
                </c:pt>
                <c:pt idx="201">
                  <c:v>8/13/2020</c:v>
                </c:pt>
                <c:pt idx="202">
                  <c:v>8/14/2020</c:v>
                </c:pt>
                <c:pt idx="203">
                  <c:v>8/17/2020</c:v>
                </c:pt>
                <c:pt idx="204">
                  <c:v>8/18/2020</c:v>
                </c:pt>
                <c:pt idx="205">
                  <c:v>8/19/2020</c:v>
                </c:pt>
                <c:pt idx="206">
                  <c:v>8/20/2020</c:v>
                </c:pt>
                <c:pt idx="207">
                  <c:v>8/21/2020</c:v>
                </c:pt>
                <c:pt idx="208">
                  <c:v>8/24/2020</c:v>
                </c:pt>
                <c:pt idx="209">
                  <c:v>8/25/2020</c:v>
                </c:pt>
                <c:pt idx="210">
                  <c:v>8/26/2020</c:v>
                </c:pt>
                <c:pt idx="211">
                  <c:v>8/27/2020</c:v>
                </c:pt>
                <c:pt idx="212">
                  <c:v>8/28/2020</c:v>
                </c:pt>
                <c:pt idx="213">
                  <c:v>8/31/2020</c:v>
                </c:pt>
                <c:pt idx="214">
                  <c:v>9/1/2020</c:v>
                </c:pt>
                <c:pt idx="215">
                  <c:v>9/2/2020</c:v>
                </c:pt>
                <c:pt idx="216">
                  <c:v>9/3/2020</c:v>
                </c:pt>
                <c:pt idx="217">
                  <c:v>9/4/2020</c:v>
                </c:pt>
                <c:pt idx="218">
                  <c:v>9/7/2020</c:v>
                </c:pt>
                <c:pt idx="219">
                  <c:v>9/8/2020</c:v>
                </c:pt>
                <c:pt idx="220">
                  <c:v>9/9/2020</c:v>
                </c:pt>
                <c:pt idx="221">
                  <c:v>9/10/2020</c:v>
                </c:pt>
                <c:pt idx="222">
                  <c:v>9/11/2020</c:v>
                </c:pt>
                <c:pt idx="223">
                  <c:v>9/14/2020</c:v>
                </c:pt>
                <c:pt idx="224">
                  <c:v>9/15/2020</c:v>
                </c:pt>
                <c:pt idx="225">
                  <c:v>9/16/2020</c:v>
                </c:pt>
                <c:pt idx="226">
                  <c:v>9/17/2020</c:v>
                </c:pt>
                <c:pt idx="227">
                  <c:v>9/18/2020</c:v>
                </c:pt>
                <c:pt idx="228">
                  <c:v>9/21/2020</c:v>
                </c:pt>
                <c:pt idx="229">
                  <c:v>9/22/2020</c:v>
                </c:pt>
                <c:pt idx="230">
                  <c:v>9/23/2020</c:v>
                </c:pt>
                <c:pt idx="231">
                  <c:v>9/24/2020</c:v>
                </c:pt>
                <c:pt idx="232">
                  <c:v>9/25/2020</c:v>
                </c:pt>
                <c:pt idx="233">
                  <c:v>9/28/2020</c:v>
                </c:pt>
                <c:pt idx="234">
                  <c:v>9/29/2020</c:v>
                </c:pt>
                <c:pt idx="235">
                  <c:v>9/30/2020</c:v>
                </c:pt>
                <c:pt idx="236">
                  <c:v>10/1/2020</c:v>
                </c:pt>
                <c:pt idx="237">
                  <c:v>10/2/2020</c:v>
                </c:pt>
                <c:pt idx="238">
                  <c:v>10/5/2020</c:v>
                </c:pt>
                <c:pt idx="239">
                  <c:v>10/6/2020</c:v>
                </c:pt>
                <c:pt idx="240">
                  <c:v>10/7/2020</c:v>
                </c:pt>
                <c:pt idx="241">
                  <c:v>10/8/2020</c:v>
                </c:pt>
                <c:pt idx="242">
                  <c:v>10/9/2020</c:v>
                </c:pt>
                <c:pt idx="243">
                  <c:v>10/12/2020</c:v>
                </c:pt>
                <c:pt idx="244">
                  <c:v>10/13/2020</c:v>
                </c:pt>
                <c:pt idx="245">
                  <c:v>10/14/2020</c:v>
                </c:pt>
                <c:pt idx="246">
                  <c:v>10/15/2020</c:v>
                </c:pt>
                <c:pt idx="247">
                  <c:v>10/16/2020</c:v>
                </c:pt>
                <c:pt idx="248">
                  <c:v>10/19/2020</c:v>
                </c:pt>
                <c:pt idx="249">
                  <c:v>10/20/2020</c:v>
                </c:pt>
                <c:pt idx="250">
                  <c:v>10/21/2020</c:v>
                </c:pt>
                <c:pt idx="251">
                  <c:v>10/22/2020</c:v>
                </c:pt>
                <c:pt idx="252">
                  <c:v>10/23/2020</c:v>
                </c:pt>
                <c:pt idx="253">
                  <c:v>10/26/2020</c:v>
                </c:pt>
                <c:pt idx="254">
                  <c:v>10/27/2020</c:v>
                </c:pt>
                <c:pt idx="255">
                  <c:v>10/28/2020</c:v>
                </c:pt>
                <c:pt idx="256">
                  <c:v>10/29/2020</c:v>
                </c:pt>
                <c:pt idx="257">
                  <c:v>10/30/2020</c:v>
                </c:pt>
                <c:pt idx="258">
                  <c:v>11/2/2020</c:v>
                </c:pt>
                <c:pt idx="259">
                  <c:v>11/3/2020</c:v>
                </c:pt>
                <c:pt idx="260">
                  <c:v>11/4/2020</c:v>
                </c:pt>
                <c:pt idx="261">
                  <c:v>11/5/2020</c:v>
                </c:pt>
                <c:pt idx="262">
                  <c:v>11/6/2020</c:v>
                </c:pt>
                <c:pt idx="263">
                  <c:v>11/9/2020</c:v>
                </c:pt>
                <c:pt idx="264">
                  <c:v>11/10/2020</c:v>
                </c:pt>
                <c:pt idx="265">
                  <c:v>11/11/2020</c:v>
                </c:pt>
                <c:pt idx="266">
                  <c:v>11/12/2020</c:v>
                </c:pt>
                <c:pt idx="267">
                  <c:v>11/13/2020</c:v>
                </c:pt>
                <c:pt idx="268">
                  <c:v>11/16/2020</c:v>
                </c:pt>
                <c:pt idx="269">
                  <c:v>11/17/2020</c:v>
                </c:pt>
                <c:pt idx="270">
                  <c:v>11/18/2020</c:v>
                </c:pt>
                <c:pt idx="271">
                  <c:v>11/19/2020</c:v>
                </c:pt>
                <c:pt idx="272">
                  <c:v>11/20/2020</c:v>
                </c:pt>
                <c:pt idx="273">
                  <c:v>11/23/2020</c:v>
                </c:pt>
                <c:pt idx="274">
                  <c:v>11/24/2020</c:v>
                </c:pt>
                <c:pt idx="275">
                  <c:v>11/25/2020</c:v>
                </c:pt>
                <c:pt idx="276">
                  <c:v>11/26/2020</c:v>
                </c:pt>
                <c:pt idx="277">
                  <c:v>11/27/2020</c:v>
                </c:pt>
                <c:pt idx="278">
                  <c:v>11/30/2020</c:v>
                </c:pt>
                <c:pt idx="279">
                  <c:v>12/1/2020</c:v>
                </c:pt>
                <c:pt idx="280">
                  <c:v>12/2/2020</c:v>
                </c:pt>
                <c:pt idx="281">
                  <c:v>12/3/2020</c:v>
                </c:pt>
                <c:pt idx="282">
                  <c:v>12/4/2020</c:v>
                </c:pt>
                <c:pt idx="283">
                  <c:v>12/7/2020</c:v>
                </c:pt>
                <c:pt idx="284">
                  <c:v>12/8/2020</c:v>
                </c:pt>
                <c:pt idx="285">
                  <c:v>12/9/2020</c:v>
                </c:pt>
                <c:pt idx="286">
                  <c:v>12/10/2020</c:v>
                </c:pt>
                <c:pt idx="287">
                  <c:v>12/11/2020</c:v>
                </c:pt>
                <c:pt idx="288">
                  <c:v>12/14/2020</c:v>
                </c:pt>
                <c:pt idx="289">
                  <c:v>12/15/2020</c:v>
                </c:pt>
                <c:pt idx="290">
                  <c:v>12/16/2020</c:v>
                </c:pt>
                <c:pt idx="291">
                  <c:v>12/17/2020</c:v>
                </c:pt>
                <c:pt idx="292">
                  <c:v>12/18/2020</c:v>
                </c:pt>
                <c:pt idx="293">
                  <c:v>12/21/2020</c:v>
                </c:pt>
                <c:pt idx="294">
                  <c:v>12/22/2020</c:v>
                </c:pt>
                <c:pt idx="295">
                  <c:v>12/23/2020</c:v>
                </c:pt>
                <c:pt idx="296">
                  <c:v>12/24/2020</c:v>
                </c:pt>
                <c:pt idx="297">
                  <c:v>12/28/2020</c:v>
                </c:pt>
                <c:pt idx="298">
                  <c:v>12/29/2020</c:v>
                </c:pt>
                <c:pt idx="299">
                  <c:v>12/30/2020</c:v>
                </c:pt>
                <c:pt idx="300">
                  <c:v>12/31/2020</c:v>
                </c:pt>
                <c:pt idx="301">
                  <c:v>1/4/2021</c:v>
                </c:pt>
                <c:pt idx="302">
                  <c:v>1/5/2021</c:v>
                </c:pt>
                <c:pt idx="303">
                  <c:v>1/6/2021</c:v>
                </c:pt>
                <c:pt idx="304">
                  <c:v>1/7/2021</c:v>
                </c:pt>
                <c:pt idx="305">
                  <c:v>1/8/2021</c:v>
                </c:pt>
                <c:pt idx="306">
                  <c:v>1/11/2021</c:v>
                </c:pt>
                <c:pt idx="307">
                  <c:v>1/12/2021</c:v>
                </c:pt>
                <c:pt idx="308">
                  <c:v>1/13/2021</c:v>
                </c:pt>
                <c:pt idx="309">
                  <c:v>1/14/2021</c:v>
                </c:pt>
                <c:pt idx="310">
                  <c:v>1/15/2021</c:v>
                </c:pt>
                <c:pt idx="311">
                  <c:v>1/18/2021</c:v>
                </c:pt>
                <c:pt idx="312">
                  <c:v>1/19/2021</c:v>
                </c:pt>
                <c:pt idx="313">
                  <c:v>1/20/2021</c:v>
                </c:pt>
                <c:pt idx="314">
                  <c:v>1/21/2021</c:v>
                </c:pt>
                <c:pt idx="315">
                  <c:v>1/22/2021</c:v>
                </c:pt>
                <c:pt idx="316">
                  <c:v>1/25/2021</c:v>
                </c:pt>
                <c:pt idx="317">
                  <c:v>1/26/2021</c:v>
                </c:pt>
                <c:pt idx="318">
                  <c:v>1/27/2021</c:v>
                </c:pt>
                <c:pt idx="319">
                  <c:v>1/28/2021</c:v>
                </c:pt>
                <c:pt idx="320">
                  <c:v>1/29/2021</c:v>
                </c:pt>
                <c:pt idx="321">
                  <c:v>2/1/2021</c:v>
                </c:pt>
                <c:pt idx="322">
                  <c:v>2/2/2021</c:v>
                </c:pt>
                <c:pt idx="323">
                  <c:v>2/3/2021</c:v>
                </c:pt>
                <c:pt idx="324">
                  <c:v>2/4/2021</c:v>
                </c:pt>
                <c:pt idx="325">
                  <c:v>2/5/2021</c:v>
                </c:pt>
                <c:pt idx="326">
                  <c:v>2/8/2021</c:v>
                </c:pt>
                <c:pt idx="327">
                  <c:v>2/9/2021</c:v>
                </c:pt>
                <c:pt idx="328">
                  <c:v>2/10/2021</c:v>
                </c:pt>
                <c:pt idx="329">
                  <c:v>2/11/2021</c:v>
                </c:pt>
                <c:pt idx="330">
                  <c:v>2/12/2021</c:v>
                </c:pt>
                <c:pt idx="331">
                  <c:v>2/15/2021</c:v>
                </c:pt>
                <c:pt idx="332">
                  <c:v>2/16/2021</c:v>
                </c:pt>
                <c:pt idx="333">
                  <c:v>2/17/2021</c:v>
                </c:pt>
                <c:pt idx="334">
                  <c:v>2/18/2021</c:v>
                </c:pt>
                <c:pt idx="335">
                  <c:v>2/19/2021</c:v>
                </c:pt>
                <c:pt idx="336">
                  <c:v>2/22/2021</c:v>
                </c:pt>
                <c:pt idx="337">
                  <c:v>2/23/2021</c:v>
                </c:pt>
                <c:pt idx="338">
                  <c:v>2/24/2021</c:v>
                </c:pt>
                <c:pt idx="339">
                  <c:v>2/25/2021</c:v>
                </c:pt>
                <c:pt idx="340">
                  <c:v>2/26/2021</c:v>
                </c:pt>
                <c:pt idx="341">
                  <c:v>3/1/2021</c:v>
                </c:pt>
                <c:pt idx="342">
                  <c:v>3/2/2021</c:v>
                </c:pt>
                <c:pt idx="343">
                  <c:v>3/3/2021</c:v>
                </c:pt>
                <c:pt idx="344">
                  <c:v>3/4/2021</c:v>
                </c:pt>
                <c:pt idx="345">
                  <c:v>3/5/2021</c:v>
                </c:pt>
                <c:pt idx="346">
                  <c:v>3/8/2021</c:v>
                </c:pt>
                <c:pt idx="347">
                  <c:v>3/9/2021</c:v>
                </c:pt>
                <c:pt idx="348">
                  <c:v>3/10/2021</c:v>
                </c:pt>
                <c:pt idx="349">
                  <c:v>3/11/2021</c:v>
                </c:pt>
                <c:pt idx="350">
                  <c:v>3/12/2021</c:v>
                </c:pt>
                <c:pt idx="351">
                  <c:v>3/15/2021</c:v>
                </c:pt>
                <c:pt idx="352">
                  <c:v>3/16/2021</c:v>
                </c:pt>
                <c:pt idx="353">
                  <c:v>3/17/2021</c:v>
                </c:pt>
                <c:pt idx="354">
                  <c:v>3/18/2021</c:v>
                </c:pt>
                <c:pt idx="355">
                  <c:v>3/19/2021</c:v>
                </c:pt>
                <c:pt idx="356">
                  <c:v>3/22/2021</c:v>
                </c:pt>
                <c:pt idx="357">
                  <c:v>3/23/2021</c:v>
                </c:pt>
                <c:pt idx="358">
                  <c:v>3/24/2021</c:v>
                </c:pt>
                <c:pt idx="359">
                  <c:v>3/25/2021</c:v>
                </c:pt>
                <c:pt idx="360">
                  <c:v>3/26/2021</c:v>
                </c:pt>
                <c:pt idx="361">
                  <c:v>3/29/2021</c:v>
                </c:pt>
                <c:pt idx="362">
                  <c:v>3/30/2021</c:v>
                </c:pt>
                <c:pt idx="363">
                  <c:v>3/31/2021</c:v>
                </c:pt>
                <c:pt idx="364">
                  <c:v>4/1/2021</c:v>
                </c:pt>
                <c:pt idx="365">
                  <c:v>4/5/2021</c:v>
                </c:pt>
                <c:pt idx="366">
                  <c:v>4/6/2021</c:v>
                </c:pt>
                <c:pt idx="367">
                  <c:v>4/7/2021</c:v>
                </c:pt>
                <c:pt idx="368">
                  <c:v>4/8/2021</c:v>
                </c:pt>
                <c:pt idx="369">
                  <c:v>4/9/2021</c:v>
                </c:pt>
                <c:pt idx="370">
                  <c:v>4/12/2021</c:v>
                </c:pt>
                <c:pt idx="371">
                  <c:v>4/13/2021</c:v>
                </c:pt>
                <c:pt idx="372">
                  <c:v>4/14/2021</c:v>
                </c:pt>
                <c:pt idx="373">
                  <c:v>4/15/2021</c:v>
                </c:pt>
                <c:pt idx="374">
                  <c:v>4/16/2021</c:v>
                </c:pt>
                <c:pt idx="375">
                  <c:v>4/19/2021</c:v>
                </c:pt>
                <c:pt idx="376">
                  <c:v>4/20/2021</c:v>
                </c:pt>
                <c:pt idx="377">
                  <c:v>4/21/2021</c:v>
                </c:pt>
                <c:pt idx="378">
                  <c:v>4/22/2021</c:v>
                </c:pt>
                <c:pt idx="379">
                  <c:v>4/23/2021</c:v>
                </c:pt>
                <c:pt idx="380">
                  <c:v>4/26/2021</c:v>
                </c:pt>
                <c:pt idx="381">
                  <c:v>4/27/2021</c:v>
                </c:pt>
                <c:pt idx="382">
                  <c:v>4/28/2021</c:v>
                </c:pt>
                <c:pt idx="383">
                  <c:v>4/29/2021</c:v>
                </c:pt>
                <c:pt idx="384">
                  <c:v>4/30/2021</c:v>
                </c:pt>
                <c:pt idx="385">
                  <c:v>5/3/2021</c:v>
                </c:pt>
                <c:pt idx="386">
                  <c:v>5/4/2021</c:v>
                </c:pt>
                <c:pt idx="387">
                  <c:v>5/5/2021</c:v>
                </c:pt>
                <c:pt idx="388">
                  <c:v>5/6/2021</c:v>
                </c:pt>
                <c:pt idx="389">
                  <c:v>5/7/2021</c:v>
                </c:pt>
                <c:pt idx="390">
                  <c:v>5/10/2021</c:v>
                </c:pt>
                <c:pt idx="391">
                  <c:v>5/11/2021</c:v>
                </c:pt>
                <c:pt idx="392">
                  <c:v>5/12/2021</c:v>
                </c:pt>
                <c:pt idx="393">
                  <c:v>5/13/2021</c:v>
                </c:pt>
                <c:pt idx="394">
                  <c:v>5/14/2021</c:v>
                </c:pt>
                <c:pt idx="395">
                  <c:v>5/17/2021</c:v>
                </c:pt>
                <c:pt idx="396">
                  <c:v>5/18/2021</c:v>
                </c:pt>
                <c:pt idx="397">
                  <c:v>5/19/2021</c:v>
                </c:pt>
                <c:pt idx="398">
                  <c:v>5/20/2021</c:v>
                </c:pt>
                <c:pt idx="399">
                  <c:v>5/21/2021</c:v>
                </c:pt>
                <c:pt idx="400">
                  <c:v>5/24/2021</c:v>
                </c:pt>
                <c:pt idx="401">
                  <c:v>5/25/2021</c:v>
                </c:pt>
                <c:pt idx="402">
                  <c:v>5/26/2021</c:v>
                </c:pt>
                <c:pt idx="403">
                  <c:v>5/27/2021</c:v>
                </c:pt>
                <c:pt idx="404">
                  <c:v>5/28/2021</c:v>
                </c:pt>
                <c:pt idx="405">
                  <c:v>5/31/2021</c:v>
                </c:pt>
                <c:pt idx="406">
                  <c:v>6/1/2021</c:v>
                </c:pt>
                <c:pt idx="407">
                  <c:v>6/2/2021</c:v>
                </c:pt>
                <c:pt idx="408">
                  <c:v>6/3/2021</c:v>
                </c:pt>
                <c:pt idx="409">
                  <c:v>6/4/2021</c:v>
                </c:pt>
                <c:pt idx="410">
                  <c:v>6/7/2021</c:v>
                </c:pt>
                <c:pt idx="411">
                  <c:v>6/8/2021</c:v>
                </c:pt>
                <c:pt idx="412">
                  <c:v>6/9/2021</c:v>
                </c:pt>
                <c:pt idx="413">
                  <c:v>6/10/2021</c:v>
                </c:pt>
                <c:pt idx="414">
                  <c:v>6/11/2021</c:v>
                </c:pt>
                <c:pt idx="415">
                  <c:v>6/14/2021</c:v>
                </c:pt>
                <c:pt idx="416">
                  <c:v>6/15/2021</c:v>
                </c:pt>
                <c:pt idx="417">
                  <c:v>6/16/2021</c:v>
                </c:pt>
                <c:pt idx="418">
                  <c:v>6/17/2021</c:v>
                </c:pt>
                <c:pt idx="419">
                  <c:v>6/18/2021</c:v>
                </c:pt>
                <c:pt idx="420">
                  <c:v>6/21/2021</c:v>
                </c:pt>
                <c:pt idx="421">
                  <c:v>6/22/2021</c:v>
                </c:pt>
                <c:pt idx="422">
                  <c:v>6/23/2021</c:v>
                </c:pt>
                <c:pt idx="423">
                  <c:v>6/24/2021</c:v>
                </c:pt>
                <c:pt idx="424">
                  <c:v>6/25/2021</c:v>
                </c:pt>
                <c:pt idx="425">
                  <c:v>6/28/2021</c:v>
                </c:pt>
                <c:pt idx="426">
                  <c:v>6/29/2021</c:v>
                </c:pt>
                <c:pt idx="427">
                  <c:v>6/30/2021</c:v>
                </c:pt>
                <c:pt idx="428">
                  <c:v>7/1/2021</c:v>
                </c:pt>
                <c:pt idx="429">
                  <c:v>7/2/2021</c:v>
                </c:pt>
                <c:pt idx="430">
                  <c:v>7/5/2021</c:v>
                </c:pt>
                <c:pt idx="431">
                  <c:v>7/6/2021</c:v>
                </c:pt>
                <c:pt idx="432">
                  <c:v>7/7/2021</c:v>
                </c:pt>
                <c:pt idx="433">
                  <c:v>7/8/2021</c:v>
                </c:pt>
                <c:pt idx="434">
                  <c:v>7/9/2021</c:v>
                </c:pt>
                <c:pt idx="435">
                  <c:v>7/12/2021</c:v>
                </c:pt>
                <c:pt idx="436">
                  <c:v>7/13/2021</c:v>
                </c:pt>
                <c:pt idx="437">
                  <c:v>7/14/2021</c:v>
                </c:pt>
                <c:pt idx="438">
                  <c:v>7/15/2021</c:v>
                </c:pt>
                <c:pt idx="439">
                  <c:v>7/16/2021</c:v>
                </c:pt>
                <c:pt idx="440">
                  <c:v>7/19/2021</c:v>
                </c:pt>
                <c:pt idx="441">
                  <c:v>7/20/2021</c:v>
                </c:pt>
                <c:pt idx="442">
                  <c:v>7/21/2021</c:v>
                </c:pt>
                <c:pt idx="443">
                  <c:v>7/22/2021</c:v>
                </c:pt>
                <c:pt idx="444">
                  <c:v>7/23/2021</c:v>
                </c:pt>
                <c:pt idx="445">
                  <c:v>7/26/2021</c:v>
                </c:pt>
                <c:pt idx="446">
                  <c:v>7/27/2021</c:v>
                </c:pt>
                <c:pt idx="447">
                  <c:v>7/28/2021</c:v>
                </c:pt>
                <c:pt idx="448">
                  <c:v>7/29/2021</c:v>
                </c:pt>
                <c:pt idx="449">
                  <c:v>7/30/2021</c:v>
                </c:pt>
                <c:pt idx="450">
                  <c:v>8/2/2021</c:v>
                </c:pt>
                <c:pt idx="451">
                  <c:v>8/3/2021</c:v>
                </c:pt>
                <c:pt idx="452">
                  <c:v>8/4/2021</c:v>
                </c:pt>
                <c:pt idx="453">
                  <c:v>8/5/2021</c:v>
                </c:pt>
                <c:pt idx="454">
                  <c:v>8/6/2021</c:v>
                </c:pt>
                <c:pt idx="455">
                  <c:v>8/9/2021</c:v>
                </c:pt>
                <c:pt idx="456">
                  <c:v>8/10/2021</c:v>
                </c:pt>
                <c:pt idx="457">
                  <c:v>8/11/2021</c:v>
                </c:pt>
                <c:pt idx="458">
                  <c:v>8/12/2021</c:v>
                </c:pt>
                <c:pt idx="459">
                  <c:v>8/13/2021</c:v>
                </c:pt>
                <c:pt idx="460">
                  <c:v>8/16/2021</c:v>
                </c:pt>
                <c:pt idx="461">
                  <c:v>8/17/2021</c:v>
                </c:pt>
                <c:pt idx="462">
                  <c:v>8/18/2021</c:v>
                </c:pt>
                <c:pt idx="463">
                  <c:v>8/19/2021</c:v>
                </c:pt>
                <c:pt idx="464">
                  <c:v>8/20/2021</c:v>
                </c:pt>
                <c:pt idx="465">
                  <c:v>8/23/2021</c:v>
                </c:pt>
                <c:pt idx="466">
                  <c:v>8/24/2021</c:v>
                </c:pt>
                <c:pt idx="467">
                  <c:v>8/25/2021</c:v>
                </c:pt>
                <c:pt idx="468">
                  <c:v>8/26/2021</c:v>
                </c:pt>
                <c:pt idx="469">
                  <c:v>8/27/2021</c:v>
                </c:pt>
                <c:pt idx="470">
                  <c:v>8/30/2021</c:v>
                </c:pt>
                <c:pt idx="471">
                  <c:v>8/31/2021</c:v>
                </c:pt>
                <c:pt idx="472">
                  <c:v>9/1/2021</c:v>
                </c:pt>
                <c:pt idx="473">
                  <c:v>9/2/2021</c:v>
                </c:pt>
                <c:pt idx="474">
                  <c:v>9/3/2021</c:v>
                </c:pt>
                <c:pt idx="475">
                  <c:v>9/6/2021</c:v>
                </c:pt>
                <c:pt idx="476">
                  <c:v>9/7/2021</c:v>
                </c:pt>
                <c:pt idx="477">
                  <c:v>9/8/2021</c:v>
                </c:pt>
                <c:pt idx="478">
                  <c:v>9/9/2021</c:v>
                </c:pt>
                <c:pt idx="479">
                  <c:v>9/10/2021</c:v>
                </c:pt>
                <c:pt idx="480">
                  <c:v>9/13/2021</c:v>
                </c:pt>
                <c:pt idx="481">
                  <c:v>9/14/2021</c:v>
                </c:pt>
                <c:pt idx="482">
                  <c:v>9/15/2021</c:v>
                </c:pt>
                <c:pt idx="483">
                  <c:v>9/16/2021</c:v>
                </c:pt>
                <c:pt idx="484">
                  <c:v>9/17/2021</c:v>
                </c:pt>
                <c:pt idx="485">
                  <c:v>9/20/2021</c:v>
                </c:pt>
                <c:pt idx="486">
                  <c:v>9/21/2021</c:v>
                </c:pt>
                <c:pt idx="487">
                  <c:v>9/22/2021</c:v>
                </c:pt>
                <c:pt idx="488">
                  <c:v>9/23/2021</c:v>
                </c:pt>
                <c:pt idx="489">
                  <c:v>9/24/2021</c:v>
                </c:pt>
                <c:pt idx="490">
                  <c:v>9/27/2021</c:v>
                </c:pt>
                <c:pt idx="491">
                  <c:v>9/28/2021</c:v>
                </c:pt>
                <c:pt idx="492">
                  <c:v>9/29/2021</c:v>
                </c:pt>
                <c:pt idx="493">
                  <c:v>9/30/2021</c:v>
                </c:pt>
                <c:pt idx="494">
                  <c:v>10/1/2021</c:v>
                </c:pt>
                <c:pt idx="495">
                  <c:v>10/4/2021</c:v>
                </c:pt>
                <c:pt idx="496">
                  <c:v>10/5/2021</c:v>
                </c:pt>
                <c:pt idx="497">
                  <c:v>10/6/2021</c:v>
                </c:pt>
                <c:pt idx="498">
                  <c:v>10/7/2021</c:v>
                </c:pt>
                <c:pt idx="499">
                  <c:v>10/8/2021</c:v>
                </c:pt>
                <c:pt idx="500">
                  <c:v>10/11/2021</c:v>
                </c:pt>
                <c:pt idx="501">
                  <c:v>10/12/2021</c:v>
                </c:pt>
                <c:pt idx="502">
                  <c:v>10/13/2021</c:v>
                </c:pt>
                <c:pt idx="503">
                  <c:v>10/14/2021</c:v>
                </c:pt>
                <c:pt idx="504">
                  <c:v>10/15/2021</c:v>
                </c:pt>
                <c:pt idx="505">
                  <c:v>10/18/2021</c:v>
                </c:pt>
                <c:pt idx="506">
                  <c:v>10/19/2021</c:v>
                </c:pt>
                <c:pt idx="507">
                  <c:v>10/20/2021</c:v>
                </c:pt>
                <c:pt idx="508">
                  <c:v>10/21/2021</c:v>
                </c:pt>
                <c:pt idx="509">
                  <c:v>10/22/2021</c:v>
                </c:pt>
                <c:pt idx="510">
                  <c:v>10/25/2021</c:v>
                </c:pt>
                <c:pt idx="511">
                  <c:v>10/26/2021</c:v>
                </c:pt>
                <c:pt idx="512">
                  <c:v>10/27/2021</c:v>
                </c:pt>
                <c:pt idx="513">
                  <c:v>10/28/2021</c:v>
                </c:pt>
                <c:pt idx="514">
                  <c:v>10/29/2021</c:v>
                </c:pt>
                <c:pt idx="515">
                  <c:v>11/1/2021</c:v>
                </c:pt>
                <c:pt idx="516">
                  <c:v>11/2/2021</c:v>
                </c:pt>
                <c:pt idx="517">
                  <c:v>11/3/2021</c:v>
                </c:pt>
                <c:pt idx="518">
                  <c:v>11/4/2021</c:v>
                </c:pt>
                <c:pt idx="519">
                  <c:v>11/5/2021</c:v>
                </c:pt>
                <c:pt idx="520">
                  <c:v>11/8/2021</c:v>
                </c:pt>
                <c:pt idx="521">
                  <c:v>11/9/2021</c:v>
                </c:pt>
                <c:pt idx="522">
                  <c:v>11/10/2021</c:v>
                </c:pt>
                <c:pt idx="523">
                  <c:v>11/11/2021</c:v>
                </c:pt>
                <c:pt idx="524">
                  <c:v>11/12/2021</c:v>
                </c:pt>
                <c:pt idx="525">
                  <c:v>11/15/2021</c:v>
                </c:pt>
                <c:pt idx="526">
                  <c:v>11/16/2021</c:v>
                </c:pt>
                <c:pt idx="527">
                  <c:v>11/17/2021</c:v>
                </c:pt>
                <c:pt idx="528">
                  <c:v>11/18/2021</c:v>
                </c:pt>
                <c:pt idx="529">
                  <c:v>11/19/2021</c:v>
                </c:pt>
                <c:pt idx="530">
                  <c:v>11/22/2021</c:v>
                </c:pt>
                <c:pt idx="531">
                  <c:v>11/23/2021</c:v>
                </c:pt>
                <c:pt idx="532">
                  <c:v>11/24/2021</c:v>
                </c:pt>
                <c:pt idx="533">
                  <c:v>11/25/2021</c:v>
                </c:pt>
                <c:pt idx="534">
                  <c:v>11/26/2021</c:v>
                </c:pt>
                <c:pt idx="535">
                  <c:v>11/29/2021</c:v>
                </c:pt>
                <c:pt idx="536">
                  <c:v>11/30/2021</c:v>
                </c:pt>
                <c:pt idx="537">
                  <c:v>12/1/2021</c:v>
                </c:pt>
                <c:pt idx="538">
                  <c:v>12/2/2021</c:v>
                </c:pt>
                <c:pt idx="539">
                  <c:v>12/3/2021</c:v>
                </c:pt>
                <c:pt idx="540">
                  <c:v>12/6/2021</c:v>
                </c:pt>
                <c:pt idx="541">
                  <c:v>12/7/2021</c:v>
                </c:pt>
                <c:pt idx="542">
                  <c:v>12/8/2021</c:v>
                </c:pt>
                <c:pt idx="543">
                  <c:v>12/9/2021</c:v>
                </c:pt>
                <c:pt idx="544">
                  <c:v>12/10/2021</c:v>
                </c:pt>
                <c:pt idx="545">
                  <c:v>12/13/2021</c:v>
                </c:pt>
                <c:pt idx="546">
                  <c:v>12/14/2021</c:v>
                </c:pt>
                <c:pt idx="547">
                  <c:v>12/15/2021</c:v>
                </c:pt>
                <c:pt idx="548">
                  <c:v>12/16/2021</c:v>
                </c:pt>
                <c:pt idx="549">
                  <c:v>12/17/2021</c:v>
                </c:pt>
                <c:pt idx="550">
                  <c:v>12/20/2021</c:v>
                </c:pt>
                <c:pt idx="551">
                  <c:v>12/21/2021</c:v>
                </c:pt>
                <c:pt idx="552">
                  <c:v>12/22/2021</c:v>
                </c:pt>
                <c:pt idx="553">
                  <c:v>12/23/2021</c:v>
                </c:pt>
                <c:pt idx="554">
                  <c:v>12/24/2021</c:v>
                </c:pt>
                <c:pt idx="555">
                  <c:v>12/27/2021</c:v>
                </c:pt>
                <c:pt idx="556">
                  <c:v>12/28/2021</c:v>
                </c:pt>
                <c:pt idx="557">
                  <c:v>12/29/2021</c:v>
                </c:pt>
                <c:pt idx="558">
                  <c:v>12/30/2021</c:v>
                </c:pt>
                <c:pt idx="559">
                  <c:v>12/31/2021</c:v>
                </c:pt>
                <c:pt idx="560">
                  <c:v>1/3/2022</c:v>
                </c:pt>
                <c:pt idx="561">
                  <c:v>1/4/2022</c:v>
                </c:pt>
                <c:pt idx="562">
                  <c:v>1/5/2022</c:v>
                </c:pt>
                <c:pt idx="563">
                  <c:v>1/6/2022</c:v>
                </c:pt>
                <c:pt idx="564">
                  <c:v>1/7/2022</c:v>
                </c:pt>
                <c:pt idx="565">
                  <c:v>1/10/2022</c:v>
                </c:pt>
                <c:pt idx="566">
                  <c:v>1/11/2022</c:v>
                </c:pt>
                <c:pt idx="567">
                  <c:v>1/12/2022</c:v>
                </c:pt>
                <c:pt idx="568">
                  <c:v>1/13/2022</c:v>
                </c:pt>
                <c:pt idx="569">
                  <c:v>1/14/2022</c:v>
                </c:pt>
                <c:pt idx="570">
                  <c:v>1/17/2022</c:v>
                </c:pt>
                <c:pt idx="571">
                  <c:v>1/18/2022</c:v>
                </c:pt>
                <c:pt idx="572">
                  <c:v>1/19/2022</c:v>
                </c:pt>
                <c:pt idx="573">
                  <c:v>1/20/2022</c:v>
                </c:pt>
                <c:pt idx="574">
                  <c:v>1/21/2022</c:v>
                </c:pt>
                <c:pt idx="575">
                  <c:v>1/24/2022</c:v>
                </c:pt>
                <c:pt idx="576">
                  <c:v>1/25/2022</c:v>
                </c:pt>
                <c:pt idx="577">
                  <c:v>1/26/2022</c:v>
                </c:pt>
                <c:pt idx="578">
                  <c:v>1/27/2022</c:v>
                </c:pt>
                <c:pt idx="579">
                  <c:v>1/28/2022</c:v>
                </c:pt>
                <c:pt idx="580">
                  <c:v>1/31/2022</c:v>
                </c:pt>
                <c:pt idx="581">
                  <c:v>2/1/2022</c:v>
                </c:pt>
                <c:pt idx="582">
                  <c:v>2/2/2022</c:v>
                </c:pt>
                <c:pt idx="583">
                  <c:v>2/3/2022</c:v>
                </c:pt>
                <c:pt idx="584">
                  <c:v>2/4/2022</c:v>
                </c:pt>
                <c:pt idx="585">
                  <c:v>2/7/2022</c:v>
                </c:pt>
                <c:pt idx="586">
                  <c:v>2/8/2022</c:v>
                </c:pt>
                <c:pt idx="587">
                  <c:v>2/9/2022</c:v>
                </c:pt>
                <c:pt idx="588">
                  <c:v>2/10/2022</c:v>
                </c:pt>
                <c:pt idx="589">
                  <c:v>2/11/2022</c:v>
                </c:pt>
                <c:pt idx="590">
                  <c:v>2/14/2022</c:v>
                </c:pt>
                <c:pt idx="591">
                  <c:v>2/15/2022</c:v>
                </c:pt>
                <c:pt idx="592">
                  <c:v>2/16/2022</c:v>
                </c:pt>
                <c:pt idx="593">
                  <c:v>2/17/2022</c:v>
                </c:pt>
                <c:pt idx="594">
                  <c:v>2/18/2022</c:v>
                </c:pt>
                <c:pt idx="595">
                  <c:v>2/21/2022</c:v>
                </c:pt>
                <c:pt idx="596">
                  <c:v>2/22/2022</c:v>
                </c:pt>
                <c:pt idx="597">
                  <c:v>2/23/2022</c:v>
                </c:pt>
                <c:pt idx="598">
                  <c:v>2/24/2022</c:v>
                </c:pt>
                <c:pt idx="599">
                  <c:v>2/25/2022</c:v>
                </c:pt>
                <c:pt idx="600">
                  <c:v>2/28/2022</c:v>
                </c:pt>
                <c:pt idx="601">
                  <c:v>3/1/2022</c:v>
                </c:pt>
                <c:pt idx="602">
                  <c:v>3/2/2022</c:v>
                </c:pt>
                <c:pt idx="603">
                  <c:v>3/3/2022</c:v>
                </c:pt>
                <c:pt idx="604">
                  <c:v>3/4/2022</c:v>
                </c:pt>
                <c:pt idx="605">
                  <c:v>3/7/2022</c:v>
                </c:pt>
                <c:pt idx="606">
                  <c:v>3/8/2022</c:v>
                </c:pt>
                <c:pt idx="607">
                  <c:v>3/9/2022</c:v>
                </c:pt>
                <c:pt idx="608">
                  <c:v>3/10/2022</c:v>
                </c:pt>
                <c:pt idx="609">
                  <c:v>3/11/2022</c:v>
                </c:pt>
                <c:pt idx="610">
                  <c:v>3/14/2022</c:v>
                </c:pt>
                <c:pt idx="611">
                  <c:v>3/15/2022</c:v>
                </c:pt>
                <c:pt idx="612">
                  <c:v>3/16/2022</c:v>
                </c:pt>
                <c:pt idx="613">
                  <c:v>3/17/2022</c:v>
                </c:pt>
                <c:pt idx="614">
                  <c:v>3/18/2022</c:v>
                </c:pt>
                <c:pt idx="615">
                  <c:v>3/21/2022</c:v>
                </c:pt>
                <c:pt idx="616">
                  <c:v>3/22/2022</c:v>
                </c:pt>
                <c:pt idx="617">
                  <c:v>3/23/2022</c:v>
                </c:pt>
                <c:pt idx="618">
                  <c:v>3/24/2022</c:v>
                </c:pt>
                <c:pt idx="619">
                  <c:v>3/25/2022</c:v>
                </c:pt>
                <c:pt idx="620">
                  <c:v>3/28/2022</c:v>
                </c:pt>
                <c:pt idx="621">
                  <c:v>3/29/2022</c:v>
                </c:pt>
                <c:pt idx="622">
                  <c:v>3/30/2022</c:v>
                </c:pt>
                <c:pt idx="623">
                  <c:v>3/31/2022</c:v>
                </c:pt>
                <c:pt idx="624">
                  <c:v>4/1/2022</c:v>
                </c:pt>
                <c:pt idx="625">
                  <c:v>4/4/2022</c:v>
                </c:pt>
                <c:pt idx="626">
                  <c:v>4/5/2022</c:v>
                </c:pt>
                <c:pt idx="627">
                  <c:v>4/6/2022</c:v>
                </c:pt>
                <c:pt idx="628">
                  <c:v>4/7/2022</c:v>
                </c:pt>
                <c:pt idx="629">
                  <c:v>4/8/2022</c:v>
                </c:pt>
                <c:pt idx="630">
                  <c:v>4/11/2022</c:v>
                </c:pt>
                <c:pt idx="631">
                  <c:v>4/12/2022</c:v>
                </c:pt>
                <c:pt idx="632">
                  <c:v>4/13/2022</c:v>
                </c:pt>
                <c:pt idx="633">
                  <c:v>4/14/2022</c:v>
                </c:pt>
                <c:pt idx="634">
                  <c:v>4/18/2022</c:v>
                </c:pt>
                <c:pt idx="635">
                  <c:v>4/19/2022</c:v>
                </c:pt>
                <c:pt idx="636">
                  <c:v>4/20/2022</c:v>
                </c:pt>
                <c:pt idx="637">
                  <c:v>4/21/2022</c:v>
                </c:pt>
                <c:pt idx="638">
                  <c:v>4/22/2022</c:v>
                </c:pt>
                <c:pt idx="639">
                  <c:v>4/25/2022</c:v>
                </c:pt>
                <c:pt idx="640">
                  <c:v>4/26/2022</c:v>
                </c:pt>
                <c:pt idx="641">
                  <c:v>4/27/2022</c:v>
                </c:pt>
                <c:pt idx="642">
                  <c:v>4/28/2022</c:v>
                </c:pt>
                <c:pt idx="643">
                  <c:v>4/29/2022</c:v>
                </c:pt>
                <c:pt idx="644">
                  <c:v>5/2/2022</c:v>
                </c:pt>
                <c:pt idx="645">
                  <c:v>5/3/2022</c:v>
                </c:pt>
                <c:pt idx="646">
                  <c:v>5/4/2022</c:v>
                </c:pt>
                <c:pt idx="647">
                  <c:v>5/5/2022</c:v>
                </c:pt>
                <c:pt idx="648">
                  <c:v>5/6/2022</c:v>
                </c:pt>
                <c:pt idx="649">
                  <c:v>5/9/2022</c:v>
                </c:pt>
                <c:pt idx="650">
                  <c:v>5/10/2022</c:v>
                </c:pt>
                <c:pt idx="651">
                  <c:v>5/11/2022</c:v>
                </c:pt>
                <c:pt idx="652">
                  <c:v>5/12/2022</c:v>
                </c:pt>
                <c:pt idx="653">
                  <c:v>5/13/2022</c:v>
                </c:pt>
                <c:pt idx="654">
                  <c:v>5/16/2022</c:v>
                </c:pt>
                <c:pt idx="655">
                  <c:v>5/17/2022</c:v>
                </c:pt>
                <c:pt idx="656">
                  <c:v>5/18/2022</c:v>
                </c:pt>
                <c:pt idx="657">
                  <c:v>5/19/2022</c:v>
                </c:pt>
                <c:pt idx="658">
                  <c:v>5/20/2022</c:v>
                </c:pt>
                <c:pt idx="659">
                  <c:v>5/23/2022</c:v>
                </c:pt>
                <c:pt idx="660">
                  <c:v>5/24/2022</c:v>
                </c:pt>
                <c:pt idx="661">
                  <c:v>5/25/2022</c:v>
                </c:pt>
                <c:pt idx="662">
                  <c:v>5/26/2022</c:v>
                </c:pt>
                <c:pt idx="663">
                  <c:v>5/27/2022</c:v>
                </c:pt>
                <c:pt idx="664">
                  <c:v>5/30/2022</c:v>
                </c:pt>
                <c:pt idx="665">
                  <c:v>5/31/2022</c:v>
                </c:pt>
                <c:pt idx="666">
                  <c:v>6/1/2022</c:v>
                </c:pt>
                <c:pt idx="667">
                  <c:v>6/2/2022</c:v>
                </c:pt>
                <c:pt idx="668">
                  <c:v>6/3/2022</c:v>
                </c:pt>
                <c:pt idx="669">
                  <c:v>6/6/2022</c:v>
                </c:pt>
                <c:pt idx="670">
                  <c:v>6/7/2022</c:v>
                </c:pt>
                <c:pt idx="671">
                  <c:v>6/8/2022</c:v>
                </c:pt>
                <c:pt idx="672">
                  <c:v>6/9/2022</c:v>
                </c:pt>
                <c:pt idx="673">
                  <c:v>6/10/2022</c:v>
                </c:pt>
                <c:pt idx="674">
                  <c:v>6/13/2022</c:v>
                </c:pt>
                <c:pt idx="675">
                  <c:v>6/14/2022</c:v>
                </c:pt>
                <c:pt idx="676">
                  <c:v>6/15/2022</c:v>
                </c:pt>
                <c:pt idx="677">
                  <c:v>6/16/2022</c:v>
                </c:pt>
                <c:pt idx="678">
                  <c:v>6/17/2022</c:v>
                </c:pt>
                <c:pt idx="679">
                  <c:v>6/21/2022</c:v>
                </c:pt>
                <c:pt idx="680">
                  <c:v>6/22/2022</c:v>
                </c:pt>
                <c:pt idx="681">
                  <c:v>6/23/2022</c:v>
                </c:pt>
                <c:pt idx="682">
                  <c:v>6/24/2022</c:v>
                </c:pt>
                <c:pt idx="683">
                  <c:v>6/27/2022</c:v>
                </c:pt>
              </c:strCache>
            </c:strRef>
          </c:cat>
          <c:val>
            <c:numRef>
              <c:f>'Crude to Gas Correlation '!$B$4:$B$688</c:f>
              <c:numCache>
                <c:formatCode>"$"#,##0.00</c:formatCode>
                <c:ptCount val="684"/>
                <c:pt idx="0">
                  <c:v>52.66</c:v>
                </c:pt>
                <c:pt idx="1">
                  <c:v>53.32</c:v>
                </c:pt>
                <c:pt idx="2">
                  <c:v>54.09</c:v>
                </c:pt>
                <c:pt idx="3">
                  <c:v>53.41</c:v>
                </c:pt>
                <c:pt idx="4">
                  <c:v>52.97</c:v>
                </c:pt>
                <c:pt idx="5">
                  <c:v>53.26</c:v>
                </c:pt>
                <c:pt idx="6">
                  <c:v>53.54</c:v>
                </c:pt>
                <c:pt idx="7">
                  <c:v>53.47</c:v>
                </c:pt>
                <c:pt idx="8">
                  <c:v>53.32</c:v>
                </c:pt>
                <c:pt idx="9">
                  <c:v>53.65</c:v>
                </c:pt>
                <c:pt idx="10">
                  <c:v>54.11</c:v>
                </c:pt>
                <c:pt idx="11">
                  <c:v>54.18</c:v>
                </c:pt>
                <c:pt idx="12">
                  <c:v>54.27</c:v>
                </c:pt>
                <c:pt idx="13">
                  <c:v>54.12</c:v>
                </c:pt>
                <c:pt idx="14">
                  <c:v>54.09</c:v>
                </c:pt>
                <c:pt idx="15">
                  <c:v>54.04</c:v>
                </c:pt>
                <c:pt idx="16">
                  <c:v>54.01</c:v>
                </c:pt>
                <c:pt idx="17">
                  <c:v>56.22</c:v>
                </c:pt>
                <c:pt idx="18">
                  <c:v>56.54</c:v>
                </c:pt>
                <c:pt idx="19">
                  <c:v>57.16</c:v>
                </c:pt>
                <c:pt idx="20">
                  <c:v>56.41</c:v>
                </c:pt>
                <c:pt idx="21">
                  <c:v>57.04</c:v>
                </c:pt>
                <c:pt idx="22">
                  <c:v>57.11</c:v>
                </c:pt>
                <c:pt idx="23">
                  <c:v>56.85</c:v>
                </c:pt>
                <c:pt idx="24">
                  <c:v>56.81</c:v>
                </c:pt>
                <c:pt idx="25">
                  <c:v>57.01</c:v>
                </c:pt>
                <c:pt idx="26">
                  <c:v>56.83</c:v>
                </c:pt>
                <c:pt idx="27">
                  <c:v>57.31</c:v>
                </c:pt>
                <c:pt idx="28">
                  <c:v>57</c:v>
                </c:pt>
                <c:pt idx="29">
                  <c:v>56.28</c:v>
                </c:pt>
                <c:pt idx="30">
                  <c:v>56.87</c:v>
                </c:pt>
                <c:pt idx="31">
                  <c:v>57.34</c:v>
                </c:pt>
                <c:pt idx="32">
                  <c:v>57.14</c:v>
                </c:pt>
                <c:pt idx="33">
                  <c:v>57.19</c:v>
                </c:pt>
                <c:pt idx="34">
                  <c:v>57.25</c:v>
                </c:pt>
                <c:pt idx="35">
                  <c:v>57.22</c:v>
                </c:pt>
                <c:pt idx="36">
                  <c:v>57.07</c:v>
                </c:pt>
                <c:pt idx="37">
                  <c:v>55.94</c:v>
                </c:pt>
                <c:pt idx="38">
                  <c:v>56.07</c:v>
                </c:pt>
                <c:pt idx="39">
                  <c:v>58.17</c:v>
                </c:pt>
                <c:pt idx="40">
                  <c:v>58.17</c:v>
                </c:pt>
                <c:pt idx="41">
                  <c:v>58.79</c:v>
                </c:pt>
                <c:pt idx="42">
                  <c:v>58.65</c:v>
                </c:pt>
                <c:pt idx="43">
                  <c:v>58.81</c:v>
                </c:pt>
                <c:pt idx="44">
                  <c:v>58.49</c:v>
                </c:pt>
                <c:pt idx="45">
                  <c:v>58.74</c:v>
                </c:pt>
                <c:pt idx="46">
                  <c:v>59.26</c:v>
                </c:pt>
                <c:pt idx="47">
                  <c:v>59.34</c:v>
                </c:pt>
                <c:pt idx="48">
                  <c:v>59.69</c:v>
                </c:pt>
                <c:pt idx="49">
                  <c:v>59.68</c:v>
                </c:pt>
                <c:pt idx="50">
                  <c:v>59.81</c:v>
                </c:pt>
                <c:pt idx="51">
                  <c:v>59.56</c:v>
                </c:pt>
                <c:pt idx="52">
                  <c:v>59.58</c:v>
                </c:pt>
                <c:pt idx="53">
                  <c:v>59.72</c:v>
                </c:pt>
                <c:pt idx="54">
                  <c:v>59.83</c:v>
                </c:pt>
                <c:pt idx="55">
                  <c:v>59.84</c:v>
                </c:pt>
                <c:pt idx="56">
                  <c:v>59.83</c:v>
                </c:pt>
                <c:pt idx="57">
                  <c:v>59.8</c:v>
                </c:pt>
                <c:pt idx="58">
                  <c:v>61.09</c:v>
                </c:pt>
                <c:pt idx="59">
                  <c:v>62.52</c:v>
                </c:pt>
                <c:pt idx="60">
                  <c:v>61.98</c:v>
                </c:pt>
                <c:pt idx="61">
                  <c:v>60.67</c:v>
                </c:pt>
                <c:pt idx="62">
                  <c:v>60.11</c:v>
                </c:pt>
                <c:pt idx="63">
                  <c:v>58.8</c:v>
                </c:pt>
                <c:pt idx="64">
                  <c:v>58.94</c:v>
                </c:pt>
                <c:pt idx="65">
                  <c:v>55.53</c:v>
                </c:pt>
                <c:pt idx="66">
                  <c:v>54.68</c:v>
                </c:pt>
                <c:pt idx="67">
                  <c:v>55.01</c:v>
                </c:pt>
                <c:pt idx="68">
                  <c:v>55.74</c:v>
                </c:pt>
                <c:pt idx="69">
                  <c:v>55.13</c:v>
                </c:pt>
                <c:pt idx="70">
                  <c:v>54.21</c:v>
                </c:pt>
                <c:pt idx="71">
                  <c:v>54.2</c:v>
                </c:pt>
                <c:pt idx="72">
                  <c:v>55.59</c:v>
                </c:pt>
                <c:pt idx="73">
                  <c:v>55.9</c:v>
                </c:pt>
                <c:pt idx="74">
                  <c:v>56.77</c:v>
                </c:pt>
                <c:pt idx="75">
                  <c:v>57.28</c:v>
                </c:pt>
                <c:pt idx="76">
                  <c:v>56.72</c:v>
                </c:pt>
                <c:pt idx="77">
                  <c:v>57.56</c:v>
                </c:pt>
                <c:pt idx="78">
                  <c:v>57.53</c:v>
                </c:pt>
                <c:pt idx="79">
                  <c:v>50.16</c:v>
                </c:pt>
                <c:pt idx="80">
                  <c:v>49.7</c:v>
                </c:pt>
                <c:pt idx="81">
                  <c:v>50.71</c:v>
                </c:pt>
                <c:pt idx="82">
                  <c:v>50.88</c:v>
                </c:pt>
                <c:pt idx="83">
                  <c:v>50.4</c:v>
                </c:pt>
                <c:pt idx="84">
                  <c:v>49.84</c:v>
                </c:pt>
                <c:pt idx="85">
                  <c:v>50.1</c:v>
                </c:pt>
                <c:pt idx="86">
                  <c:v>50.88</c:v>
                </c:pt>
                <c:pt idx="87">
                  <c:v>51.03</c:v>
                </c:pt>
                <c:pt idx="88">
                  <c:v>51.37</c:v>
                </c:pt>
                <c:pt idx="89">
                  <c:v>48.35</c:v>
                </c:pt>
                <c:pt idx="90">
                  <c:v>34.72</c:v>
                </c:pt>
                <c:pt idx="91">
                  <c:v>35.729999999999997</c:v>
                </c:pt>
                <c:pt idx="92">
                  <c:v>35.56</c:v>
                </c:pt>
                <c:pt idx="93">
                  <c:v>33.270000000000003</c:v>
                </c:pt>
                <c:pt idx="94">
                  <c:v>34.14</c:v>
                </c:pt>
                <c:pt idx="95">
                  <c:v>30.63</c:v>
                </c:pt>
                <c:pt idx="96">
                  <c:v>30.36</c:v>
                </c:pt>
                <c:pt idx="97">
                  <c:v>27.31</c:v>
                </c:pt>
                <c:pt idx="98">
                  <c:v>26.73</c:v>
                </c:pt>
                <c:pt idx="99">
                  <c:v>28.57</c:v>
                </c:pt>
                <c:pt idx="100">
                  <c:v>24.72</c:v>
                </c:pt>
                <c:pt idx="101">
                  <c:v>26.53</c:v>
                </c:pt>
                <c:pt idx="102">
                  <c:v>26.94</c:v>
                </c:pt>
                <c:pt idx="103">
                  <c:v>26.04</c:v>
                </c:pt>
                <c:pt idx="104">
                  <c:v>24.26</c:v>
                </c:pt>
                <c:pt idx="105">
                  <c:v>21.66</c:v>
                </c:pt>
                <c:pt idx="106">
                  <c:v>22.61</c:v>
                </c:pt>
                <c:pt idx="107">
                  <c:v>16.850000000000001</c:v>
                </c:pt>
                <c:pt idx="108">
                  <c:v>18.91</c:v>
                </c:pt>
                <c:pt idx="109">
                  <c:v>23.01</c:v>
                </c:pt>
                <c:pt idx="110">
                  <c:v>23.48</c:v>
                </c:pt>
                <c:pt idx="111">
                  <c:v>22.67</c:v>
                </c:pt>
                <c:pt idx="112">
                  <c:v>21.19</c:v>
                </c:pt>
                <c:pt idx="113">
                  <c:v>21.77</c:v>
                </c:pt>
                <c:pt idx="114">
                  <c:v>21.18</c:v>
                </c:pt>
                <c:pt idx="115">
                  <c:v>19.7</c:v>
                </c:pt>
                <c:pt idx="116">
                  <c:v>17.510000000000002</c:v>
                </c:pt>
                <c:pt idx="117">
                  <c:v>17.73</c:v>
                </c:pt>
                <c:pt idx="118">
                  <c:v>18.170000000000002</c:v>
                </c:pt>
                <c:pt idx="119">
                  <c:v>14.19</c:v>
                </c:pt>
                <c:pt idx="120">
                  <c:v>14.63</c:v>
                </c:pt>
                <c:pt idx="121">
                  <c:v>12.22</c:v>
                </c:pt>
                <c:pt idx="122">
                  <c:v>15.23</c:v>
                </c:pt>
                <c:pt idx="123">
                  <c:v>14.31</c:v>
                </c:pt>
                <c:pt idx="124">
                  <c:v>13.3</c:v>
                </c:pt>
                <c:pt idx="125">
                  <c:v>12.41</c:v>
                </c:pt>
                <c:pt idx="126">
                  <c:v>14.36</c:v>
                </c:pt>
                <c:pt idx="127">
                  <c:v>18.05</c:v>
                </c:pt>
                <c:pt idx="128">
                  <c:v>16.52</c:v>
                </c:pt>
                <c:pt idx="129">
                  <c:v>18.36</c:v>
                </c:pt>
                <c:pt idx="130">
                  <c:v>21.43</c:v>
                </c:pt>
                <c:pt idx="131">
                  <c:v>22.4</c:v>
                </c:pt>
                <c:pt idx="132">
                  <c:v>16.18</c:v>
                </c:pt>
                <c:pt idx="133">
                  <c:v>15.5</c:v>
                </c:pt>
                <c:pt idx="134">
                  <c:v>16.23</c:v>
                </c:pt>
                <c:pt idx="135">
                  <c:v>17.010000000000002</c:v>
                </c:pt>
                <c:pt idx="136">
                  <c:v>17.12</c:v>
                </c:pt>
                <c:pt idx="137">
                  <c:v>16.32</c:v>
                </c:pt>
                <c:pt idx="138">
                  <c:v>16.260000000000002</c:v>
                </c:pt>
                <c:pt idx="139">
                  <c:v>16.52</c:v>
                </c:pt>
                <c:pt idx="140">
                  <c:v>16.7</c:v>
                </c:pt>
                <c:pt idx="141">
                  <c:v>20.66</c:v>
                </c:pt>
                <c:pt idx="142">
                  <c:v>21.2</c:v>
                </c:pt>
                <c:pt idx="143">
                  <c:v>24.79</c:v>
                </c:pt>
                <c:pt idx="144">
                  <c:v>24.2</c:v>
                </c:pt>
                <c:pt idx="145">
                  <c:v>23.72</c:v>
                </c:pt>
                <c:pt idx="146">
                  <c:v>24.67</c:v>
                </c:pt>
                <c:pt idx="147">
                  <c:v>24.08</c:v>
                </c:pt>
                <c:pt idx="148">
                  <c:v>25.01</c:v>
                </c:pt>
                <c:pt idx="149">
                  <c:v>24.66</c:v>
                </c:pt>
                <c:pt idx="150">
                  <c:v>25.88</c:v>
                </c:pt>
                <c:pt idx="151">
                  <c:v>26.74</c:v>
                </c:pt>
                <c:pt idx="152">
                  <c:v>27.72</c:v>
                </c:pt>
                <c:pt idx="153">
                  <c:v>27.86</c:v>
                </c:pt>
                <c:pt idx="154">
                  <c:v>28.4</c:v>
                </c:pt>
                <c:pt idx="155">
                  <c:v>28.53</c:v>
                </c:pt>
                <c:pt idx="156">
                  <c:v>28.36</c:v>
                </c:pt>
                <c:pt idx="157">
                  <c:v>28.58</c:v>
                </c:pt>
                <c:pt idx="158">
                  <c:v>28.35</c:v>
                </c:pt>
                <c:pt idx="159">
                  <c:v>28.44</c:v>
                </c:pt>
                <c:pt idx="160">
                  <c:v>28.53</c:v>
                </c:pt>
                <c:pt idx="161">
                  <c:v>35.54</c:v>
                </c:pt>
                <c:pt idx="162">
                  <c:v>36.82</c:v>
                </c:pt>
                <c:pt idx="163">
                  <c:v>37.270000000000003</c:v>
                </c:pt>
                <c:pt idx="164">
                  <c:v>37.369999999999997</c:v>
                </c:pt>
                <c:pt idx="165">
                  <c:v>38.17</c:v>
                </c:pt>
                <c:pt idx="166">
                  <c:v>37.18</c:v>
                </c:pt>
                <c:pt idx="167">
                  <c:v>37.99</c:v>
                </c:pt>
                <c:pt idx="168">
                  <c:v>37.340000000000003</c:v>
                </c:pt>
                <c:pt idx="169">
                  <c:v>36.97</c:v>
                </c:pt>
                <c:pt idx="170">
                  <c:v>36.93</c:v>
                </c:pt>
                <c:pt idx="171">
                  <c:v>37.42</c:v>
                </c:pt>
                <c:pt idx="172">
                  <c:v>38.03</c:v>
                </c:pt>
                <c:pt idx="173">
                  <c:v>37.840000000000003</c:v>
                </c:pt>
                <c:pt idx="174">
                  <c:v>38.19</c:v>
                </c:pt>
                <c:pt idx="175">
                  <c:v>38.479999999999997</c:v>
                </c:pt>
                <c:pt idx="176">
                  <c:v>38.76</c:v>
                </c:pt>
                <c:pt idx="177">
                  <c:v>38.659999999999997</c:v>
                </c:pt>
                <c:pt idx="178">
                  <c:v>38.130000000000003</c:v>
                </c:pt>
                <c:pt idx="179">
                  <c:v>38.25</c:v>
                </c:pt>
                <c:pt idx="180">
                  <c:v>38.22</c:v>
                </c:pt>
                <c:pt idx="181">
                  <c:v>38.33</c:v>
                </c:pt>
                <c:pt idx="182">
                  <c:v>38.31</c:v>
                </c:pt>
                <c:pt idx="183">
                  <c:v>39.86</c:v>
                </c:pt>
                <c:pt idx="184">
                  <c:v>40.65</c:v>
                </c:pt>
                <c:pt idx="185">
                  <c:v>40.630000000000003</c:v>
                </c:pt>
                <c:pt idx="186">
                  <c:v>40.61</c:v>
                </c:pt>
                <c:pt idx="187">
                  <c:v>40.869999999999997</c:v>
                </c:pt>
                <c:pt idx="188">
                  <c:v>39.9</c:v>
                </c:pt>
                <c:pt idx="189">
                  <c:v>40.58</c:v>
                </c:pt>
                <c:pt idx="190">
                  <c:v>40.28</c:v>
                </c:pt>
                <c:pt idx="191">
                  <c:v>40.409999999999997</c:v>
                </c:pt>
                <c:pt idx="192">
                  <c:v>40.93</c:v>
                </c:pt>
                <c:pt idx="193">
                  <c:v>40.67</c:v>
                </c:pt>
                <c:pt idx="194">
                  <c:v>40.590000000000003</c:v>
                </c:pt>
                <c:pt idx="195">
                  <c:v>40.67</c:v>
                </c:pt>
                <c:pt idx="196">
                  <c:v>41.08</c:v>
                </c:pt>
                <c:pt idx="197">
                  <c:v>41.08</c:v>
                </c:pt>
                <c:pt idx="198">
                  <c:v>40.81</c:v>
                </c:pt>
                <c:pt idx="199">
                  <c:v>40.869999999999997</c:v>
                </c:pt>
                <c:pt idx="200">
                  <c:v>40.94</c:v>
                </c:pt>
                <c:pt idx="201">
                  <c:v>40.840000000000003</c:v>
                </c:pt>
                <c:pt idx="202">
                  <c:v>40.869999999999997</c:v>
                </c:pt>
                <c:pt idx="203">
                  <c:v>40.75</c:v>
                </c:pt>
                <c:pt idx="204">
                  <c:v>40.770000000000003</c:v>
                </c:pt>
                <c:pt idx="205">
                  <c:v>41.11</c:v>
                </c:pt>
                <c:pt idx="206">
                  <c:v>41.74</c:v>
                </c:pt>
                <c:pt idx="207">
                  <c:v>42.19</c:v>
                </c:pt>
                <c:pt idx="208">
                  <c:v>41.99</c:v>
                </c:pt>
                <c:pt idx="209">
                  <c:v>41.4</c:v>
                </c:pt>
                <c:pt idx="210">
                  <c:v>41.94</c:v>
                </c:pt>
                <c:pt idx="211">
                  <c:v>41.71</c:v>
                </c:pt>
                <c:pt idx="212">
                  <c:v>42.43</c:v>
                </c:pt>
                <c:pt idx="213">
                  <c:v>42.16</c:v>
                </c:pt>
                <c:pt idx="214">
                  <c:v>42.04</c:v>
                </c:pt>
                <c:pt idx="215">
                  <c:v>42.49</c:v>
                </c:pt>
                <c:pt idx="216">
                  <c:v>42.47</c:v>
                </c:pt>
                <c:pt idx="217">
                  <c:v>42.47</c:v>
                </c:pt>
                <c:pt idx="218">
                  <c:v>41.64</c:v>
                </c:pt>
                <c:pt idx="219">
                  <c:v>40.29</c:v>
                </c:pt>
                <c:pt idx="220">
                  <c:v>39.82</c:v>
                </c:pt>
                <c:pt idx="221">
                  <c:v>39.83</c:v>
                </c:pt>
                <c:pt idx="222">
                  <c:v>39.369999999999997</c:v>
                </c:pt>
                <c:pt idx="223">
                  <c:v>38.96</c:v>
                </c:pt>
                <c:pt idx="224">
                  <c:v>39.35</c:v>
                </c:pt>
                <c:pt idx="225">
                  <c:v>41.29</c:v>
                </c:pt>
                <c:pt idx="226">
                  <c:v>42.07</c:v>
                </c:pt>
                <c:pt idx="227">
                  <c:v>41.67</c:v>
                </c:pt>
                <c:pt idx="228">
                  <c:v>41.49</c:v>
                </c:pt>
                <c:pt idx="229">
                  <c:v>40.18</c:v>
                </c:pt>
                <c:pt idx="230">
                  <c:v>37.76</c:v>
                </c:pt>
                <c:pt idx="231">
                  <c:v>38.72</c:v>
                </c:pt>
                <c:pt idx="232">
                  <c:v>38.18</c:v>
                </c:pt>
                <c:pt idx="233">
                  <c:v>38.19</c:v>
                </c:pt>
                <c:pt idx="234">
                  <c:v>38.14</c:v>
                </c:pt>
                <c:pt idx="235">
                  <c:v>38.72</c:v>
                </c:pt>
                <c:pt idx="236">
                  <c:v>39.700000000000003</c:v>
                </c:pt>
                <c:pt idx="237">
                  <c:v>38.090000000000003</c:v>
                </c:pt>
                <c:pt idx="238">
                  <c:v>39.07</c:v>
                </c:pt>
                <c:pt idx="239">
                  <c:v>39.450000000000003</c:v>
                </c:pt>
                <c:pt idx="240">
                  <c:v>39.54</c:v>
                </c:pt>
                <c:pt idx="241">
                  <c:v>39.58</c:v>
                </c:pt>
                <c:pt idx="242">
                  <c:v>39.67</c:v>
                </c:pt>
                <c:pt idx="243">
                  <c:v>39.659999999999997</c:v>
                </c:pt>
                <c:pt idx="244">
                  <c:v>39.71</c:v>
                </c:pt>
                <c:pt idx="245">
                  <c:v>39.58</c:v>
                </c:pt>
                <c:pt idx="246">
                  <c:v>39.630000000000003</c:v>
                </c:pt>
                <c:pt idx="247">
                  <c:v>38.83</c:v>
                </c:pt>
                <c:pt idx="248">
                  <c:v>37.229999999999997</c:v>
                </c:pt>
                <c:pt idx="249">
                  <c:v>39.200000000000003</c:v>
                </c:pt>
                <c:pt idx="250">
                  <c:v>40.450000000000003</c:v>
                </c:pt>
                <c:pt idx="251">
                  <c:v>39.86</c:v>
                </c:pt>
                <c:pt idx="252">
                  <c:v>40.82</c:v>
                </c:pt>
                <c:pt idx="253">
                  <c:v>39.22</c:v>
                </c:pt>
                <c:pt idx="254">
                  <c:v>39.53</c:v>
                </c:pt>
                <c:pt idx="255">
                  <c:v>38.42</c:v>
                </c:pt>
                <c:pt idx="256">
                  <c:v>37.119999999999997</c:v>
                </c:pt>
                <c:pt idx="257">
                  <c:v>36.5</c:v>
                </c:pt>
                <c:pt idx="258">
                  <c:v>35.89</c:v>
                </c:pt>
                <c:pt idx="259">
                  <c:v>38.44</c:v>
                </c:pt>
                <c:pt idx="260">
                  <c:v>39.090000000000003</c:v>
                </c:pt>
                <c:pt idx="261">
                  <c:v>39.79</c:v>
                </c:pt>
                <c:pt idx="262">
                  <c:v>39.22</c:v>
                </c:pt>
                <c:pt idx="263">
                  <c:v>39.97</c:v>
                </c:pt>
                <c:pt idx="264">
                  <c:v>39.799999999999997</c:v>
                </c:pt>
                <c:pt idx="265">
                  <c:v>39.979999999999997</c:v>
                </c:pt>
                <c:pt idx="266">
                  <c:v>39.119999999999997</c:v>
                </c:pt>
                <c:pt idx="267">
                  <c:v>37.65</c:v>
                </c:pt>
                <c:pt idx="268">
                  <c:v>37.46</c:v>
                </c:pt>
                <c:pt idx="269">
                  <c:v>36.9</c:v>
                </c:pt>
                <c:pt idx="270">
                  <c:v>37.700000000000003</c:v>
                </c:pt>
                <c:pt idx="271">
                  <c:v>39.04</c:v>
                </c:pt>
                <c:pt idx="272">
                  <c:v>38.729999999999997</c:v>
                </c:pt>
                <c:pt idx="273">
                  <c:v>37.42</c:v>
                </c:pt>
                <c:pt idx="274">
                  <c:v>39.78</c:v>
                </c:pt>
                <c:pt idx="275">
                  <c:v>40.520000000000003</c:v>
                </c:pt>
                <c:pt idx="276">
                  <c:v>40.58</c:v>
                </c:pt>
                <c:pt idx="277">
                  <c:v>40.380000000000003</c:v>
                </c:pt>
                <c:pt idx="278">
                  <c:v>39.83</c:v>
                </c:pt>
                <c:pt idx="279">
                  <c:v>40.42</c:v>
                </c:pt>
                <c:pt idx="280">
                  <c:v>40.46</c:v>
                </c:pt>
                <c:pt idx="281">
                  <c:v>40.61</c:v>
                </c:pt>
                <c:pt idx="282">
                  <c:v>40.57</c:v>
                </c:pt>
                <c:pt idx="283">
                  <c:v>40.72</c:v>
                </c:pt>
                <c:pt idx="284">
                  <c:v>40.880000000000003</c:v>
                </c:pt>
                <c:pt idx="285">
                  <c:v>41.25</c:v>
                </c:pt>
                <c:pt idx="286">
                  <c:v>41.37</c:v>
                </c:pt>
                <c:pt idx="287">
                  <c:v>41.36</c:v>
                </c:pt>
                <c:pt idx="288">
                  <c:v>41.35</c:v>
                </c:pt>
                <c:pt idx="289">
                  <c:v>44.61</c:v>
                </c:pt>
                <c:pt idx="290">
                  <c:v>45.3</c:v>
                </c:pt>
                <c:pt idx="291">
                  <c:v>45.62</c:v>
                </c:pt>
                <c:pt idx="292">
                  <c:v>46.16</c:v>
                </c:pt>
                <c:pt idx="293">
                  <c:v>45.76</c:v>
                </c:pt>
                <c:pt idx="294">
                  <c:v>45.64</c:v>
                </c:pt>
                <c:pt idx="295">
                  <c:v>45.58</c:v>
                </c:pt>
                <c:pt idx="296">
                  <c:v>46.44</c:v>
                </c:pt>
                <c:pt idx="297">
                  <c:v>46.3</c:v>
                </c:pt>
                <c:pt idx="298">
                  <c:v>46.54</c:v>
                </c:pt>
                <c:pt idx="299">
                  <c:v>46.89</c:v>
                </c:pt>
                <c:pt idx="300">
                  <c:v>46.99</c:v>
                </c:pt>
                <c:pt idx="301">
                  <c:v>47.24</c:v>
                </c:pt>
                <c:pt idx="302">
                  <c:v>47.53</c:v>
                </c:pt>
                <c:pt idx="303">
                  <c:v>47.06</c:v>
                </c:pt>
                <c:pt idx="304">
                  <c:v>46.76</c:v>
                </c:pt>
                <c:pt idx="305">
                  <c:v>47.06</c:v>
                </c:pt>
                <c:pt idx="306">
                  <c:v>47.09</c:v>
                </c:pt>
                <c:pt idx="307">
                  <c:v>46.97</c:v>
                </c:pt>
                <c:pt idx="308">
                  <c:v>47.03</c:v>
                </c:pt>
                <c:pt idx="309">
                  <c:v>47.06</c:v>
                </c:pt>
                <c:pt idx="310">
                  <c:v>47.07</c:v>
                </c:pt>
                <c:pt idx="311">
                  <c:v>47.67</c:v>
                </c:pt>
                <c:pt idx="312">
                  <c:v>49.84</c:v>
                </c:pt>
                <c:pt idx="313">
                  <c:v>50.46</c:v>
                </c:pt>
                <c:pt idx="314">
                  <c:v>50.62</c:v>
                </c:pt>
                <c:pt idx="315">
                  <c:v>51.72</c:v>
                </c:pt>
                <c:pt idx="316">
                  <c:v>51.73</c:v>
                </c:pt>
                <c:pt idx="317">
                  <c:v>52.39</c:v>
                </c:pt>
                <c:pt idx="318">
                  <c:v>52.21</c:v>
                </c:pt>
                <c:pt idx="319">
                  <c:v>52.59</c:v>
                </c:pt>
                <c:pt idx="320">
                  <c:v>51.96</c:v>
                </c:pt>
                <c:pt idx="321">
                  <c:v>45.13</c:v>
                </c:pt>
                <c:pt idx="322">
                  <c:v>52.37</c:v>
                </c:pt>
                <c:pt idx="323">
                  <c:v>52.3</c:v>
                </c:pt>
                <c:pt idx="324">
                  <c:v>52.03</c:v>
                </c:pt>
                <c:pt idx="325">
                  <c:v>52.16</c:v>
                </c:pt>
                <c:pt idx="326">
                  <c:v>52.13</c:v>
                </c:pt>
                <c:pt idx="327">
                  <c:v>52.16</c:v>
                </c:pt>
                <c:pt idx="328">
                  <c:v>52.11</c:v>
                </c:pt>
                <c:pt idx="329">
                  <c:v>52.1</c:v>
                </c:pt>
                <c:pt idx="330">
                  <c:v>53.52</c:v>
                </c:pt>
                <c:pt idx="331">
                  <c:v>54.67</c:v>
                </c:pt>
                <c:pt idx="332">
                  <c:v>55.5</c:v>
                </c:pt>
                <c:pt idx="333">
                  <c:v>55.95</c:v>
                </c:pt>
                <c:pt idx="334">
                  <c:v>56.44</c:v>
                </c:pt>
                <c:pt idx="335">
                  <c:v>57.27</c:v>
                </c:pt>
                <c:pt idx="336">
                  <c:v>57.54</c:v>
                </c:pt>
                <c:pt idx="337">
                  <c:v>57.74</c:v>
                </c:pt>
                <c:pt idx="338">
                  <c:v>57.49</c:v>
                </c:pt>
                <c:pt idx="339">
                  <c:v>58.14</c:v>
                </c:pt>
                <c:pt idx="340">
                  <c:v>58.44</c:v>
                </c:pt>
                <c:pt idx="341">
                  <c:v>50.94</c:v>
                </c:pt>
                <c:pt idx="342">
                  <c:v>58.67</c:v>
                </c:pt>
                <c:pt idx="343">
                  <c:v>58.26</c:v>
                </c:pt>
                <c:pt idx="344">
                  <c:v>58.9</c:v>
                </c:pt>
                <c:pt idx="345">
                  <c:v>58.89</c:v>
                </c:pt>
                <c:pt idx="346">
                  <c:v>59.14</c:v>
                </c:pt>
                <c:pt idx="347">
                  <c:v>59.17</c:v>
                </c:pt>
                <c:pt idx="348">
                  <c:v>59.06</c:v>
                </c:pt>
                <c:pt idx="349">
                  <c:v>60.57</c:v>
                </c:pt>
                <c:pt idx="350">
                  <c:v>59.73</c:v>
                </c:pt>
                <c:pt idx="351">
                  <c:v>61.13</c:v>
                </c:pt>
                <c:pt idx="352">
                  <c:v>63.34</c:v>
                </c:pt>
                <c:pt idx="353">
                  <c:v>65.22</c:v>
                </c:pt>
                <c:pt idx="354">
                  <c:v>64.42</c:v>
                </c:pt>
                <c:pt idx="355">
                  <c:v>62.47</c:v>
                </c:pt>
                <c:pt idx="356">
                  <c:v>63.22</c:v>
                </c:pt>
                <c:pt idx="357">
                  <c:v>62.27</c:v>
                </c:pt>
                <c:pt idx="358">
                  <c:v>61.61</c:v>
                </c:pt>
                <c:pt idx="359">
                  <c:v>61.63</c:v>
                </c:pt>
                <c:pt idx="360">
                  <c:v>62.56</c:v>
                </c:pt>
                <c:pt idx="361">
                  <c:v>62.86</c:v>
                </c:pt>
                <c:pt idx="362">
                  <c:v>62.26</c:v>
                </c:pt>
                <c:pt idx="363">
                  <c:v>62.8</c:v>
                </c:pt>
                <c:pt idx="364">
                  <c:v>50.51</c:v>
                </c:pt>
                <c:pt idx="365">
                  <c:v>60.79</c:v>
                </c:pt>
                <c:pt idx="366">
                  <c:v>61.31</c:v>
                </c:pt>
                <c:pt idx="367">
                  <c:v>60.67</c:v>
                </c:pt>
                <c:pt idx="368">
                  <c:v>61.2</c:v>
                </c:pt>
                <c:pt idx="369">
                  <c:v>61.12</c:v>
                </c:pt>
                <c:pt idx="370">
                  <c:v>61.44</c:v>
                </c:pt>
                <c:pt idx="371">
                  <c:v>61.85</c:v>
                </c:pt>
                <c:pt idx="372">
                  <c:v>61.46</c:v>
                </c:pt>
                <c:pt idx="373">
                  <c:v>58.79</c:v>
                </c:pt>
                <c:pt idx="374">
                  <c:v>59.41</c:v>
                </c:pt>
                <c:pt idx="375">
                  <c:v>59.79</c:v>
                </c:pt>
                <c:pt idx="376">
                  <c:v>59.65</c:v>
                </c:pt>
                <c:pt idx="377">
                  <c:v>59.44</c:v>
                </c:pt>
                <c:pt idx="378">
                  <c:v>59.72</c:v>
                </c:pt>
                <c:pt idx="379">
                  <c:v>60.04</c:v>
                </c:pt>
                <c:pt idx="380">
                  <c:v>61.88</c:v>
                </c:pt>
                <c:pt idx="381">
                  <c:v>62.05</c:v>
                </c:pt>
                <c:pt idx="382">
                  <c:v>61.88</c:v>
                </c:pt>
                <c:pt idx="383">
                  <c:v>62</c:v>
                </c:pt>
                <c:pt idx="384">
                  <c:v>61.66</c:v>
                </c:pt>
                <c:pt idx="385">
                  <c:v>54.78</c:v>
                </c:pt>
                <c:pt idx="386">
                  <c:v>61.19</c:v>
                </c:pt>
                <c:pt idx="387">
                  <c:v>61.39</c:v>
                </c:pt>
                <c:pt idx="388">
                  <c:v>61.33</c:v>
                </c:pt>
                <c:pt idx="389">
                  <c:v>61.53</c:v>
                </c:pt>
                <c:pt idx="390">
                  <c:v>61.66</c:v>
                </c:pt>
                <c:pt idx="391">
                  <c:v>61.77</c:v>
                </c:pt>
                <c:pt idx="392">
                  <c:v>61.7</c:v>
                </c:pt>
                <c:pt idx="393">
                  <c:v>64.47</c:v>
                </c:pt>
                <c:pt idx="394">
                  <c:v>65.61</c:v>
                </c:pt>
                <c:pt idx="395">
                  <c:v>65.56</c:v>
                </c:pt>
                <c:pt idx="396">
                  <c:v>64.78</c:v>
                </c:pt>
                <c:pt idx="397">
                  <c:v>64.94</c:v>
                </c:pt>
                <c:pt idx="398">
                  <c:v>64.959999999999994</c:v>
                </c:pt>
                <c:pt idx="399">
                  <c:v>64.180000000000007</c:v>
                </c:pt>
                <c:pt idx="400">
                  <c:v>65.739999999999995</c:v>
                </c:pt>
                <c:pt idx="401">
                  <c:v>64.38</c:v>
                </c:pt>
                <c:pt idx="402">
                  <c:v>65.23</c:v>
                </c:pt>
                <c:pt idx="403">
                  <c:v>65.680000000000007</c:v>
                </c:pt>
                <c:pt idx="404">
                  <c:v>65.33</c:v>
                </c:pt>
                <c:pt idx="405">
                  <c:v>64.47</c:v>
                </c:pt>
                <c:pt idx="406">
                  <c:v>58.46</c:v>
                </c:pt>
                <c:pt idx="407">
                  <c:v>64.48</c:v>
                </c:pt>
                <c:pt idx="408">
                  <c:v>65.09</c:v>
                </c:pt>
                <c:pt idx="409">
                  <c:v>65.099999999999994</c:v>
                </c:pt>
                <c:pt idx="410">
                  <c:v>65.12</c:v>
                </c:pt>
                <c:pt idx="411">
                  <c:v>65.180000000000007</c:v>
                </c:pt>
                <c:pt idx="412">
                  <c:v>65.16</c:v>
                </c:pt>
                <c:pt idx="413">
                  <c:v>67.67</c:v>
                </c:pt>
                <c:pt idx="414">
                  <c:v>68.73</c:v>
                </c:pt>
                <c:pt idx="415">
                  <c:v>68.7</c:v>
                </c:pt>
                <c:pt idx="416">
                  <c:v>69.400000000000006</c:v>
                </c:pt>
                <c:pt idx="417">
                  <c:v>69.09</c:v>
                </c:pt>
                <c:pt idx="418">
                  <c:v>69.73</c:v>
                </c:pt>
                <c:pt idx="419">
                  <c:v>69.66</c:v>
                </c:pt>
                <c:pt idx="420">
                  <c:v>69.88</c:v>
                </c:pt>
                <c:pt idx="421">
                  <c:v>70.25</c:v>
                </c:pt>
                <c:pt idx="422">
                  <c:v>70.239999999999995</c:v>
                </c:pt>
                <c:pt idx="423">
                  <c:v>70.92</c:v>
                </c:pt>
                <c:pt idx="424">
                  <c:v>70.95</c:v>
                </c:pt>
                <c:pt idx="425">
                  <c:v>70.430000000000007</c:v>
                </c:pt>
                <c:pt idx="426">
                  <c:v>70.650000000000006</c:v>
                </c:pt>
                <c:pt idx="427">
                  <c:v>71.33</c:v>
                </c:pt>
                <c:pt idx="428">
                  <c:v>58.46</c:v>
                </c:pt>
                <c:pt idx="429">
                  <c:v>71.290000000000006</c:v>
                </c:pt>
                <c:pt idx="430">
                  <c:v>71.34</c:v>
                </c:pt>
                <c:pt idx="431">
                  <c:v>71.48</c:v>
                </c:pt>
                <c:pt idx="432">
                  <c:v>71.319999999999993</c:v>
                </c:pt>
                <c:pt idx="433">
                  <c:v>71.33</c:v>
                </c:pt>
                <c:pt idx="434">
                  <c:v>71.349999999999994</c:v>
                </c:pt>
                <c:pt idx="435">
                  <c:v>74.33</c:v>
                </c:pt>
                <c:pt idx="436">
                  <c:v>74.86</c:v>
                </c:pt>
                <c:pt idx="437">
                  <c:v>73.239999999999995</c:v>
                </c:pt>
                <c:pt idx="438">
                  <c:v>72.27</c:v>
                </c:pt>
                <c:pt idx="439">
                  <c:v>72.84</c:v>
                </c:pt>
                <c:pt idx="440">
                  <c:v>70.540000000000006</c:v>
                </c:pt>
                <c:pt idx="441">
                  <c:v>70.5</c:v>
                </c:pt>
                <c:pt idx="442">
                  <c:v>69.930000000000007</c:v>
                </c:pt>
                <c:pt idx="443">
                  <c:v>72.09</c:v>
                </c:pt>
                <c:pt idx="444">
                  <c:v>72.55</c:v>
                </c:pt>
                <c:pt idx="445">
                  <c:v>72.64</c:v>
                </c:pt>
                <c:pt idx="446">
                  <c:v>68.62</c:v>
                </c:pt>
                <c:pt idx="447">
                  <c:v>69.349999999999994</c:v>
                </c:pt>
                <c:pt idx="448">
                  <c:v>71.7</c:v>
                </c:pt>
                <c:pt idx="449">
                  <c:v>72.23</c:v>
                </c:pt>
                <c:pt idx="450">
                  <c:v>54.47</c:v>
                </c:pt>
                <c:pt idx="451">
                  <c:v>72.239999999999995</c:v>
                </c:pt>
                <c:pt idx="452">
                  <c:v>71.83</c:v>
                </c:pt>
                <c:pt idx="453">
                  <c:v>70.34</c:v>
                </c:pt>
                <c:pt idx="454">
                  <c:v>71.3</c:v>
                </c:pt>
                <c:pt idx="455">
                  <c:v>70.66</c:v>
                </c:pt>
                <c:pt idx="456">
                  <c:v>70.13</c:v>
                </c:pt>
                <c:pt idx="457">
                  <c:v>70.42</c:v>
                </c:pt>
                <c:pt idx="458">
                  <c:v>68.290000000000006</c:v>
                </c:pt>
                <c:pt idx="459">
                  <c:v>69.099999999999994</c:v>
                </c:pt>
                <c:pt idx="460">
                  <c:v>68.489999999999995</c:v>
                </c:pt>
                <c:pt idx="461">
                  <c:v>67.099999999999994</c:v>
                </c:pt>
                <c:pt idx="462">
                  <c:v>68.400000000000006</c:v>
                </c:pt>
                <c:pt idx="463">
                  <c:v>66.08</c:v>
                </c:pt>
                <c:pt idx="464">
                  <c:v>66.13</c:v>
                </c:pt>
                <c:pt idx="465">
                  <c:v>67.33</c:v>
                </c:pt>
                <c:pt idx="466">
                  <c:v>67.94</c:v>
                </c:pt>
                <c:pt idx="467">
                  <c:v>67.59</c:v>
                </c:pt>
                <c:pt idx="468">
                  <c:v>67.069999999999993</c:v>
                </c:pt>
                <c:pt idx="469">
                  <c:v>66.37</c:v>
                </c:pt>
                <c:pt idx="470">
                  <c:v>65.180000000000007</c:v>
                </c:pt>
                <c:pt idx="471">
                  <c:v>66.989999999999995</c:v>
                </c:pt>
                <c:pt idx="472">
                  <c:v>58.02</c:v>
                </c:pt>
                <c:pt idx="473">
                  <c:v>67.69</c:v>
                </c:pt>
                <c:pt idx="474">
                  <c:v>67.52</c:v>
                </c:pt>
                <c:pt idx="475">
                  <c:v>67.7</c:v>
                </c:pt>
                <c:pt idx="476">
                  <c:v>67.739999999999995</c:v>
                </c:pt>
                <c:pt idx="477">
                  <c:v>67.709999999999994</c:v>
                </c:pt>
                <c:pt idx="478">
                  <c:v>68.5</c:v>
                </c:pt>
                <c:pt idx="479">
                  <c:v>69.84</c:v>
                </c:pt>
                <c:pt idx="480">
                  <c:v>69.22</c:v>
                </c:pt>
                <c:pt idx="481">
                  <c:v>68.41</c:v>
                </c:pt>
                <c:pt idx="482">
                  <c:v>69.17</c:v>
                </c:pt>
                <c:pt idx="483">
                  <c:v>68.3</c:v>
                </c:pt>
                <c:pt idx="484">
                  <c:v>69.41</c:v>
                </c:pt>
                <c:pt idx="485">
                  <c:v>69.900000000000006</c:v>
                </c:pt>
                <c:pt idx="486">
                  <c:v>69.91</c:v>
                </c:pt>
                <c:pt idx="487">
                  <c:v>71.13</c:v>
                </c:pt>
                <c:pt idx="488">
                  <c:v>71.14</c:v>
                </c:pt>
                <c:pt idx="489">
                  <c:v>70.86</c:v>
                </c:pt>
                <c:pt idx="490">
                  <c:v>70.14</c:v>
                </c:pt>
                <c:pt idx="491">
                  <c:v>70.27</c:v>
                </c:pt>
                <c:pt idx="492">
                  <c:v>70.849999999999994</c:v>
                </c:pt>
                <c:pt idx="493">
                  <c:v>71.16</c:v>
                </c:pt>
                <c:pt idx="494">
                  <c:v>69.3</c:v>
                </c:pt>
                <c:pt idx="495">
                  <c:v>71.599999999999994</c:v>
                </c:pt>
                <c:pt idx="496">
                  <c:v>71.58</c:v>
                </c:pt>
                <c:pt idx="497">
                  <c:v>71.540000000000006</c:v>
                </c:pt>
                <c:pt idx="498">
                  <c:v>71.13</c:v>
                </c:pt>
                <c:pt idx="499">
                  <c:v>75.78</c:v>
                </c:pt>
                <c:pt idx="500">
                  <c:v>77.44</c:v>
                </c:pt>
                <c:pt idx="501">
                  <c:v>78.599999999999994</c:v>
                </c:pt>
                <c:pt idx="502">
                  <c:v>77.31</c:v>
                </c:pt>
                <c:pt idx="503">
                  <c:v>78.03</c:v>
                </c:pt>
                <c:pt idx="504">
                  <c:v>78.739999999999995</c:v>
                </c:pt>
                <c:pt idx="505">
                  <c:v>79.58</c:v>
                </c:pt>
                <c:pt idx="506">
                  <c:v>79.62</c:v>
                </c:pt>
                <c:pt idx="507">
                  <c:v>79.53</c:v>
                </c:pt>
                <c:pt idx="508">
                  <c:v>80.05</c:v>
                </c:pt>
                <c:pt idx="509">
                  <c:v>80.55</c:v>
                </c:pt>
                <c:pt idx="510">
                  <c:v>80.56</c:v>
                </c:pt>
                <c:pt idx="511">
                  <c:v>80.86</c:v>
                </c:pt>
                <c:pt idx="512">
                  <c:v>81.23</c:v>
                </c:pt>
                <c:pt idx="513">
                  <c:v>80.930000000000007</c:v>
                </c:pt>
                <c:pt idx="514">
                  <c:v>81.290000000000006</c:v>
                </c:pt>
                <c:pt idx="515">
                  <c:v>65.25</c:v>
                </c:pt>
                <c:pt idx="516">
                  <c:v>81.459999999999994</c:v>
                </c:pt>
                <c:pt idx="517">
                  <c:v>81.17</c:v>
                </c:pt>
                <c:pt idx="518">
                  <c:v>81.19</c:v>
                </c:pt>
                <c:pt idx="519">
                  <c:v>80.16</c:v>
                </c:pt>
                <c:pt idx="520">
                  <c:v>82.39</c:v>
                </c:pt>
                <c:pt idx="521">
                  <c:v>82.7</c:v>
                </c:pt>
                <c:pt idx="522">
                  <c:v>80.790000000000006</c:v>
                </c:pt>
                <c:pt idx="523">
                  <c:v>79.08</c:v>
                </c:pt>
                <c:pt idx="524">
                  <c:v>81.069999999999993</c:v>
                </c:pt>
                <c:pt idx="525">
                  <c:v>80.900000000000006</c:v>
                </c:pt>
                <c:pt idx="526">
                  <c:v>82.01</c:v>
                </c:pt>
                <c:pt idx="527">
                  <c:v>81.099999999999994</c:v>
                </c:pt>
                <c:pt idx="528">
                  <c:v>79.37</c:v>
                </c:pt>
                <c:pt idx="529">
                  <c:v>80.319999999999993</c:v>
                </c:pt>
                <c:pt idx="530">
                  <c:v>78.900000000000006</c:v>
                </c:pt>
                <c:pt idx="531">
                  <c:v>79.400000000000006</c:v>
                </c:pt>
                <c:pt idx="532">
                  <c:v>80.03</c:v>
                </c:pt>
                <c:pt idx="533">
                  <c:v>80.34</c:v>
                </c:pt>
                <c:pt idx="534">
                  <c:v>76.09</c:v>
                </c:pt>
                <c:pt idx="535">
                  <c:v>74.2</c:v>
                </c:pt>
                <c:pt idx="536">
                  <c:v>71.010000000000005</c:v>
                </c:pt>
                <c:pt idx="537">
                  <c:v>53.1</c:v>
                </c:pt>
                <c:pt idx="538">
                  <c:v>70.069999999999993</c:v>
                </c:pt>
                <c:pt idx="539">
                  <c:v>71.650000000000006</c:v>
                </c:pt>
                <c:pt idx="540">
                  <c:v>70.569999999999993</c:v>
                </c:pt>
                <c:pt idx="541">
                  <c:v>65.5</c:v>
                </c:pt>
                <c:pt idx="542">
                  <c:v>66.37</c:v>
                </c:pt>
                <c:pt idx="543">
                  <c:v>66.180000000000007</c:v>
                </c:pt>
                <c:pt idx="544">
                  <c:v>68.959999999999994</c:v>
                </c:pt>
                <c:pt idx="545">
                  <c:v>71.05</c:v>
                </c:pt>
                <c:pt idx="546">
                  <c:v>71.3</c:v>
                </c:pt>
                <c:pt idx="547">
                  <c:v>70.28</c:v>
                </c:pt>
                <c:pt idx="548">
                  <c:v>70.760000000000005</c:v>
                </c:pt>
                <c:pt idx="549">
                  <c:v>70.5</c:v>
                </c:pt>
                <c:pt idx="550">
                  <c:v>70.180000000000007</c:v>
                </c:pt>
                <c:pt idx="551">
                  <c:v>70.260000000000005</c:v>
                </c:pt>
                <c:pt idx="552">
                  <c:v>71</c:v>
                </c:pt>
                <c:pt idx="553">
                  <c:v>70.349999999999994</c:v>
                </c:pt>
                <c:pt idx="554">
                  <c:v>69.459999999999994</c:v>
                </c:pt>
                <c:pt idx="555">
                  <c:v>70.37</c:v>
                </c:pt>
                <c:pt idx="556">
                  <c:v>70.89</c:v>
                </c:pt>
                <c:pt idx="557">
                  <c:v>71.17</c:v>
                </c:pt>
                <c:pt idx="558">
                  <c:v>71.58</c:v>
                </c:pt>
                <c:pt idx="559">
                  <c:v>71.650000000000006</c:v>
                </c:pt>
                <c:pt idx="560">
                  <c:v>65.25</c:v>
                </c:pt>
                <c:pt idx="561">
                  <c:v>71.77</c:v>
                </c:pt>
                <c:pt idx="562">
                  <c:v>71.69</c:v>
                </c:pt>
                <c:pt idx="563">
                  <c:v>76</c:v>
                </c:pt>
                <c:pt idx="564">
                  <c:v>76.86</c:v>
                </c:pt>
                <c:pt idx="565">
                  <c:v>77.59</c:v>
                </c:pt>
                <c:pt idx="566">
                  <c:v>78.88</c:v>
                </c:pt>
                <c:pt idx="567">
                  <c:v>78.48</c:v>
                </c:pt>
                <c:pt idx="568">
                  <c:v>77.95</c:v>
                </c:pt>
                <c:pt idx="569">
                  <c:v>80.040000000000006</c:v>
                </c:pt>
                <c:pt idx="570">
                  <c:v>80.94</c:v>
                </c:pt>
                <c:pt idx="571">
                  <c:v>80.67</c:v>
                </c:pt>
                <c:pt idx="572">
                  <c:v>81.59</c:v>
                </c:pt>
                <c:pt idx="573">
                  <c:v>82.37</c:v>
                </c:pt>
                <c:pt idx="574">
                  <c:v>82.86</c:v>
                </c:pt>
                <c:pt idx="575">
                  <c:v>82.77</c:v>
                </c:pt>
                <c:pt idx="576">
                  <c:v>82.63</c:v>
                </c:pt>
                <c:pt idx="577">
                  <c:v>82.08</c:v>
                </c:pt>
                <c:pt idx="578">
                  <c:v>82.65</c:v>
                </c:pt>
                <c:pt idx="579">
                  <c:v>83</c:v>
                </c:pt>
                <c:pt idx="580">
                  <c:v>82.89</c:v>
                </c:pt>
                <c:pt idx="581">
                  <c:v>82.91</c:v>
                </c:pt>
                <c:pt idx="582">
                  <c:v>82.98</c:v>
                </c:pt>
                <c:pt idx="583">
                  <c:v>79.099999999999994</c:v>
                </c:pt>
                <c:pt idx="584">
                  <c:v>87.93</c:v>
                </c:pt>
                <c:pt idx="585">
                  <c:v>89.67</c:v>
                </c:pt>
                <c:pt idx="586">
                  <c:v>91.36</c:v>
                </c:pt>
                <c:pt idx="587">
                  <c:v>90.67</c:v>
                </c:pt>
                <c:pt idx="588">
                  <c:v>89.24</c:v>
                </c:pt>
                <c:pt idx="589">
                  <c:v>89.51</c:v>
                </c:pt>
                <c:pt idx="590">
                  <c:v>89.61</c:v>
                </c:pt>
                <c:pt idx="591">
                  <c:v>91.4</c:v>
                </c:pt>
                <c:pt idx="592">
                  <c:v>92.59</c:v>
                </c:pt>
                <c:pt idx="593">
                  <c:v>91</c:v>
                </c:pt>
                <c:pt idx="594">
                  <c:v>91.68</c:v>
                </c:pt>
                <c:pt idx="595">
                  <c:v>91</c:v>
                </c:pt>
                <c:pt idx="596">
                  <c:v>90.96</c:v>
                </c:pt>
                <c:pt idx="597">
                  <c:v>91.39</c:v>
                </c:pt>
                <c:pt idx="598">
                  <c:v>91.43</c:v>
                </c:pt>
                <c:pt idx="599">
                  <c:v>91.54</c:v>
                </c:pt>
                <c:pt idx="600">
                  <c:v>91.41</c:v>
                </c:pt>
                <c:pt idx="601">
                  <c:v>91.63</c:v>
                </c:pt>
                <c:pt idx="602">
                  <c:v>94.57</c:v>
                </c:pt>
                <c:pt idx="603">
                  <c:v>109.21</c:v>
                </c:pt>
                <c:pt idx="604">
                  <c:v>106.68</c:v>
                </c:pt>
                <c:pt idx="605">
                  <c:v>113.49</c:v>
                </c:pt>
                <c:pt idx="606">
                  <c:v>116.55</c:v>
                </c:pt>
                <c:pt idx="607">
                  <c:v>119.78</c:v>
                </c:pt>
                <c:pt idx="608">
                  <c:v>108.82</c:v>
                </c:pt>
                <c:pt idx="609">
                  <c:v>107.14</c:v>
                </c:pt>
                <c:pt idx="610">
                  <c:v>109.3</c:v>
                </c:pt>
                <c:pt idx="611">
                  <c:v>102.67</c:v>
                </c:pt>
                <c:pt idx="612">
                  <c:v>99.91</c:v>
                </c:pt>
                <c:pt idx="613">
                  <c:v>98.02</c:v>
                </c:pt>
                <c:pt idx="614">
                  <c:v>105.32</c:v>
                </c:pt>
                <c:pt idx="615">
                  <c:v>105.99</c:v>
                </c:pt>
                <c:pt idx="616">
                  <c:v>108.73</c:v>
                </c:pt>
                <c:pt idx="617">
                  <c:v>108.5</c:v>
                </c:pt>
                <c:pt idx="618">
                  <c:v>110.22</c:v>
                </c:pt>
                <c:pt idx="619">
                  <c:v>109.54</c:v>
                </c:pt>
                <c:pt idx="620">
                  <c:v>109.88</c:v>
                </c:pt>
                <c:pt idx="621">
                  <c:v>108.5</c:v>
                </c:pt>
                <c:pt idx="622">
                  <c:v>108.28</c:v>
                </c:pt>
                <c:pt idx="623">
                  <c:v>107.74</c:v>
                </c:pt>
                <c:pt idx="624">
                  <c:v>104.93</c:v>
                </c:pt>
                <c:pt idx="625">
                  <c:v>89.06</c:v>
                </c:pt>
                <c:pt idx="626">
                  <c:v>102.58</c:v>
                </c:pt>
                <c:pt idx="627">
                  <c:v>101.44</c:v>
                </c:pt>
                <c:pt idx="628">
                  <c:v>96.73</c:v>
                </c:pt>
                <c:pt idx="629">
                  <c:v>96.68</c:v>
                </c:pt>
                <c:pt idx="630">
                  <c:v>98.35</c:v>
                </c:pt>
                <c:pt idx="631">
                  <c:v>95.63</c:v>
                </c:pt>
                <c:pt idx="632">
                  <c:v>99.7</c:v>
                </c:pt>
                <c:pt idx="633">
                  <c:v>101.89</c:v>
                </c:pt>
                <c:pt idx="634">
                  <c:v>103.33</c:v>
                </c:pt>
                <c:pt idx="635">
                  <c:v>103.95</c:v>
                </c:pt>
                <c:pt idx="636">
                  <c:v>101.44</c:v>
                </c:pt>
                <c:pt idx="637">
                  <c:v>101.5</c:v>
                </c:pt>
                <c:pt idx="638">
                  <c:v>102.06</c:v>
                </c:pt>
                <c:pt idx="639">
                  <c:v>101.54</c:v>
                </c:pt>
                <c:pt idx="640">
                  <c:v>100.66</c:v>
                </c:pt>
                <c:pt idx="641">
                  <c:v>101.29</c:v>
                </c:pt>
                <c:pt idx="642">
                  <c:v>101.34</c:v>
                </c:pt>
                <c:pt idx="643">
                  <c:v>101.67</c:v>
                </c:pt>
                <c:pt idx="644">
                  <c:v>101.64</c:v>
                </c:pt>
                <c:pt idx="645">
                  <c:v>104.67</c:v>
                </c:pt>
                <c:pt idx="646">
                  <c:v>102.11</c:v>
                </c:pt>
                <c:pt idx="647">
                  <c:v>106.97</c:v>
                </c:pt>
                <c:pt idx="648">
                  <c:v>107.38</c:v>
                </c:pt>
                <c:pt idx="649">
                  <c:v>108.62</c:v>
                </c:pt>
                <c:pt idx="650">
                  <c:v>103.57</c:v>
                </c:pt>
                <c:pt idx="651">
                  <c:v>101.19</c:v>
                </c:pt>
                <c:pt idx="652">
                  <c:v>105.05</c:v>
                </c:pt>
                <c:pt idx="653">
                  <c:v>105.3</c:v>
                </c:pt>
                <c:pt idx="654">
                  <c:v>107.75</c:v>
                </c:pt>
                <c:pt idx="655">
                  <c:v>109.55</c:v>
                </c:pt>
                <c:pt idx="656">
                  <c:v>108.58</c:v>
                </c:pt>
                <c:pt idx="657">
                  <c:v>107.44</c:v>
                </c:pt>
                <c:pt idx="658">
                  <c:v>108.5</c:v>
                </c:pt>
                <c:pt idx="659">
                  <c:v>108.66</c:v>
                </c:pt>
                <c:pt idx="660">
                  <c:v>108.67</c:v>
                </c:pt>
                <c:pt idx="661">
                  <c:v>108.54</c:v>
                </c:pt>
                <c:pt idx="662">
                  <c:v>108.65</c:v>
                </c:pt>
                <c:pt idx="663">
                  <c:v>109.19</c:v>
                </c:pt>
                <c:pt idx="664">
                  <c:v>100.97</c:v>
                </c:pt>
                <c:pt idx="665">
                  <c:v>100.57</c:v>
                </c:pt>
                <c:pt idx="666">
                  <c:v>101.16</c:v>
                </c:pt>
                <c:pt idx="667">
                  <c:v>102.77</c:v>
                </c:pt>
                <c:pt idx="668">
                  <c:v>104.77</c:v>
                </c:pt>
                <c:pt idx="669">
                  <c:v>104.4</c:v>
                </c:pt>
                <c:pt idx="670">
                  <c:v>105.31</c:v>
                </c:pt>
                <c:pt idx="671">
                  <c:v>108.01</c:v>
                </c:pt>
                <c:pt idx="672">
                  <c:v>107.41</c:v>
                </c:pt>
                <c:pt idx="673">
                  <c:v>106.57</c:v>
                </c:pt>
                <c:pt idx="674">
                  <c:v>106.83</c:v>
                </c:pt>
                <c:pt idx="675">
                  <c:v>104.83</c:v>
                </c:pt>
                <c:pt idx="676">
                  <c:v>101.21</c:v>
                </c:pt>
                <c:pt idx="677">
                  <c:v>97.66</c:v>
                </c:pt>
                <c:pt idx="678">
                  <c:v>96</c:v>
                </c:pt>
                <c:pt idx="679">
                  <c:v>95.42</c:v>
                </c:pt>
                <c:pt idx="680">
                  <c:v>92.09</c:v>
                </c:pt>
                <c:pt idx="681">
                  <c:v>90.17</c:v>
                </c:pt>
                <c:pt idx="682">
                  <c:v>93.52</c:v>
                </c:pt>
                <c:pt idx="683">
                  <c:v>97.66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7EF-43AD-8D3E-41D0CDB5F6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11666872"/>
        <c:axId val="1111670152"/>
      </c:lineChart>
      <c:lineChart>
        <c:grouping val="stacked"/>
        <c:varyColors val="0"/>
        <c:ser>
          <c:idx val="1"/>
          <c:order val="1"/>
          <c:tx>
            <c:strRef>
              <c:f>'Crude to Gas Correlation '!$C$3</c:f>
              <c:strCache>
                <c:ptCount val="1"/>
                <c:pt idx="0">
                  <c:v>Gasoline Price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'Crude to Gas Correlation '!$A$4:$A$688</c:f>
              <c:strCache>
                <c:ptCount val="684"/>
                <c:pt idx="0">
                  <c:v>10/31/2019</c:v>
                </c:pt>
                <c:pt idx="1">
                  <c:v>11/1/2019</c:v>
                </c:pt>
                <c:pt idx="2">
                  <c:v>11/4/2019</c:v>
                </c:pt>
                <c:pt idx="3">
                  <c:v>11/5/2019</c:v>
                </c:pt>
                <c:pt idx="4">
                  <c:v>11/6/2019</c:v>
                </c:pt>
                <c:pt idx="5">
                  <c:v>11/7/2019</c:v>
                </c:pt>
                <c:pt idx="6">
                  <c:v>11/8/2019</c:v>
                </c:pt>
                <c:pt idx="7">
                  <c:v>11/11/2019</c:v>
                </c:pt>
                <c:pt idx="8">
                  <c:v>11/12/2019</c:v>
                </c:pt>
                <c:pt idx="9">
                  <c:v>11/13/2019</c:v>
                </c:pt>
                <c:pt idx="10">
                  <c:v>11/14/2019</c:v>
                </c:pt>
                <c:pt idx="11">
                  <c:v>11/15/2019</c:v>
                </c:pt>
                <c:pt idx="12">
                  <c:v>11/18/2019</c:v>
                </c:pt>
                <c:pt idx="13">
                  <c:v>11/19/2019</c:v>
                </c:pt>
                <c:pt idx="14">
                  <c:v>11/20/2019</c:v>
                </c:pt>
                <c:pt idx="15">
                  <c:v>11/21/2019</c:v>
                </c:pt>
                <c:pt idx="16">
                  <c:v>11/22/2019</c:v>
                </c:pt>
                <c:pt idx="17">
                  <c:v>11/25/2019</c:v>
                </c:pt>
                <c:pt idx="18">
                  <c:v>11/26/2019</c:v>
                </c:pt>
                <c:pt idx="19">
                  <c:v>11/27/2019</c:v>
                </c:pt>
                <c:pt idx="20">
                  <c:v>11/28/2019</c:v>
                </c:pt>
                <c:pt idx="21">
                  <c:v>11/29/2019</c:v>
                </c:pt>
                <c:pt idx="22">
                  <c:v>12/2/2019</c:v>
                </c:pt>
                <c:pt idx="23">
                  <c:v>12/3/2019</c:v>
                </c:pt>
                <c:pt idx="24">
                  <c:v>12/4/2019</c:v>
                </c:pt>
                <c:pt idx="25">
                  <c:v>12/5/2019</c:v>
                </c:pt>
                <c:pt idx="26">
                  <c:v>12/6/2019</c:v>
                </c:pt>
                <c:pt idx="27">
                  <c:v>12/9/2019</c:v>
                </c:pt>
                <c:pt idx="28">
                  <c:v>12/10/2019</c:v>
                </c:pt>
                <c:pt idx="29">
                  <c:v>12/11/2019</c:v>
                </c:pt>
                <c:pt idx="30">
                  <c:v>12/12/2019</c:v>
                </c:pt>
                <c:pt idx="31">
                  <c:v>12/13/2019</c:v>
                </c:pt>
                <c:pt idx="32">
                  <c:v>12/16/2019</c:v>
                </c:pt>
                <c:pt idx="33">
                  <c:v>12/17/2019</c:v>
                </c:pt>
                <c:pt idx="34">
                  <c:v>12/18/2019</c:v>
                </c:pt>
                <c:pt idx="35">
                  <c:v>12/19/2019</c:v>
                </c:pt>
                <c:pt idx="36">
                  <c:v>12/20/2019</c:v>
                </c:pt>
                <c:pt idx="37">
                  <c:v>12/23/2019</c:v>
                </c:pt>
                <c:pt idx="38">
                  <c:v>12/24/2019</c:v>
                </c:pt>
                <c:pt idx="39">
                  <c:v>12/26/2019</c:v>
                </c:pt>
                <c:pt idx="40">
                  <c:v>12/27/2019</c:v>
                </c:pt>
                <c:pt idx="41">
                  <c:v>12/30/2019</c:v>
                </c:pt>
                <c:pt idx="42">
                  <c:v>12/31/2019</c:v>
                </c:pt>
                <c:pt idx="43">
                  <c:v>1/2/2020</c:v>
                </c:pt>
                <c:pt idx="44">
                  <c:v>1/3/2020</c:v>
                </c:pt>
                <c:pt idx="45">
                  <c:v>1/6/2020</c:v>
                </c:pt>
                <c:pt idx="46">
                  <c:v>1/7/2020</c:v>
                </c:pt>
                <c:pt idx="47">
                  <c:v>1/8/2020</c:v>
                </c:pt>
                <c:pt idx="48">
                  <c:v>1/9/2020</c:v>
                </c:pt>
                <c:pt idx="49">
                  <c:v>1/10/2020</c:v>
                </c:pt>
                <c:pt idx="50">
                  <c:v>1/13/2020</c:v>
                </c:pt>
                <c:pt idx="51">
                  <c:v>1/14/2020</c:v>
                </c:pt>
                <c:pt idx="52">
                  <c:v>1/15/2020</c:v>
                </c:pt>
                <c:pt idx="53">
                  <c:v>1/16/2020</c:v>
                </c:pt>
                <c:pt idx="54">
                  <c:v>1/17/2020</c:v>
                </c:pt>
                <c:pt idx="55">
                  <c:v>1/20/2020</c:v>
                </c:pt>
                <c:pt idx="56">
                  <c:v>1/21/2020</c:v>
                </c:pt>
                <c:pt idx="57">
                  <c:v>1/22/2020</c:v>
                </c:pt>
                <c:pt idx="58">
                  <c:v>1/23/2020</c:v>
                </c:pt>
                <c:pt idx="59">
                  <c:v>1/24/2020</c:v>
                </c:pt>
                <c:pt idx="60">
                  <c:v>1/27/2020</c:v>
                </c:pt>
                <c:pt idx="61">
                  <c:v>1/28/2020</c:v>
                </c:pt>
                <c:pt idx="62">
                  <c:v>1/29/2020</c:v>
                </c:pt>
                <c:pt idx="63">
                  <c:v>1/30/2020</c:v>
                </c:pt>
                <c:pt idx="64">
                  <c:v>1/31/2020</c:v>
                </c:pt>
                <c:pt idx="65">
                  <c:v>2/3/2020</c:v>
                </c:pt>
                <c:pt idx="66">
                  <c:v>2/4/2020</c:v>
                </c:pt>
                <c:pt idx="67">
                  <c:v>2/5/2020</c:v>
                </c:pt>
                <c:pt idx="68">
                  <c:v>2/6/2020</c:v>
                </c:pt>
                <c:pt idx="69">
                  <c:v>2/7/2020</c:v>
                </c:pt>
                <c:pt idx="70">
                  <c:v>2/10/2020</c:v>
                </c:pt>
                <c:pt idx="71">
                  <c:v>2/11/2020</c:v>
                </c:pt>
                <c:pt idx="72">
                  <c:v>2/12/2020</c:v>
                </c:pt>
                <c:pt idx="73">
                  <c:v>2/13/2020</c:v>
                </c:pt>
                <c:pt idx="74">
                  <c:v>2/14/2020</c:v>
                </c:pt>
                <c:pt idx="75">
                  <c:v>2/17/2020</c:v>
                </c:pt>
                <c:pt idx="76">
                  <c:v>2/18/2020</c:v>
                </c:pt>
                <c:pt idx="77">
                  <c:v>2/19/2020</c:v>
                </c:pt>
                <c:pt idx="78">
                  <c:v>2/20/2020</c:v>
                </c:pt>
                <c:pt idx="79">
                  <c:v>2/21/2020</c:v>
                </c:pt>
                <c:pt idx="80">
                  <c:v>2/24/2020</c:v>
                </c:pt>
                <c:pt idx="81">
                  <c:v>2/25/2020</c:v>
                </c:pt>
                <c:pt idx="82">
                  <c:v>2/26/2020</c:v>
                </c:pt>
                <c:pt idx="83">
                  <c:v>2/27/2020</c:v>
                </c:pt>
                <c:pt idx="84">
                  <c:v>2/28/2020</c:v>
                </c:pt>
                <c:pt idx="85">
                  <c:v>3/2/2020</c:v>
                </c:pt>
                <c:pt idx="86">
                  <c:v>3/3/2020</c:v>
                </c:pt>
                <c:pt idx="87">
                  <c:v>3/4/2020</c:v>
                </c:pt>
                <c:pt idx="88">
                  <c:v>3/5/2020</c:v>
                </c:pt>
                <c:pt idx="89">
                  <c:v>3/6/2020</c:v>
                </c:pt>
                <c:pt idx="90">
                  <c:v>3/9/2020</c:v>
                </c:pt>
                <c:pt idx="91">
                  <c:v>3/10/2020</c:v>
                </c:pt>
                <c:pt idx="92">
                  <c:v>3/11/2020</c:v>
                </c:pt>
                <c:pt idx="93">
                  <c:v>3/12/2020</c:v>
                </c:pt>
                <c:pt idx="94">
                  <c:v>3/13/2020</c:v>
                </c:pt>
                <c:pt idx="95">
                  <c:v>3/16/2020</c:v>
                </c:pt>
                <c:pt idx="96">
                  <c:v>3/17/2020</c:v>
                </c:pt>
                <c:pt idx="97">
                  <c:v>3/18/2020</c:v>
                </c:pt>
                <c:pt idx="98">
                  <c:v>3/19/2020</c:v>
                </c:pt>
                <c:pt idx="99">
                  <c:v>3/20/2020</c:v>
                </c:pt>
                <c:pt idx="100">
                  <c:v>3/23/2020</c:v>
                </c:pt>
                <c:pt idx="101">
                  <c:v>3/24/2020</c:v>
                </c:pt>
                <c:pt idx="102">
                  <c:v>3/25/2020</c:v>
                </c:pt>
                <c:pt idx="103">
                  <c:v>3/26/2020</c:v>
                </c:pt>
                <c:pt idx="104">
                  <c:v>3/27/2020</c:v>
                </c:pt>
                <c:pt idx="105">
                  <c:v>3/30/2020</c:v>
                </c:pt>
                <c:pt idx="106">
                  <c:v>3/31/2020</c:v>
                </c:pt>
                <c:pt idx="107">
                  <c:v>4/1/2020</c:v>
                </c:pt>
                <c:pt idx="108">
                  <c:v>4/2/2020</c:v>
                </c:pt>
                <c:pt idx="109">
                  <c:v>4/3/2020</c:v>
                </c:pt>
                <c:pt idx="110">
                  <c:v>4/6/2020</c:v>
                </c:pt>
                <c:pt idx="111">
                  <c:v>4/7/2020</c:v>
                </c:pt>
                <c:pt idx="112">
                  <c:v>4/8/2020</c:v>
                </c:pt>
                <c:pt idx="113">
                  <c:v>4/9/2020</c:v>
                </c:pt>
                <c:pt idx="114">
                  <c:v>4/13/2020</c:v>
                </c:pt>
                <c:pt idx="115">
                  <c:v>4/14/2020</c:v>
                </c:pt>
                <c:pt idx="116">
                  <c:v>4/15/2020</c:v>
                </c:pt>
                <c:pt idx="117">
                  <c:v>4/16/2020</c:v>
                </c:pt>
                <c:pt idx="118">
                  <c:v>4/17/2020</c:v>
                </c:pt>
                <c:pt idx="119">
                  <c:v>4/20/2020</c:v>
                </c:pt>
                <c:pt idx="120">
                  <c:v>4/21/2020</c:v>
                </c:pt>
                <c:pt idx="121">
                  <c:v>4/22/2020</c:v>
                </c:pt>
                <c:pt idx="122">
                  <c:v>4/23/2020</c:v>
                </c:pt>
                <c:pt idx="123">
                  <c:v>4/24/2020</c:v>
                </c:pt>
                <c:pt idx="124">
                  <c:v>4/27/2020</c:v>
                </c:pt>
                <c:pt idx="125">
                  <c:v>4/28/2020</c:v>
                </c:pt>
                <c:pt idx="126">
                  <c:v>4/29/2020</c:v>
                </c:pt>
                <c:pt idx="127">
                  <c:v>4/30/2020</c:v>
                </c:pt>
                <c:pt idx="128">
                  <c:v>5/1/2020</c:v>
                </c:pt>
                <c:pt idx="129">
                  <c:v>5/4/2020</c:v>
                </c:pt>
                <c:pt idx="130">
                  <c:v>5/5/2020</c:v>
                </c:pt>
                <c:pt idx="131">
                  <c:v>5/6/2020</c:v>
                </c:pt>
                <c:pt idx="132">
                  <c:v>5/7/2020</c:v>
                </c:pt>
                <c:pt idx="133">
                  <c:v>5/8/2020</c:v>
                </c:pt>
                <c:pt idx="134">
                  <c:v>5/11/2020</c:v>
                </c:pt>
                <c:pt idx="135">
                  <c:v>5/12/2020</c:v>
                </c:pt>
                <c:pt idx="136">
                  <c:v>5/13/2020</c:v>
                </c:pt>
                <c:pt idx="137">
                  <c:v>5/14/2020</c:v>
                </c:pt>
                <c:pt idx="138">
                  <c:v>5/15/2020</c:v>
                </c:pt>
                <c:pt idx="139">
                  <c:v>5/18/2020</c:v>
                </c:pt>
                <c:pt idx="140">
                  <c:v>5/19/2020</c:v>
                </c:pt>
                <c:pt idx="141">
                  <c:v>5/20/2020</c:v>
                </c:pt>
                <c:pt idx="142">
                  <c:v>5/21/2020</c:v>
                </c:pt>
                <c:pt idx="143">
                  <c:v>5/22/2020</c:v>
                </c:pt>
                <c:pt idx="144">
                  <c:v>5/26/2020</c:v>
                </c:pt>
                <c:pt idx="145">
                  <c:v>5/27/2020</c:v>
                </c:pt>
                <c:pt idx="146">
                  <c:v>5/28/2020</c:v>
                </c:pt>
                <c:pt idx="147">
                  <c:v>5/29/2020</c:v>
                </c:pt>
                <c:pt idx="148">
                  <c:v>6/1/2020</c:v>
                </c:pt>
                <c:pt idx="149">
                  <c:v>6/2/2020</c:v>
                </c:pt>
                <c:pt idx="150">
                  <c:v>6/3/2020</c:v>
                </c:pt>
                <c:pt idx="151">
                  <c:v>6/4/2020</c:v>
                </c:pt>
                <c:pt idx="152">
                  <c:v>6/5/2020</c:v>
                </c:pt>
                <c:pt idx="153">
                  <c:v>6/8/2020</c:v>
                </c:pt>
                <c:pt idx="154">
                  <c:v>6/9/2020</c:v>
                </c:pt>
                <c:pt idx="155">
                  <c:v>6/10/2020</c:v>
                </c:pt>
                <c:pt idx="156">
                  <c:v>6/11/2020</c:v>
                </c:pt>
                <c:pt idx="157">
                  <c:v>6/12/2020</c:v>
                </c:pt>
                <c:pt idx="158">
                  <c:v>6/15/2020</c:v>
                </c:pt>
                <c:pt idx="159">
                  <c:v>6/16/2020</c:v>
                </c:pt>
                <c:pt idx="160">
                  <c:v>6/17/2020</c:v>
                </c:pt>
                <c:pt idx="161">
                  <c:v>6/18/2020</c:v>
                </c:pt>
                <c:pt idx="162">
                  <c:v>6/19/2020</c:v>
                </c:pt>
                <c:pt idx="163">
                  <c:v>6/22/2020</c:v>
                </c:pt>
                <c:pt idx="164">
                  <c:v>6/23/2020</c:v>
                </c:pt>
                <c:pt idx="165">
                  <c:v>6/24/2020</c:v>
                </c:pt>
                <c:pt idx="166">
                  <c:v>6/25/2020</c:v>
                </c:pt>
                <c:pt idx="167">
                  <c:v>6/26/2020</c:v>
                </c:pt>
                <c:pt idx="168">
                  <c:v>6/29/2020</c:v>
                </c:pt>
                <c:pt idx="169">
                  <c:v>6/30/2020</c:v>
                </c:pt>
                <c:pt idx="170">
                  <c:v>7/1/2020</c:v>
                </c:pt>
                <c:pt idx="171">
                  <c:v>7/2/2020</c:v>
                </c:pt>
                <c:pt idx="172">
                  <c:v>7/3/2020</c:v>
                </c:pt>
                <c:pt idx="173">
                  <c:v>7/6/2020</c:v>
                </c:pt>
                <c:pt idx="174">
                  <c:v>7/7/2020</c:v>
                </c:pt>
                <c:pt idx="175">
                  <c:v>7/8/2020</c:v>
                </c:pt>
                <c:pt idx="176">
                  <c:v>7/9/2020</c:v>
                </c:pt>
                <c:pt idx="177">
                  <c:v>7/10/2020</c:v>
                </c:pt>
                <c:pt idx="178">
                  <c:v>7/13/2020</c:v>
                </c:pt>
                <c:pt idx="179">
                  <c:v>7/14/2020</c:v>
                </c:pt>
                <c:pt idx="180">
                  <c:v>7/15/2020</c:v>
                </c:pt>
                <c:pt idx="181">
                  <c:v>7/16/2020</c:v>
                </c:pt>
                <c:pt idx="182">
                  <c:v>7/17/2020</c:v>
                </c:pt>
                <c:pt idx="183">
                  <c:v>7/20/2020</c:v>
                </c:pt>
                <c:pt idx="184">
                  <c:v>7/21/2020</c:v>
                </c:pt>
                <c:pt idx="185">
                  <c:v>7/22/2020</c:v>
                </c:pt>
                <c:pt idx="186">
                  <c:v>7/23/2020</c:v>
                </c:pt>
                <c:pt idx="187">
                  <c:v>7/24/2020</c:v>
                </c:pt>
                <c:pt idx="188">
                  <c:v>7/27/2020</c:v>
                </c:pt>
                <c:pt idx="189">
                  <c:v>7/28/2020</c:v>
                </c:pt>
                <c:pt idx="190">
                  <c:v>7/29/2020</c:v>
                </c:pt>
                <c:pt idx="191">
                  <c:v>7/30/2020</c:v>
                </c:pt>
                <c:pt idx="192">
                  <c:v>7/31/2020</c:v>
                </c:pt>
                <c:pt idx="193">
                  <c:v>8/3/2020</c:v>
                </c:pt>
                <c:pt idx="194">
                  <c:v>8/4/2020</c:v>
                </c:pt>
                <c:pt idx="195">
                  <c:v>8/5/2020</c:v>
                </c:pt>
                <c:pt idx="196">
                  <c:v>8/6/2020</c:v>
                </c:pt>
                <c:pt idx="197">
                  <c:v>8/7/2020</c:v>
                </c:pt>
                <c:pt idx="198">
                  <c:v>8/10/2020</c:v>
                </c:pt>
                <c:pt idx="199">
                  <c:v>8/11/2020</c:v>
                </c:pt>
                <c:pt idx="200">
                  <c:v>8/12/2020</c:v>
                </c:pt>
                <c:pt idx="201">
                  <c:v>8/13/2020</c:v>
                </c:pt>
                <c:pt idx="202">
                  <c:v>8/14/2020</c:v>
                </c:pt>
                <c:pt idx="203">
                  <c:v>8/17/2020</c:v>
                </c:pt>
                <c:pt idx="204">
                  <c:v>8/18/2020</c:v>
                </c:pt>
                <c:pt idx="205">
                  <c:v>8/19/2020</c:v>
                </c:pt>
                <c:pt idx="206">
                  <c:v>8/20/2020</c:v>
                </c:pt>
                <c:pt idx="207">
                  <c:v>8/21/2020</c:v>
                </c:pt>
                <c:pt idx="208">
                  <c:v>8/24/2020</c:v>
                </c:pt>
                <c:pt idx="209">
                  <c:v>8/25/2020</c:v>
                </c:pt>
                <c:pt idx="210">
                  <c:v>8/26/2020</c:v>
                </c:pt>
                <c:pt idx="211">
                  <c:v>8/27/2020</c:v>
                </c:pt>
                <c:pt idx="212">
                  <c:v>8/28/2020</c:v>
                </c:pt>
                <c:pt idx="213">
                  <c:v>8/31/2020</c:v>
                </c:pt>
                <c:pt idx="214">
                  <c:v>9/1/2020</c:v>
                </c:pt>
                <c:pt idx="215">
                  <c:v>9/2/2020</c:v>
                </c:pt>
                <c:pt idx="216">
                  <c:v>9/3/2020</c:v>
                </c:pt>
                <c:pt idx="217">
                  <c:v>9/4/2020</c:v>
                </c:pt>
                <c:pt idx="218">
                  <c:v>9/7/2020</c:v>
                </c:pt>
                <c:pt idx="219">
                  <c:v>9/8/2020</c:v>
                </c:pt>
                <c:pt idx="220">
                  <c:v>9/9/2020</c:v>
                </c:pt>
                <c:pt idx="221">
                  <c:v>9/10/2020</c:v>
                </c:pt>
                <c:pt idx="222">
                  <c:v>9/11/2020</c:v>
                </c:pt>
                <c:pt idx="223">
                  <c:v>9/14/2020</c:v>
                </c:pt>
                <c:pt idx="224">
                  <c:v>9/15/2020</c:v>
                </c:pt>
                <c:pt idx="225">
                  <c:v>9/16/2020</c:v>
                </c:pt>
                <c:pt idx="226">
                  <c:v>9/17/2020</c:v>
                </c:pt>
                <c:pt idx="227">
                  <c:v>9/18/2020</c:v>
                </c:pt>
                <c:pt idx="228">
                  <c:v>9/21/2020</c:v>
                </c:pt>
                <c:pt idx="229">
                  <c:v>9/22/2020</c:v>
                </c:pt>
                <c:pt idx="230">
                  <c:v>9/23/2020</c:v>
                </c:pt>
                <c:pt idx="231">
                  <c:v>9/24/2020</c:v>
                </c:pt>
                <c:pt idx="232">
                  <c:v>9/25/2020</c:v>
                </c:pt>
                <c:pt idx="233">
                  <c:v>9/28/2020</c:v>
                </c:pt>
                <c:pt idx="234">
                  <c:v>9/29/2020</c:v>
                </c:pt>
                <c:pt idx="235">
                  <c:v>9/30/2020</c:v>
                </c:pt>
                <c:pt idx="236">
                  <c:v>10/1/2020</c:v>
                </c:pt>
                <c:pt idx="237">
                  <c:v>10/2/2020</c:v>
                </c:pt>
                <c:pt idx="238">
                  <c:v>10/5/2020</c:v>
                </c:pt>
                <c:pt idx="239">
                  <c:v>10/6/2020</c:v>
                </c:pt>
                <c:pt idx="240">
                  <c:v>10/7/2020</c:v>
                </c:pt>
                <c:pt idx="241">
                  <c:v>10/8/2020</c:v>
                </c:pt>
                <c:pt idx="242">
                  <c:v>10/9/2020</c:v>
                </c:pt>
                <c:pt idx="243">
                  <c:v>10/12/2020</c:v>
                </c:pt>
                <c:pt idx="244">
                  <c:v>10/13/2020</c:v>
                </c:pt>
                <c:pt idx="245">
                  <c:v>10/14/2020</c:v>
                </c:pt>
                <c:pt idx="246">
                  <c:v>10/15/2020</c:v>
                </c:pt>
                <c:pt idx="247">
                  <c:v>10/16/2020</c:v>
                </c:pt>
                <c:pt idx="248">
                  <c:v>10/19/2020</c:v>
                </c:pt>
                <c:pt idx="249">
                  <c:v>10/20/2020</c:v>
                </c:pt>
                <c:pt idx="250">
                  <c:v>10/21/2020</c:v>
                </c:pt>
                <c:pt idx="251">
                  <c:v>10/22/2020</c:v>
                </c:pt>
                <c:pt idx="252">
                  <c:v>10/23/2020</c:v>
                </c:pt>
                <c:pt idx="253">
                  <c:v>10/26/2020</c:v>
                </c:pt>
                <c:pt idx="254">
                  <c:v>10/27/2020</c:v>
                </c:pt>
                <c:pt idx="255">
                  <c:v>10/28/2020</c:v>
                </c:pt>
                <c:pt idx="256">
                  <c:v>10/29/2020</c:v>
                </c:pt>
                <c:pt idx="257">
                  <c:v>10/30/2020</c:v>
                </c:pt>
                <c:pt idx="258">
                  <c:v>11/2/2020</c:v>
                </c:pt>
                <c:pt idx="259">
                  <c:v>11/3/2020</c:v>
                </c:pt>
                <c:pt idx="260">
                  <c:v>11/4/2020</c:v>
                </c:pt>
                <c:pt idx="261">
                  <c:v>11/5/2020</c:v>
                </c:pt>
                <c:pt idx="262">
                  <c:v>11/6/2020</c:v>
                </c:pt>
                <c:pt idx="263">
                  <c:v>11/9/2020</c:v>
                </c:pt>
                <c:pt idx="264">
                  <c:v>11/10/2020</c:v>
                </c:pt>
                <c:pt idx="265">
                  <c:v>11/11/2020</c:v>
                </c:pt>
                <c:pt idx="266">
                  <c:v>11/12/2020</c:v>
                </c:pt>
                <c:pt idx="267">
                  <c:v>11/13/2020</c:v>
                </c:pt>
                <c:pt idx="268">
                  <c:v>11/16/2020</c:v>
                </c:pt>
                <c:pt idx="269">
                  <c:v>11/17/2020</c:v>
                </c:pt>
                <c:pt idx="270">
                  <c:v>11/18/2020</c:v>
                </c:pt>
                <c:pt idx="271">
                  <c:v>11/19/2020</c:v>
                </c:pt>
                <c:pt idx="272">
                  <c:v>11/20/2020</c:v>
                </c:pt>
                <c:pt idx="273">
                  <c:v>11/23/2020</c:v>
                </c:pt>
                <c:pt idx="274">
                  <c:v>11/24/2020</c:v>
                </c:pt>
                <c:pt idx="275">
                  <c:v>11/25/2020</c:v>
                </c:pt>
                <c:pt idx="276">
                  <c:v>11/26/2020</c:v>
                </c:pt>
                <c:pt idx="277">
                  <c:v>11/27/2020</c:v>
                </c:pt>
                <c:pt idx="278">
                  <c:v>11/30/2020</c:v>
                </c:pt>
                <c:pt idx="279">
                  <c:v>12/1/2020</c:v>
                </c:pt>
                <c:pt idx="280">
                  <c:v>12/2/2020</c:v>
                </c:pt>
                <c:pt idx="281">
                  <c:v>12/3/2020</c:v>
                </c:pt>
                <c:pt idx="282">
                  <c:v>12/4/2020</c:v>
                </c:pt>
                <c:pt idx="283">
                  <c:v>12/7/2020</c:v>
                </c:pt>
                <c:pt idx="284">
                  <c:v>12/8/2020</c:v>
                </c:pt>
                <c:pt idx="285">
                  <c:v>12/9/2020</c:v>
                </c:pt>
                <c:pt idx="286">
                  <c:v>12/10/2020</c:v>
                </c:pt>
                <c:pt idx="287">
                  <c:v>12/11/2020</c:v>
                </c:pt>
                <c:pt idx="288">
                  <c:v>12/14/2020</c:v>
                </c:pt>
                <c:pt idx="289">
                  <c:v>12/15/2020</c:v>
                </c:pt>
                <c:pt idx="290">
                  <c:v>12/16/2020</c:v>
                </c:pt>
                <c:pt idx="291">
                  <c:v>12/17/2020</c:v>
                </c:pt>
                <c:pt idx="292">
                  <c:v>12/18/2020</c:v>
                </c:pt>
                <c:pt idx="293">
                  <c:v>12/21/2020</c:v>
                </c:pt>
                <c:pt idx="294">
                  <c:v>12/22/2020</c:v>
                </c:pt>
                <c:pt idx="295">
                  <c:v>12/23/2020</c:v>
                </c:pt>
                <c:pt idx="296">
                  <c:v>12/24/2020</c:v>
                </c:pt>
                <c:pt idx="297">
                  <c:v>12/28/2020</c:v>
                </c:pt>
                <c:pt idx="298">
                  <c:v>12/29/2020</c:v>
                </c:pt>
                <c:pt idx="299">
                  <c:v>12/30/2020</c:v>
                </c:pt>
                <c:pt idx="300">
                  <c:v>12/31/2020</c:v>
                </c:pt>
                <c:pt idx="301">
                  <c:v>1/4/2021</c:v>
                </c:pt>
                <c:pt idx="302">
                  <c:v>1/5/2021</c:v>
                </c:pt>
                <c:pt idx="303">
                  <c:v>1/6/2021</c:v>
                </c:pt>
                <c:pt idx="304">
                  <c:v>1/7/2021</c:v>
                </c:pt>
                <c:pt idx="305">
                  <c:v>1/8/2021</c:v>
                </c:pt>
                <c:pt idx="306">
                  <c:v>1/11/2021</c:v>
                </c:pt>
                <c:pt idx="307">
                  <c:v>1/12/2021</c:v>
                </c:pt>
                <c:pt idx="308">
                  <c:v>1/13/2021</c:v>
                </c:pt>
                <c:pt idx="309">
                  <c:v>1/14/2021</c:v>
                </c:pt>
                <c:pt idx="310">
                  <c:v>1/15/2021</c:v>
                </c:pt>
                <c:pt idx="311">
                  <c:v>1/18/2021</c:v>
                </c:pt>
                <c:pt idx="312">
                  <c:v>1/19/2021</c:v>
                </c:pt>
                <c:pt idx="313">
                  <c:v>1/20/2021</c:v>
                </c:pt>
                <c:pt idx="314">
                  <c:v>1/21/2021</c:v>
                </c:pt>
                <c:pt idx="315">
                  <c:v>1/22/2021</c:v>
                </c:pt>
                <c:pt idx="316">
                  <c:v>1/25/2021</c:v>
                </c:pt>
                <c:pt idx="317">
                  <c:v>1/26/2021</c:v>
                </c:pt>
                <c:pt idx="318">
                  <c:v>1/27/2021</c:v>
                </c:pt>
                <c:pt idx="319">
                  <c:v>1/28/2021</c:v>
                </c:pt>
                <c:pt idx="320">
                  <c:v>1/29/2021</c:v>
                </c:pt>
                <c:pt idx="321">
                  <c:v>2/1/2021</c:v>
                </c:pt>
                <c:pt idx="322">
                  <c:v>2/2/2021</c:v>
                </c:pt>
                <c:pt idx="323">
                  <c:v>2/3/2021</c:v>
                </c:pt>
                <c:pt idx="324">
                  <c:v>2/4/2021</c:v>
                </c:pt>
                <c:pt idx="325">
                  <c:v>2/5/2021</c:v>
                </c:pt>
                <c:pt idx="326">
                  <c:v>2/8/2021</c:v>
                </c:pt>
                <c:pt idx="327">
                  <c:v>2/9/2021</c:v>
                </c:pt>
                <c:pt idx="328">
                  <c:v>2/10/2021</c:v>
                </c:pt>
                <c:pt idx="329">
                  <c:v>2/11/2021</c:v>
                </c:pt>
                <c:pt idx="330">
                  <c:v>2/12/2021</c:v>
                </c:pt>
                <c:pt idx="331">
                  <c:v>2/15/2021</c:v>
                </c:pt>
                <c:pt idx="332">
                  <c:v>2/16/2021</c:v>
                </c:pt>
                <c:pt idx="333">
                  <c:v>2/17/2021</c:v>
                </c:pt>
                <c:pt idx="334">
                  <c:v>2/18/2021</c:v>
                </c:pt>
                <c:pt idx="335">
                  <c:v>2/19/2021</c:v>
                </c:pt>
                <c:pt idx="336">
                  <c:v>2/22/2021</c:v>
                </c:pt>
                <c:pt idx="337">
                  <c:v>2/23/2021</c:v>
                </c:pt>
                <c:pt idx="338">
                  <c:v>2/24/2021</c:v>
                </c:pt>
                <c:pt idx="339">
                  <c:v>2/25/2021</c:v>
                </c:pt>
                <c:pt idx="340">
                  <c:v>2/26/2021</c:v>
                </c:pt>
                <c:pt idx="341">
                  <c:v>3/1/2021</c:v>
                </c:pt>
                <c:pt idx="342">
                  <c:v>3/2/2021</c:v>
                </c:pt>
                <c:pt idx="343">
                  <c:v>3/3/2021</c:v>
                </c:pt>
                <c:pt idx="344">
                  <c:v>3/4/2021</c:v>
                </c:pt>
                <c:pt idx="345">
                  <c:v>3/5/2021</c:v>
                </c:pt>
                <c:pt idx="346">
                  <c:v>3/8/2021</c:v>
                </c:pt>
                <c:pt idx="347">
                  <c:v>3/9/2021</c:v>
                </c:pt>
                <c:pt idx="348">
                  <c:v>3/10/2021</c:v>
                </c:pt>
                <c:pt idx="349">
                  <c:v>3/11/2021</c:v>
                </c:pt>
                <c:pt idx="350">
                  <c:v>3/12/2021</c:v>
                </c:pt>
                <c:pt idx="351">
                  <c:v>3/15/2021</c:v>
                </c:pt>
                <c:pt idx="352">
                  <c:v>3/16/2021</c:v>
                </c:pt>
                <c:pt idx="353">
                  <c:v>3/17/2021</c:v>
                </c:pt>
                <c:pt idx="354">
                  <c:v>3/18/2021</c:v>
                </c:pt>
                <c:pt idx="355">
                  <c:v>3/19/2021</c:v>
                </c:pt>
                <c:pt idx="356">
                  <c:v>3/22/2021</c:v>
                </c:pt>
                <c:pt idx="357">
                  <c:v>3/23/2021</c:v>
                </c:pt>
                <c:pt idx="358">
                  <c:v>3/24/2021</c:v>
                </c:pt>
                <c:pt idx="359">
                  <c:v>3/25/2021</c:v>
                </c:pt>
                <c:pt idx="360">
                  <c:v>3/26/2021</c:v>
                </c:pt>
                <c:pt idx="361">
                  <c:v>3/29/2021</c:v>
                </c:pt>
                <c:pt idx="362">
                  <c:v>3/30/2021</c:v>
                </c:pt>
                <c:pt idx="363">
                  <c:v>3/31/2021</c:v>
                </c:pt>
                <c:pt idx="364">
                  <c:v>4/1/2021</c:v>
                </c:pt>
                <c:pt idx="365">
                  <c:v>4/5/2021</c:v>
                </c:pt>
                <c:pt idx="366">
                  <c:v>4/6/2021</c:v>
                </c:pt>
                <c:pt idx="367">
                  <c:v>4/7/2021</c:v>
                </c:pt>
                <c:pt idx="368">
                  <c:v>4/8/2021</c:v>
                </c:pt>
                <c:pt idx="369">
                  <c:v>4/9/2021</c:v>
                </c:pt>
                <c:pt idx="370">
                  <c:v>4/12/2021</c:v>
                </c:pt>
                <c:pt idx="371">
                  <c:v>4/13/2021</c:v>
                </c:pt>
                <c:pt idx="372">
                  <c:v>4/14/2021</c:v>
                </c:pt>
                <c:pt idx="373">
                  <c:v>4/15/2021</c:v>
                </c:pt>
                <c:pt idx="374">
                  <c:v>4/16/2021</c:v>
                </c:pt>
                <c:pt idx="375">
                  <c:v>4/19/2021</c:v>
                </c:pt>
                <c:pt idx="376">
                  <c:v>4/20/2021</c:v>
                </c:pt>
                <c:pt idx="377">
                  <c:v>4/21/2021</c:v>
                </c:pt>
                <c:pt idx="378">
                  <c:v>4/22/2021</c:v>
                </c:pt>
                <c:pt idx="379">
                  <c:v>4/23/2021</c:v>
                </c:pt>
                <c:pt idx="380">
                  <c:v>4/26/2021</c:v>
                </c:pt>
                <c:pt idx="381">
                  <c:v>4/27/2021</c:v>
                </c:pt>
                <c:pt idx="382">
                  <c:v>4/28/2021</c:v>
                </c:pt>
                <c:pt idx="383">
                  <c:v>4/29/2021</c:v>
                </c:pt>
                <c:pt idx="384">
                  <c:v>4/30/2021</c:v>
                </c:pt>
                <c:pt idx="385">
                  <c:v>5/3/2021</c:v>
                </c:pt>
                <c:pt idx="386">
                  <c:v>5/4/2021</c:v>
                </c:pt>
                <c:pt idx="387">
                  <c:v>5/5/2021</c:v>
                </c:pt>
                <c:pt idx="388">
                  <c:v>5/6/2021</c:v>
                </c:pt>
                <c:pt idx="389">
                  <c:v>5/7/2021</c:v>
                </c:pt>
                <c:pt idx="390">
                  <c:v>5/10/2021</c:v>
                </c:pt>
                <c:pt idx="391">
                  <c:v>5/11/2021</c:v>
                </c:pt>
                <c:pt idx="392">
                  <c:v>5/12/2021</c:v>
                </c:pt>
                <c:pt idx="393">
                  <c:v>5/13/2021</c:v>
                </c:pt>
                <c:pt idx="394">
                  <c:v>5/14/2021</c:v>
                </c:pt>
                <c:pt idx="395">
                  <c:v>5/17/2021</c:v>
                </c:pt>
                <c:pt idx="396">
                  <c:v>5/18/2021</c:v>
                </c:pt>
                <c:pt idx="397">
                  <c:v>5/19/2021</c:v>
                </c:pt>
                <c:pt idx="398">
                  <c:v>5/20/2021</c:v>
                </c:pt>
                <c:pt idx="399">
                  <c:v>5/21/2021</c:v>
                </c:pt>
                <c:pt idx="400">
                  <c:v>5/24/2021</c:v>
                </c:pt>
                <c:pt idx="401">
                  <c:v>5/25/2021</c:v>
                </c:pt>
                <c:pt idx="402">
                  <c:v>5/26/2021</c:v>
                </c:pt>
                <c:pt idx="403">
                  <c:v>5/27/2021</c:v>
                </c:pt>
                <c:pt idx="404">
                  <c:v>5/28/2021</c:v>
                </c:pt>
                <c:pt idx="405">
                  <c:v>5/31/2021</c:v>
                </c:pt>
                <c:pt idx="406">
                  <c:v>6/1/2021</c:v>
                </c:pt>
                <c:pt idx="407">
                  <c:v>6/2/2021</c:v>
                </c:pt>
                <c:pt idx="408">
                  <c:v>6/3/2021</c:v>
                </c:pt>
                <c:pt idx="409">
                  <c:v>6/4/2021</c:v>
                </c:pt>
                <c:pt idx="410">
                  <c:v>6/7/2021</c:v>
                </c:pt>
                <c:pt idx="411">
                  <c:v>6/8/2021</c:v>
                </c:pt>
                <c:pt idx="412">
                  <c:v>6/9/2021</c:v>
                </c:pt>
                <c:pt idx="413">
                  <c:v>6/10/2021</c:v>
                </c:pt>
                <c:pt idx="414">
                  <c:v>6/11/2021</c:v>
                </c:pt>
                <c:pt idx="415">
                  <c:v>6/14/2021</c:v>
                </c:pt>
                <c:pt idx="416">
                  <c:v>6/15/2021</c:v>
                </c:pt>
                <c:pt idx="417">
                  <c:v>6/16/2021</c:v>
                </c:pt>
                <c:pt idx="418">
                  <c:v>6/17/2021</c:v>
                </c:pt>
                <c:pt idx="419">
                  <c:v>6/18/2021</c:v>
                </c:pt>
                <c:pt idx="420">
                  <c:v>6/21/2021</c:v>
                </c:pt>
                <c:pt idx="421">
                  <c:v>6/22/2021</c:v>
                </c:pt>
                <c:pt idx="422">
                  <c:v>6/23/2021</c:v>
                </c:pt>
                <c:pt idx="423">
                  <c:v>6/24/2021</c:v>
                </c:pt>
                <c:pt idx="424">
                  <c:v>6/25/2021</c:v>
                </c:pt>
                <c:pt idx="425">
                  <c:v>6/28/2021</c:v>
                </c:pt>
                <c:pt idx="426">
                  <c:v>6/29/2021</c:v>
                </c:pt>
                <c:pt idx="427">
                  <c:v>6/30/2021</c:v>
                </c:pt>
                <c:pt idx="428">
                  <c:v>7/1/2021</c:v>
                </c:pt>
                <c:pt idx="429">
                  <c:v>7/2/2021</c:v>
                </c:pt>
                <c:pt idx="430">
                  <c:v>7/5/2021</c:v>
                </c:pt>
                <c:pt idx="431">
                  <c:v>7/6/2021</c:v>
                </c:pt>
                <c:pt idx="432">
                  <c:v>7/7/2021</c:v>
                </c:pt>
                <c:pt idx="433">
                  <c:v>7/8/2021</c:v>
                </c:pt>
                <c:pt idx="434">
                  <c:v>7/9/2021</c:v>
                </c:pt>
                <c:pt idx="435">
                  <c:v>7/12/2021</c:v>
                </c:pt>
                <c:pt idx="436">
                  <c:v>7/13/2021</c:v>
                </c:pt>
                <c:pt idx="437">
                  <c:v>7/14/2021</c:v>
                </c:pt>
                <c:pt idx="438">
                  <c:v>7/15/2021</c:v>
                </c:pt>
                <c:pt idx="439">
                  <c:v>7/16/2021</c:v>
                </c:pt>
                <c:pt idx="440">
                  <c:v>7/19/2021</c:v>
                </c:pt>
                <c:pt idx="441">
                  <c:v>7/20/2021</c:v>
                </c:pt>
                <c:pt idx="442">
                  <c:v>7/21/2021</c:v>
                </c:pt>
                <c:pt idx="443">
                  <c:v>7/22/2021</c:v>
                </c:pt>
                <c:pt idx="444">
                  <c:v>7/23/2021</c:v>
                </c:pt>
                <c:pt idx="445">
                  <c:v>7/26/2021</c:v>
                </c:pt>
                <c:pt idx="446">
                  <c:v>7/27/2021</c:v>
                </c:pt>
                <c:pt idx="447">
                  <c:v>7/28/2021</c:v>
                </c:pt>
                <c:pt idx="448">
                  <c:v>7/29/2021</c:v>
                </c:pt>
                <c:pt idx="449">
                  <c:v>7/30/2021</c:v>
                </c:pt>
                <c:pt idx="450">
                  <c:v>8/2/2021</c:v>
                </c:pt>
                <c:pt idx="451">
                  <c:v>8/3/2021</c:v>
                </c:pt>
                <c:pt idx="452">
                  <c:v>8/4/2021</c:v>
                </c:pt>
                <c:pt idx="453">
                  <c:v>8/5/2021</c:v>
                </c:pt>
                <c:pt idx="454">
                  <c:v>8/6/2021</c:v>
                </c:pt>
                <c:pt idx="455">
                  <c:v>8/9/2021</c:v>
                </c:pt>
                <c:pt idx="456">
                  <c:v>8/10/2021</c:v>
                </c:pt>
                <c:pt idx="457">
                  <c:v>8/11/2021</c:v>
                </c:pt>
                <c:pt idx="458">
                  <c:v>8/12/2021</c:v>
                </c:pt>
                <c:pt idx="459">
                  <c:v>8/13/2021</c:v>
                </c:pt>
                <c:pt idx="460">
                  <c:v>8/16/2021</c:v>
                </c:pt>
                <c:pt idx="461">
                  <c:v>8/17/2021</c:v>
                </c:pt>
                <c:pt idx="462">
                  <c:v>8/18/2021</c:v>
                </c:pt>
                <c:pt idx="463">
                  <c:v>8/19/2021</c:v>
                </c:pt>
                <c:pt idx="464">
                  <c:v>8/20/2021</c:v>
                </c:pt>
                <c:pt idx="465">
                  <c:v>8/23/2021</c:v>
                </c:pt>
                <c:pt idx="466">
                  <c:v>8/24/2021</c:v>
                </c:pt>
                <c:pt idx="467">
                  <c:v>8/25/2021</c:v>
                </c:pt>
                <c:pt idx="468">
                  <c:v>8/26/2021</c:v>
                </c:pt>
                <c:pt idx="469">
                  <c:v>8/27/2021</c:v>
                </c:pt>
                <c:pt idx="470">
                  <c:v>8/30/2021</c:v>
                </c:pt>
                <c:pt idx="471">
                  <c:v>8/31/2021</c:v>
                </c:pt>
                <c:pt idx="472">
                  <c:v>9/1/2021</c:v>
                </c:pt>
                <c:pt idx="473">
                  <c:v>9/2/2021</c:v>
                </c:pt>
                <c:pt idx="474">
                  <c:v>9/3/2021</c:v>
                </c:pt>
                <c:pt idx="475">
                  <c:v>9/6/2021</c:v>
                </c:pt>
                <c:pt idx="476">
                  <c:v>9/7/2021</c:v>
                </c:pt>
                <c:pt idx="477">
                  <c:v>9/8/2021</c:v>
                </c:pt>
                <c:pt idx="478">
                  <c:v>9/9/2021</c:v>
                </c:pt>
                <c:pt idx="479">
                  <c:v>9/10/2021</c:v>
                </c:pt>
                <c:pt idx="480">
                  <c:v>9/13/2021</c:v>
                </c:pt>
                <c:pt idx="481">
                  <c:v>9/14/2021</c:v>
                </c:pt>
                <c:pt idx="482">
                  <c:v>9/15/2021</c:v>
                </c:pt>
                <c:pt idx="483">
                  <c:v>9/16/2021</c:v>
                </c:pt>
                <c:pt idx="484">
                  <c:v>9/17/2021</c:v>
                </c:pt>
                <c:pt idx="485">
                  <c:v>9/20/2021</c:v>
                </c:pt>
                <c:pt idx="486">
                  <c:v>9/21/2021</c:v>
                </c:pt>
                <c:pt idx="487">
                  <c:v>9/22/2021</c:v>
                </c:pt>
                <c:pt idx="488">
                  <c:v>9/23/2021</c:v>
                </c:pt>
                <c:pt idx="489">
                  <c:v>9/24/2021</c:v>
                </c:pt>
                <c:pt idx="490">
                  <c:v>9/27/2021</c:v>
                </c:pt>
                <c:pt idx="491">
                  <c:v>9/28/2021</c:v>
                </c:pt>
                <c:pt idx="492">
                  <c:v>9/29/2021</c:v>
                </c:pt>
                <c:pt idx="493">
                  <c:v>9/30/2021</c:v>
                </c:pt>
                <c:pt idx="494">
                  <c:v>10/1/2021</c:v>
                </c:pt>
                <c:pt idx="495">
                  <c:v>10/4/2021</c:v>
                </c:pt>
                <c:pt idx="496">
                  <c:v>10/5/2021</c:v>
                </c:pt>
                <c:pt idx="497">
                  <c:v>10/6/2021</c:v>
                </c:pt>
                <c:pt idx="498">
                  <c:v>10/7/2021</c:v>
                </c:pt>
                <c:pt idx="499">
                  <c:v>10/8/2021</c:v>
                </c:pt>
                <c:pt idx="500">
                  <c:v>10/11/2021</c:v>
                </c:pt>
                <c:pt idx="501">
                  <c:v>10/12/2021</c:v>
                </c:pt>
                <c:pt idx="502">
                  <c:v>10/13/2021</c:v>
                </c:pt>
                <c:pt idx="503">
                  <c:v>10/14/2021</c:v>
                </c:pt>
                <c:pt idx="504">
                  <c:v>10/15/2021</c:v>
                </c:pt>
                <c:pt idx="505">
                  <c:v>10/18/2021</c:v>
                </c:pt>
                <c:pt idx="506">
                  <c:v>10/19/2021</c:v>
                </c:pt>
                <c:pt idx="507">
                  <c:v>10/20/2021</c:v>
                </c:pt>
                <c:pt idx="508">
                  <c:v>10/21/2021</c:v>
                </c:pt>
                <c:pt idx="509">
                  <c:v>10/22/2021</c:v>
                </c:pt>
                <c:pt idx="510">
                  <c:v>10/25/2021</c:v>
                </c:pt>
                <c:pt idx="511">
                  <c:v>10/26/2021</c:v>
                </c:pt>
                <c:pt idx="512">
                  <c:v>10/27/2021</c:v>
                </c:pt>
                <c:pt idx="513">
                  <c:v>10/28/2021</c:v>
                </c:pt>
                <c:pt idx="514">
                  <c:v>10/29/2021</c:v>
                </c:pt>
                <c:pt idx="515">
                  <c:v>11/1/2021</c:v>
                </c:pt>
                <c:pt idx="516">
                  <c:v>11/2/2021</c:v>
                </c:pt>
                <c:pt idx="517">
                  <c:v>11/3/2021</c:v>
                </c:pt>
                <c:pt idx="518">
                  <c:v>11/4/2021</c:v>
                </c:pt>
                <c:pt idx="519">
                  <c:v>11/5/2021</c:v>
                </c:pt>
                <c:pt idx="520">
                  <c:v>11/8/2021</c:v>
                </c:pt>
                <c:pt idx="521">
                  <c:v>11/9/2021</c:v>
                </c:pt>
                <c:pt idx="522">
                  <c:v>11/10/2021</c:v>
                </c:pt>
                <c:pt idx="523">
                  <c:v>11/11/2021</c:v>
                </c:pt>
                <c:pt idx="524">
                  <c:v>11/12/2021</c:v>
                </c:pt>
                <c:pt idx="525">
                  <c:v>11/15/2021</c:v>
                </c:pt>
                <c:pt idx="526">
                  <c:v>11/16/2021</c:v>
                </c:pt>
                <c:pt idx="527">
                  <c:v>11/17/2021</c:v>
                </c:pt>
                <c:pt idx="528">
                  <c:v>11/18/2021</c:v>
                </c:pt>
                <c:pt idx="529">
                  <c:v>11/19/2021</c:v>
                </c:pt>
                <c:pt idx="530">
                  <c:v>11/22/2021</c:v>
                </c:pt>
                <c:pt idx="531">
                  <c:v>11/23/2021</c:v>
                </c:pt>
                <c:pt idx="532">
                  <c:v>11/24/2021</c:v>
                </c:pt>
                <c:pt idx="533">
                  <c:v>11/25/2021</c:v>
                </c:pt>
                <c:pt idx="534">
                  <c:v>11/26/2021</c:v>
                </c:pt>
                <c:pt idx="535">
                  <c:v>11/29/2021</c:v>
                </c:pt>
                <c:pt idx="536">
                  <c:v>11/30/2021</c:v>
                </c:pt>
                <c:pt idx="537">
                  <c:v>12/1/2021</c:v>
                </c:pt>
                <c:pt idx="538">
                  <c:v>12/2/2021</c:v>
                </c:pt>
                <c:pt idx="539">
                  <c:v>12/3/2021</c:v>
                </c:pt>
                <c:pt idx="540">
                  <c:v>12/6/2021</c:v>
                </c:pt>
                <c:pt idx="541">
                  <c:v>12/7/2021</c:v>
                </c:pt>
                <c:pt idx="542">
                  <c:v>12/8/2021</c:v>
                </c:pt>
                <c:pt idx="543">
                  <c:v>12/9/2021</c:v>
                </c:pt>
                <c:pt idx="544">
                  <c:v>12/10/2021</c:v>
                </c:pt>
                <c:pt idx="545">
                  <c:v>12/13/2021</c:v>
                </c:pt>
                <c:pt idx="546">
                  <c:v>12/14/2021</c:v>
                </c:pt>
                <c:pt idx="547">
                  <c:v>12/15/2021</c:v>
                </c:pt>
                <c:pt idx="548">
                  <c:v>12/16/2021</c:v>
                </c:pt>
                <c:pt idx="549">
                  <c:v>12/17/2021</c:v>
                </c:pt>
                <c:pt idx="550">
                  <c:v>12/20/2021</c:v>
                </c:pt>
                <c:pt idx="551">
                  <c:v>12/21/2021</c:v>
                </c:pt>
                <c:pt idx="552">
                  <c:v>12/22/2021</c:v>
                </c:pt>
                <c:pt idx="553">
                  <c:v>12/23/2021</c:v>
                </c:pt>
                <c:pt idx="554">
                  <c:v>12/24/2021</c:v>
                </c:pt>
                <c:pt idx="555">
                  <c:v>12/27/2021</c:v>
                </c:pt>
                <c:pt idx="556">
                  <c:v>12/28/2021</c:v>
                </c:pt>
                <c:pt idx="557">
                  <c:v>12/29/2021</c:v>
                </c:pt>
                <c:pt idx="558">
                  <c:v>12/30/2021</c:v>
                </c:pt>
                <c:pt idx="559">
                  <c:v>12/31/2021</c:v>
                </c:pt>
                <c:pt idx="560">
                  <c:v>1/3/2022</c:v>
                </c:pt>
                <c:pt idx="561">
                  <c:v>1/4/2022</c:v>
                </c:pt>
                <c:pt idx="562">
                  <c:v>1/5/2022</c:v>
                </c:pt>
                <c:pt idx="563">
                  <c:v>1/6/2022</c:v>
                </c:pt>
                <c:pt idx="564">
                  <c:v>1/7/2022</c:v>
                </c:pt>
                <c:pt idx="565">
                  <c:v>1/10/2022</c:v>
                </c:pt>
                <c:pt idx="566">
                  <c:v>1/11/2022</c:v>
                </c:pt>
                <c:pt idx="567">
                  <c:v>1/12/2022</c:v>
                </c:pt>
                <c:pt idx="568">
                  <c:v>1/13/2022</c:v>
                </c:pt>
                <c:pt idx="569">
                  <c:v>1/14/2022</c:v>
                </c:pt>
                <c:pt idx="570">
                  <c:v>1/17/2022</c:v>
                </c:pt>
                <c:pt idx="571">
                  <c:v>1/18/2022</c:v>
                </c:pt>
                <c:pt idx="572">
                  <c:v>1/19/2022</c:v>
                </c:pt>
                <c:pt idx="573">
                  <c:v>1/20/2022</c:v>
                </c:pt>
                <c:pt idx="574">
                  <c:v>1/21/2022</c:v>
                </c:pt>
                <c:pt idx="575">
                  <c:v>1/24/2022</c:v>
                </c:pt>
                <c:pt idx="576">
                  <c:v>1/25/2022</c:v>
                </c:pt>
                <c:pt idx="577">
                  <c:v>1/26/2022</c:v>
                </c:pt>
                <c:pt idx="578">
                  <c:v>1/27/2022</c:v>
                </c:pt>
                <c:pt idx="579">
                  <c:v>1/28/2022</c:v>
                </c:pt>
                <c:pt idx="580">
                  <c:v>1/31/2022</c:v>
                </c:pt>
                <c:pt idx="581">
                  <c:v>2/1/2022</c:v>
                </c:pt>
                <c:pt idx="582">
                  <c:v>2/2/2022</c:v>
                </c:pt>
                <c:pt idx="583">
                  <c:v>2/3/2022</c:v>
                </c:pt>
                <c:pt idx="584">
                  <c:v>2/4/2022</c:v>
                </c:pt>
                <c:pt idx="585">
                  <c:v>2/7/2022</c:v>
                </c:pt>
                <c:pt idx="586">
                  <c:v>2/8/2022</c:v>
                </c:pt>
                <c:pt idx="587">
                  <c:v>2/9/2022</c:v>
                </c:pt>
                <c:pt idx="588">
                  <c:v>2/10/2022</c:v>
                </c:pt>
                <c:pt idx="589">
                  <c:v>2/11/2022</c:v>
                </c:pt>
                <c:pt idx="590">
                  <c:v>2/14/2022</c:v>
                </c:pt>
                <c:pt idx="591">
                  <c:v>2/15/2022</c:v>
                </c:pt>
                <c:pt idx="592">
                  <c:v>2/16/2022</c:v>
                </c:pt>
                <c:pt idx="593">
                  <c:v>2/17/2022</c:v>
                </c:pt>
                <c:pt idx="594">
                  <c:v>2/18/2022</c:v>
                </c:pt>
                <c:pt idx="595">
                  <c:v>2/21/2022</c:v>
                </c:pt>
                <c:pt idx="596">
                  <c:v>2/22/2022</c:v>
                </c:pt>
                <c:pt idx="597">
                  <c:v>2/23/2022</c:v>
                </c:pt>
                <c:pt idx="598">
                  <c:v>2/24/2022</c:v>
                </c:pt>
                <c:pt idx="599">
                  <c:v>2/25/2022</c:v>
                </c:pt>
                <c:pt idx="600">
                  <c:v>2/28/2022</c:v>
                </c:pt>
                <c:pt idx="601">
                  <c:v>3/1/2022</c:v>
                </c:pt>
                <c:pt idx="602">
                  <c:v>3/2/2022</c:v>
                </c:pt>
                <c:pt idx="603">
                  <c:v>3/3/2022</c:v>
                </c:pt>
                <c:pt idx="604">
                  <c:v>3/4/2022</c:v>
                </c:pt>
                <c:pt idx="605">
                  <c:v>3/7/2022</c:v>
                </c:pt>
                <c:pt idx="606">
                  <c:v>3/8/2022</c:v>
                </c:pt>
                <c:pt idx="607">
                  <c:v>3/9/2022</c:v>
                </c:pt>
                <c:pt idx="608">
                  <c:v>3/10/2022</c:v>
                </c:pt>
                <c:pt idx="609">
                  <c:v>3/11/2022</c:v>
                </c:pt>
                <c:pt idx="610">
                  <c:v>3/14/2022</c:v>
                </c:pt>
                <c:pt idx="611">
                  <c:v>3/15/2022</c:v>
                </c:pt>
                <c:pt idx="612">
                  <c:v>3/16/2022</c:v>
                </c:pt>
                <c:pt idx="613">
                  <c:v>3/17/2022</c:v>
                </c:pt>
                <c:pt idx="614">
                  <c:v>3/18/2022</c:v>
                </c:pt>
                <c:pt idx="615">
                  <c:v>3/21/2022</c:v>
                </c:pt>
                <c:pt idx="616">
                  <c:v>3/22/2022</c:v>
                </c:pt>
                <c:pt idx="617">
                  <c:v>3/23/2022</c:v>
                </c:pt>
                <c:pt idx="618">
                  <c:v>3/24/2022</c:v>
                </c:pt>
                <c:pt idx="619">
                  <c:v>3/25/2022</c:v>
                </c:pt>
                <c:pt idx="620">
                  <c:v>3/28/2022</c:v>
                </c:pt>
                <c:pt idx="621">
                  <c:v>3/29/2022</c:v>
                </c:pt>
                <c:pt idx="622">
                  <c:v>3/30/2022</c:v>
                </c:pt>
                <c:pt idx="623">
                  <c:v>3/31/2022</c:v>
                </c:pt>
                <c:pt idx="624">
                  <c:v>4/1/2022</c:v>
                </c:pt>
                <c:pt idx="625">
                  <c:v>4/4/2022</c:v>
                </c:pt>
                <c:pt idx="626">
                  <c:v>4/5/2022</c:v>
                </c:pt>
                <c:pt idx="627">
                  <c:v>4/6/2022</c:v>
                </c:pt>
                <c:pt idx="628">
                  <c:v>4/7/2022</c:v>
                </c:pt>
                <c:pt idx="629">
                  <c:v>4/8/2022</c:v>
                </c:pt>
                <c:pt idx="630">
                  <c:v>4/11/2022</c:v>
                </c:pt>
                <c:pt idx="631">
                  <c:v>4/12/2022</c:v>
                </c:pt>
                <c:pt idx="632">
                  <c:v>4/13/2022</c:v>
                </c:pt>
                <c:pt idx="633">
                  <c:v>4/14/2022</c:v>
                </c:pt>
                <c:pt idx="634">
                  <c:v>4/18/2022</c:v>
                </c:pt>
                <c:pt idx="635">
                  <c:v>4/19/2022</c:v>
                </c:pt>
                <c:pt idx="636">
                  <c:v>4/20/2022</c:v>
                </c:pt>
                <c:pt idx="637">
                  <c:v>4/21/2022</c:v>
                </c:pt>
                <c:pt idx="638">
                  <c:v>4/22/2022</c:v>
                </c:pt>
                <c:pt idx="639">
                  <c:v>4/25/2022</c:v>
                </c:pt>
                <c:pt idx="640">
                  <c:v>4/26/2022</c:v>
                </c:pt>
                <c:pt idx="641">
                  <c:v>4/27/2022</c:v>
                </c:pt>
                <c:pt idx="642">
                  <c:v>4/28/2022</c:v>
                </c:pt>
                <c:pt idx="643">
                  <c:v>4/29/2022</c:v>
                </c:pt>
                <c:pt idx="644">
                  <c:v>5/2/2022</c:v>
                </c:pt>
                <c:pt idx="645">
                  <c:v>5/3/2022</c:v>
                </c:pt>
                <c:pt idx="646">
                  <c:v>5/4/2022</c:v>
                </c:pt>
                <c:pt idx="647">
                  <c:v>5/5/2022</c:v>
                </c:pt>
                <c:pt idx="648">
                  <c:v>5/6/2022</c:v>
                </c:pt>
                <c:pt idx="649">
                  <c:v>5/9/2022</c:v>
                </c:pt>
                <c:pt idx="650">
                  <c:v>5/10/2022</c:v>
                </c:pt>
                <c:pt idx="651">
                  <c:v>5/11/2022</c:v>
                </c:pt>
                <c:pt idx="652">
                  <c:v>5/12/2022</c:v>
                </c:pt>
                <c:pt idx="653">
                  <c:v>5/13/2022</c:v>
                </c:pt>
                <c:pt idx="654">
                  <c:v>5/16/2022</c:v>
                </c:pt>
                <c:pt idx="655">
                  <c:v>5/17/2022</c:v>
                </c:pt>
                <c:pt idx="656">
                  <c:v>5/18/2022</c:v>
                </c:pt>
                <c:pt idx="657">
                  <c:v>5/19/2022</c:v>
                </c:pt>
                <c:pt idx="658">
                  <c:v>5/20/2022</c:v>
                </c:pt>
                <c:pt idx="659">
                  <c:v>5/23/2022</c:v>
                </c:pt>
                <c:pt idx="660">
                  <c:v>5/24/2022</c:v>
                </c:pt>
                <c:pt idx="661">
                  <c:v>5/25/2022</c:v>
                </c:pt>
                <c:pt idx="662">
                  <c:v>5/26/2022</c:v>
                </c:pt>
                <c:pt idx="663">
                  <c:v>5/27/2022</c:v>
                </c:pt>
                <c:pt idx="664">
                  <c:v>5/30/2022</c:v>
                </c:pt>
                <c:pt idx="665">
                  <c:v>5/31/2022</c:v>
                </c:pt>
                <c:pt idx="666">
                  <c:v>6/1/2022</c:v>
                </c:pt>
                <c:pt idx="667">
                  <c:v>6/2/2022</c:v>
                </c:pt>
                <c:pt idx="668">
                  <c:v>6/3/2022</c:v>
                </c:pt>
                <c:pt idx="669">
                  <c:v>6/6/2022</c:v>
                </c:pt>
                <c:pt idx="670">
                  <c:v>6/7/2022</c:v>
                </c:pt>
                <c:pt idx="671">
                  <c:v>6/8/2022</c:v>
                </c:pt>
                <c:pt idx="672">
                  <c:v>6/9/2022</c:v>
                </c:pt>
                <c:pt idx="673">
                  <c:v>6/10/2022</c:v>
                </c:pt>
                <c:pt idx="674">
                  <c:v>6/13/2022</c:v>
                </c:pt>
                <c:pt idx="675">
                  <c:v>6/14/2022</c:v>
                </c:pt>
                <c:pt idx="676">
                  <c:v>6/15/2022</c:v>
                </c:pt>
                <c:pt idx="677">
                  <c:v>6/16/2022</c:v>
                </c:pt>
                <c:pt idx="678">
                  <c:v>6/17/2022</c:v>
                </c:pt>
                <c:pt idx="679">
                  <c:v>6/21/2022</c:v>
                </c:pt>
                <c:pt idx="680">
                  <c:v>6/22/2022</c:v>
                </c:pt>
                <c:pt idx="681">
                  <c:v>6/23/2022</c:v>
                </c:pt>
                <c:pt idx="682">
                  <c:v>6/24/2022</c:v>
                </c:pt>
                <c:pt idx="683">
                  <c:v>6/27/2022</c:v>
                </c:pt>
              </c:strCache>
            </c:strRef>
          </c:cat>
          <c:val>
            <c:numRef>
              <c:f>'Crude to Gas Correlation '!$C$4:$C$688</c:f>
              <c:numCache>
                <c:formatCode>"$"#,##0.00</c:formatCode>
                <c:ptCount val="684"/>
                <c:pt idx="0">
                  <c:v>1.5871</c:v>
                </c:pt>
                <c:pt idx="1">
                  <c:v>1.6233</c:v>
                </c:pt>
                <c:pt idx="2">
                  <c:v>1.6388</c:v>
                </c:pt>
                <c:pt idx="3">
                  <c:v>1.5702</c:v>
                </c:pt>
                <c:pt idx="4">
                  <c:v>1.5704</c:v>
                </c:pt>
                <c:pt idx="5">
                  <c:v>1.5842000000000001</c:v>
                </c:pt>
                <c:pt idx="6">
                  <c:v>1.5819000000000001</c:v>
                </c:pt>
                <c:pt idx="7">
                  <c:v>1.5778000000000001</c:v>
                </c:pt>
                <c:pt idx="8">
                  <c:v>1.5637000000000001</c:v>
                </c:pt>
                <c:pt idx="9">
                  <c:v>1.569</c:v>
                </c:pt>
                <c:pt idx="10">
                  <c:v>1.6133</c:v>
                </c:pt>
                <c:pt idx="11">
                  <c:v>1.6258999999999999</c:v>
                </c:pt>
                <c:pt idx="12">
                  <c:v>1.6355999999999999</c:v>
                </c:pt>
                <c:pt idx="13">
                  <c:v>1.6344000000000001</c:v>
                </c:pt>
                <c:pt idx="14">
                  <c:v>1.6415999999999999</c:v>
                </c:pt>
                <c:pt idx="15">
                  <c:v>1.6645000000000001</c:v>
                </c:pt>
                <c:pt idx="16">
                  <c:v>1.5946</c:v>
                </c:pt>
                <c:pt idx="17">
                  <c:v>1.6556999999999999</c:v>
                </c:pt>
                <c:pt idx="18">
                  <c:v>1.6637</c:v>
                </c:pt>
                <c:pt idx="19">
                  <c:v>1.6746000000000001</c:v>
                </c:pt>
                <c:pt idx="20">
                  <c:v>1.6262000000000001</c:v>
                </c:pt>
                <c:pt idx="21">
                  <c:v>1.6355</c:v>
                </c:pt>
                <c:pt idx="22">
                  <c:v>1.6336999999999999</c:v>
                </c:pt>
                <c:pt idx="23">
                  <c:v>1.6099000000000001</c:v>
                </c:pt>
                <c:pt idx="24">
                  <c:v>1.6144000000000001</c:v>
                </c:pt>
                <c:pt idx="25">
                  <c:v>1.6309</c:v>
                </c:pt>
                <c:pt idx="26">
                  <c:v>1.6115999999999999</c:v>
                </c:pt>
                <c:pt idx="27">
                  <c:v>1.6308</c:v>
                </c:pt>
                <c:pt idx="28">
                  <c:v>1.6160000000000001</c:v>
                </c:pt>
                <c:pt idx="29">
                  <c:v>1.6036999999999999</c:v>
                </c:pt>
                <c:pt idx="30">
                  <c:v>1.6563000000000001</c:v>
                </c:pt>
                <c:pt idx="31">
                  <c:v>1.6982999999999999</c:v>
                </c:pt>
                <c:pt idx="32">
                  <c:v>1.6742999999999999</c:v>
                </c:pt>
                <c:pt idx="33">
                  <c:v>1.6715</c:v>
                </c:pt>
                <c:pt idx="34">
                  <c:v>1.6976</c:v>
                </c:pt>
                <c:pt idx="35">
                  <c:v>1.6792</c:v>
                </c:pt>
                <c:pt idx="36">
                  <c:v>1.591</c:v>
                </c:pt>
                <c:pt idx="37">
                  <c:v>1.5732999999999999</c:v>
                </c:pt>
                <c:pt idx="38">
                  <c:v>1.5629</c:v>
                </c:pt>
                <c:pt idx="39">
                  <c:v>1.6042000000000001</c:v>
                </c:pt>
                <c:pt idx="40">
                  <c:v>1.6211</c:v>
                </c:pt>
                <c:pt idx="41">
                  <c:v>1.6474</c:v>
                </c:pt>
                <c:pt idx="42">
                  <c:v>1.6548</c:v>
                </c:pt>
                <c:pt idx="43">
                  <c:v>1.6525000000000001</c:v>
                </c:pt>
                <c:pt idx="44">
                  <c:v>1.6261000000000001</c:v>
                </c:pt>
                <c:pt idx="45">
                  <c:v>1.6283000000000001</c:v>
                </c:pt>
                <c:pt idx="46">
                  <c:v>1.6632</c:v>
                </c:pt>
                <c:pt idx="47">
                  <c:v>1.6677999999999999</c:v>
                </c:pt>
                <c:pt idx="48">
                  <c:v>1.6899</c:v>
                </c:pt>
                <c:pt idx="49">
                  <c:v>1.6904999999999999</c:v>
                </c:pt>
                <c:pt idx="50">
                  <c:v>1.7097</c:v>
                </c:pt>
                <c:pt idx="51">
                  <c:v>1.7072000000000001</c:v>
                </c:pt>
                <c:pt idx="52">
                  <c:v>1.7064999999999999</c:v>
                </c:pt>
                <c:pt idx="53">
                  <c:v>1.7274</c:v>
                </c:pt>
                <c:pt idx="54">
                  <c:v>1.7539</c:v>
                </c:pt>
                <c:pt idx="55">
                  <c:v>1.7446999999999999</c:v>
                </c:pt>
                <c:pt idx="56">
                  <c:v>1.724</c:v>
                </c:pt>
                <c:pt idx="57">
                  <c:v>1.6904999999999999</c:v>
                </c:pt>
                <c:pt idx="58">
                  <c:v>1.7041999999999999</c:v>
                </c:pt>
                <c:pt idx="59">
                  <c:v>1.7487999999999999</c:v>
                </c:pt>
                <c:pt idx="60">
                  <c:v>1.7544</c:v>
                </c:pt>
                <c:pt idx="61">
                  <c:v>1.7222</c:v>
                </c:pt>
                <c:pt idx="62">
                  <c:v>1.6488</c:v>
                </c:pt>
                <c:pt idx="63">
                  <c:v>1.6527000000000001</c:v>
                </c:pt>
                <c:pt idx="64">
                  <c:v>1.6596</c:v>
                </c:pt>
                <c:pt idx="65">
                  <c:v>1.6573</c:v>
                </c:pt>
                <c:pt idx="66">
                  <c:v>1.6641999999999999</c:v>
                </c:pt>
                <c:pt idx="67">
                  <c:v>1.6492</c:v>
                </c:pt>
                <c:pt idx="68">
                  <c:v>1.667</c:v>
                </c:pt>
                <c:pt idx="69">
                  <c:v>1.6549</c:v>
                </c:pt>
                <c:pt idx="70">
                  <c:v>1.6365000000000001</c:v>
                </c:pt>
                <c:pt idx="71">
                  <c:v>1.5933999999999999</c:v>
                </c:pt>
                <c:pt idx="72">
                  <c:v>1.573</c:v>
                </c:pt>
                <c:pt idx="73">
                  <c:v>1.5259</c:v>
                </c:pt>
                <c:pt idx="74">
                  <c:v>1.4930000000000001</c:v>
                </c:pt>
                <c:pt idx="75">
                  <c:v>1.5143</c:v>
                </c:pt>
                <c:pt idx="76">
                  <c:v>1.5407999999999999</c:v>
                </c:pt>
                <c:pt idx="77">
                  <c:v>1.5055000000000001</c:v>
                </c:pt>
                <c:pt idx="78">
                  <c:v>1.5041</c:v>
                </c:pt>
                <c:pt idx="79">
                  <c:v>1.4737</c:v>
                </c:pt>
                <c:pt idx="80">
                  <c:v>1.4432</c:v>
                </c:pt>
                <c:pt idx="81">
                  <c:v>1.4863</c:v>
                </c:pt>
                <c:pt idx="82">
                  <c:v>1.498</c:v>
                </c:pt>
                <c:pt idx="83">
                  <c:v>1.5239</c:v>
                </c:pt>
                <c:pt idx="84">
                  <c:v>1.5213000000000001</c:v>
                </c:pt>
                <c:pt idx="85">
                  <c:v>1.5142</c:v>
                </c:pt>
                <c:pt idx="86">
                  <c:v>1.581</c:v>
                </c:pt>
                <c:pt idx="87">
                  <c:v>1.7226999999999999</c:v>
                </c:pt>
                <c:pt idx="88">
                  <c:v>1.5832999999999999</c:v>
                </c:pt>
                <c:pt idx="89">
                  <c:v>1.6148</c:v>
                </c:pt>
                <c:pt idx="90">
                  <c:v>1.7819</c:v>
                </c:pt>
                <c:pt idx="91">
                  <c:v>1.7845</c:v>
                </c:pt>
                <c:pt idx="92">
                  <c:v>1.7612000000000001</c:v>
                </c:pt>
                <c:pt idx="93">
                  <c:v>1.7132000000000001</c:v>
                </c:pt>
                <c:pt idx="94">
                  <c:v>1.6418999999999999</c:v>
                </c:pt>
                <c:pt idx="95">
                  <c:v>1.5645</c:v>
                </c:pt>
                <c:pt idx="96">
                  <c:v>1.5206</c:v>
                </c:pt>
                <c:pt idx="97">
                  <c:v>1.4827999999999999</c:v>
                </c:pt>
                <c:pt idx="98">
                  <c:v>1.5396000000000001</c:v>
                </c:pt>
                <c:pt idx="99">
                  <c:v>1.5313000000000001</c:v>
                </c:pt>
                <c:pt idx="100">
                  <c:v>1.5555000000000001</c:v>
                </c:pt>
                <c:pt idx="101">
                  <c:v>1.5218</c:v>
                </c:pt>
                <c:pt idx="102">
                  <c:v>1.389</c:v>
                </c:pt>
                <c:pt idx="103">
                  <c:v>1.1369</c:v>
                </c:pt>
                <c:pt idx="104">
                  <c:v>1.1571</c:v>
                </c:pt>
                <c:pt idx="105">
                  <c:v>1.1103000000000001</c:v>
                </c:pt>
                <c:pt idx="106">
                  <c:v>0.91900000000000004</c:v>
                </c:pt>
                <c:pt idx="107">
                  <c:v>0.91349999999999998</c:v>
                </c:pt>
                <c:pt idx="108">
                  <c:v>0.70169999999999999</c:v>
                </c:pt>
                <c:pt idx="109">
                  <c:v>0.71140000000000003</c:v>
                </c:pt>
                <c:pt idx="110">
                  <c:v>0.64590000000000003</c:v>
                </c:pt>
                <c:pt idx="111">
                  <c:v>0.69320000000000004</c:v>
                </c:pt>
                <c:pt idx="112">
                  <c:v>0.60540000000000005</c:v>
                </c:pt>
                <c:pt idx="113">
                  <c:v>0.49469999999999997</c:v>
                </c:pt>
                <c:pt idx="114">
                  <c:v>0.51049999999999995</c:v>
                </c:pt>
                <c:pt idx="115">
                  <c:v>0.60540000000000005</c:v>
                </c:pt>
                <c:pt idx="116">
                  <c:v>0.59799999999999998</c:v>
                </c:pt>
                <c:pt idx="117">
                  <c:v>0.61360000000000003</c:v>
                </c:pt>
                <c:pt idx="118">
                  <c:v>0.61680000000000001</c:v>
                </c:pt>
                <c:pt idx="119">
                  <c:v>0.5927</c:v>
                </c:pt>
                <c:pt idx="120">
                  <c:v>0.54649999999999999</c:v>
                </c:pt>
                <c:pt idx="121">
                  <c:v>0.66279999999999994</c:v>
                </c:pt>
                <c:pt idx="122">
                  <c:v>0.69159999999999999</c:v>
                </c:pt>
                <c:pt idx="123">
                  <c:v>0.7016</c:v>
                </c:pt>
                <c:pt idx="124">
                  <c:v>0.6482</c:v>
                </c:pt>
                <c:pt idx="125">
                  <c:v>0.67800000000000005</c:v>
                </c:pt>
                <c:pt idx="126">
                  <c:v>0.67730000000000001</c:v>
                </c:pt>
                <c:pt idx="127">
                  <c:v>0.70330000000000004</c:v>
                </c:pt>
                <c:pt idx="128">
                  <c:v>0.72</c:v>
                </c:pt>
                <c:pt idx="129">
                  <c:v>0.72040000000000004</c:v>
                </c:pt>
                <c:pt idx="130">
                  <c:v>0.75690000000000002</c:v>
                </c:pt>
                <c:pt idx="131">
                  <c:v>0.76459999999999995</c:v>
                </c:pt>
                <c:pt idx="132">
                  <c:v>0.72550000000000003</c:v>
                </c:pt>
                <c:pt idx="133">
                  <c:v>0.62529999999999997</c:v>
                </c:pt>
                <c:pt idx="134">
                  <c:v>0.6875</c:v>
                </c:pt>
                <c:pt idx="135">
                  <c:v>0.68210000000000004</c:v>
                </c:pt>
                <c:pt idx="136">
                  <c:v>0.70009999999999994</c:v>
                </c:pt>
                <c:pt idx="137">
                  <c:v>0.68489999999999995</c:v>
                </c:pt>
                <c:pt idx="138">
                  <c:v>0.70399999999999996</c:v>
                </c:pt>
                <c:pt idx="139">
                  <c:v>0.72719999999999996</c:v>
                </c:pt>
                <c:pt idx="140">
                  <c:v>0.78369999999999995</c:v>
                </c:pt>
                <c:pt idx="141">
                  <c:v>0.76629999999999998</c:v>
                </c:pt>
                <c:pt idx="142">
                  <c:v>0.82150000000000001</c:v>
                </c:pt>
                <c:pt idx="143">
                  <c:v>0.90129999999999999</c:v>
                </c:pt>
                <c:pt idx="144">
                  <c:v>0.87690000000000001</c:v>
                </c:pt>
                <c:pt idx="145">
                  <c:v>0.93140000000000001</c:v>
                </c:pt>
                <c:pt idx="146">
                  <c:v>0.95220000000000005</c:v>
                </c:pt>
                <c:pt idx="147">
                  <c:v>0.92420000000000002</c:v>
                </c:pt>
                <c:pt idx="148">
                  <c:v>0.93630000000000002</c:v>
                </c:pt>
                <c:pt idx="149">
                  <c:v>0.88180000000000003</c:v>
                </c:pt>
                <c:pt idx="150">
                  <c:v>0.93689999999999996</c:v>
                </c:pt>
                <c:pt idx="151">
                  <c:v>0.98380000000000001</c:v>
                </c:pt>
                <c:pt idx="152">
                  <c:v>1.0426</c:v>
                </c:pt>
                <c:pt idx="153">
                  <c:v>1.0549999999999999</c:v>
                </c:pt>
                <c:pt idx="154">
                  <c:v>1.0438000000000001</c:v>
                </c:pt>
                <c:pt idx="155">
                  <c:v>1.0618000000000001</c:v>
                </c:pt>
                <c:pt idx="156">
                  <c:v>1.0518000000000001</c:v>
                </c:pt>
                <c:pt idx="157">
                  <c:v>1.0648</c:v>
                </c:pt>
                <c:pt idx="158">
                  <c:v>1.0177</c:v>
                </c:pt>
                <c:pt idx="159">
                  <c:v>1.026</c:v>
                </c:pt>
                <c:pt idx="160">
                  <c:v>1.0785</c:v>
                </c:pt>
                <c:pt idx="161">
                  <c:v>1.0667</c:v>
                </c:pt>
                <c:pt idx="162">
                  <c:v>1.1183000000000001</c:v>
                </c:pt>
                <c:pt idx="163">
                  <c:v>1.1193</c:v>
                </c:pt>
                <c:pt idx="164">
                  <c:v>1.149</c:v>
                </c:pt>
                <c:pt idx="165">
                  <c:v>1.2136</c:v>
                </c:pt>
                <c:pt idx="166">
                  <c:v>1.1950000000000001</c:v>
                </c:pt>
                <c:pt idx="167">
                  <c:v>1.2102999999999999</c:v>
                </c:pt>
                <c:pt idx="168">
                  <c:v>1.2099</c:v>
                </c:pt>
                <c:pt idx="169">
                  <c:v>1.1188</c:v>
                </c:pt>
                <c:pt idx="170">
                  <c:v>1.1367</c:v>
                </c:pt>
                <c:pt idx="171">
                  <c:v>1.1732</c:v>
                </c:pt>
                <c:pt idx="172">
                  <c:v>1.2149000000000001</c:v>
                </c:pt>
                <c:pt idx="173">
                  <c:v>1.2219</c:v>
                </c:pt>
                <c:pt idx="174">
                  <c:v>1.2575000000000001</c:v>
                </c:pt>
                <c:pt idx="175">
                  <c:v>1.2709999999999999</c:v>
                </c:pt>
                <c:pt idx="176">
                  <c:v>1.2904</c:v>
                </c:pt>
                <c:pt idx="177">
                  <c:v>1.2983</c:v>
                </c:pt>
                <c:pt idx="178">
                  <c:v>1.1992</c:v>
                </c:pt>
                <c:pt idx="179">
                  <c:v>1.1972</c:v>
                </c:pt>
                <c:pt idx="180">
                  <c:v>1.1569</c:v>
                </c:pt>
                <c:pt idx="181">
                  <c:v>1.1878</c:v>
                </c:pt>
                <c:pt idx="182">
                  <c:v>1.2015</c:v>
                </c:pt>
                <c:pt idx="183">
                  <c:v>1.2169000000000001</c:v>
                </c:pt>
                <c:pt idx="184">
                  <c:v>1.2592000000000001</c:v>
                </c:pt>
                <c:pt idx="185">
                  <c:v>1.2407999999999999</c:v>
                </c:pt>
                <c:pt idx="186">
                  <c:v>1.2749999999999999</c:v>
                </c:pt>
                <c:pt idx="187">
                  <c:v>1.2908999999999999</c:v>
                </c:pt>
                <c:pt idx="188">
                  <c:v>1.2504999999999999</c:v>
                </c:pt>
                <c:pt idx="189">
                  <c:v>1.2830999999999999</c:v>
                </c:pt>
                <c:pt idx="190">
                  <c:v>1.2471000000000001</c:v>
                </c:pt>
                <c:pt idx="191">
                  <c:v>1.2262</c:v>
                </c:pt>
                <c:pt idx="192">
                  <c:v>1.2427999999999999</c:v>
                </c:pt>
                <c:pt idx="193">
                  <c:v>1.2157</c:v>
                </c:pt>
                <c:pt idx="194">
                  <c:v>1.2061999999999999</c:v>
                </c:pt>
                <c:pt idx="195">
                  <c:v>1.2131000000000001</c:v>
                </c:pt>
                <c:pt idx="196">
                  <c:v>1.2604</c:v>
                </c:pt>
                <c:pt idx="197">
                  <c:v>1.2603</c:v>
                </c:pt>
                <c:pt idx="198">
                  <c:v>1.2363</c:v>
                </c:pt>
                <c:pt idx="199">
                  <c:v>1.256</c:v>
                </c:pt>
                <c:pt idx="200">
                  <c:v>1.2446999999999999</c:v>
                </c:pt>
                <c:pt idx="201">
                  <c:v>1.2352000000000001</c:v>
                </c:pt>
                <c:pt idx="202">
                  <c:v>1.2132000000000001</c:v>
                </c:pt>
                <c:pt idx="203">
                  <c:v>1.1908000000000001</c:v>
                </c:pt>
                <c:pt idx="204">
                  <c:v>1.1711</c:v>
                </c:pt>
                <c:pt idx="205">
                  <c:v>1.2131000000000001</c:v>
                </c:pt>
                <c:pt idx="206">
                  <c:v>1.2142999999999999</c:v>
                </c:pt>
                <c:pt idx="207">
                  <c:v>1.2228000000000001</c:v>
                </c:pt>
                <c:pt idx="208">
                  <c:v>1.2281</c:v>
                </c:pt>
                <c:pt idx="209">
                  <c:v>1.2076</c:v>
                </c:pt>
                <c:pt idx="210">
                  <c:v>1.2293000000000001</c:v>
                </c:pt>
                <c:pt idx="211">
                  <c:v>1.2044999999999999</c:v>
                </c:pt>
                <c:pt idx="212">
                  <c:v>1.1858</c:v>
                </c:pt>
                <c:pt idx="213">
                  <c:v>1.1789000000000001</c:v>
                </c:pt>
                <c:pt idx="214">
                  <c:v>1.1879999999999999</c:v>
                </c:pt>
                <c:pt idx="215">
                  <c:v>1.2134</c:v>
                </c:pt>
                <c:pt idx="216">
                  <c:v>1.2249000000000001</c:v>
                </c:pt>
                <c:pt idx="217">
                  <c:v>1.2284999999999999</c:v>
                </c:pt>
                <c:pt idx="218">
                  <c:v>1.2263999999999999</c:v>
                </c:pt>
                <c:pt idx="219">
                  <c:v>1.2130000000000001</c:v>
                </c:pt>
                <c:pt idx="220">
                  <c:v>1.2598</c:v>
                </c:pt>
                <c:pt idx="221">
                  <c:v>1.2685</c:v>
                </c:pt>
                <c:pt idx="222">
                  <c:v>1.2634000000000001</c:v>
                </c:pt>
                <c:pt idx="223">
                  <c:v>1.2181999999999999</c:v>
                </c:pt>
                <c:pt idx="224">
                  <c:v>1.2464999999999999</c:v>
                </c:pt>
                <c:pt idx="225">
                  <c:v>1.2137</c:v>
                </c:pt>
                <c:pt idx="226">
                  <c:v>1.2246999999999999</c:v>
                </c:pt>
                <c:pt idx="227">
                  <c:v>1.202</c:v>
                </c:pt>
                <c:pt idx="228">
                  <c:v>1.2049000000000001</c:v>
                </c:pt>
                <c:pt idx="229">
                  <c:v>1.1772</c:v>
                </c:pt>
                <c:pt idx="230">
                  <c:v>1.1028</c:v>
                </c:pt>
                <c:pt idx="231">
                  <c:v>1.1193</c:v>
                </c:pt>
                <c:pt idx="232">
                  <c:v>1.0976999999999999</c:v>
                </c:pt>
                <c:pt idx="233">
                  <c:v>1.0949</c:v>
                </c:pt>
                <c:pt idx="234">
                  <c:v>1.0922000000000001</c:v>
                </c:pt>
                <c:pt idx="235">
                  <c:v>1.1198999999999999</c:v>
                </c:pt>
                <c:pt idx="236">
                  <c:v>1.1694</c:v>
                </c:pt>
                <c:pt idx="237">
                  <c:v>1.2017</c:v>
                </c:pt>
                <c:pt idx="238">
                  <c:v>1.2097</c:v>
                </c:pt>
                <c:pt idx="239">
                  <c:v>1.1544000000000001</c:v>
                </c:pt>
                <c:pt idx="240">
                  <c:v>1.1437999999999999</c:v>
                </c:pt>
                <c:pt idx="241">
                  <c:v>1.1577999999999999</c:v>
                </c:pt>
                <c:pt idx="242">
                  <c:v>1.1732</c:v>
                </c:pt>
                <c:pt idx="243">
                  <c:v>1.1898</c:v>
                </c:pt>
                <c:pt idx="244">
                  <c:v>1.2132000000000001</c:v>
                </c:pt>
                <c:pt idx="245">
                  <c:v>1.1711</c:v>
                </c:pt>
                <c:pt idx="246">
                  <c:v>1.1816</c:v>
                </c:pt>
                <c:pt idx="247">
                  <c:v>1.1524000000000001</c:v>
                </c:pt>
                <c:pt idx="248">
                  <c:v>1.1234999999999999</c:v>
                </c:pt>
                <c:pt idx="249">
                  <c:v>1.1940999999999999</c:v>
                </c:pt>
                <c:pt idx="250">
                  <c:v>1.2351000000000001</c:v>
                </c:pt>
                <c:pt idx="251">
                  <c:v>1.2009000000000001</c:v>
                </c:pt>
                <c:pt idx="252">
                  <c:v>1.2316</c:v>
                </c:pt>
                <c:pt idx="253">
                  <c:v>1.2032</c:v>
                </c:pt>
                <c:pt idx="254">
                  <c:v>1.1757</c:v>
                </c:pt>
                <c:pt idx="255">
                  <c:v>1.1633</c:v>
                </c:pt>
                <c:pt idx="256">
                  <c:v>1.1795</c:v>
                </c:pt>
                <c:pt idx="257">
                  <c:v>1.1637</c:v>
                </c:pt>
                <c:pt idx="258">
                  <c:v>1.1535</c:v>
                </c:pt>
                <c:pt idx="259">
                  <c:v>1.1485000000000001</c:v>
                </c:pt>
                <c:pt idx="260">
                  <c:v>1.1725000000000001</c:v>
                </c:pt>
                <c:pt idx="261">
                  <c:v>1.1271</c:v>
                </c:pt>
                <c:pt idx="262">
                  <c:v>1.1452</c:v>
                </c:pt>
                <c:pt idx="263">
                  <c:v>1.127</c:v>
                </c:pt>
                <c:pt idx="264">
                  <c:v>1.0969</c:v>
                </c:pt>
                <c:pt idx="265">
                  <c:v>1.1288</c:v>
                </c:pt>
                <c:pt idx="266">
                  <c:v>1.0636000000000001</c:v>
                </c:pt>
                <c:pt idx="267">
                  <c:v>1.028</c:v>
                </c:pt>
                <c:pt idx="268">
                  <c:v>1.0322</c:v>
                </c:pt>
                <c:pt idx="269">
                  <c:v>1.052</c:v>
                </c:pt>
                <c:pt idx="270">
                  <c:v>1.0769</c:v>
                </c:pt>
                <c:pt idx="271">
                  <c:v>1.1081000000000001</c:v>
                </c:pt>
                <c:pt idx="272">
                  <c:v>1.1158999999999999</c:v>
                </c:pt>
                <c:pt idx="273">
                  <c:v>1.0844</c:v>
                </c:pt>
                <c:pt idx="274">
                  <c:v>1.1607000000000001</c:v>
                </c:pt>
                <c:pt idx="275">
                  <c:v>1.1940999999999999</c:v>
                </c:pt>
                <c:pt idx="276">
                  <c:v>1.1758999999999999</c:v>
                </c:pt>
                <c:pt idx="277">
                  <c:v>1.1557999999999999</c:v>
                </c:pt>
                <c:pt idx="278">
                  <c:v>1.125</c:v>
                </c:pt>
                <c:pt idx="279">
                  <c:v>1.147</c:v>
                </c:pt>
                <c:pt idx="280">
                  <c:v>1.1528</c:v>
                </c:pt>
                <c:pt idx="281">
                  <c:v>1.1626000000000001</c:v>
                </c:pt>
                <c:pt idx="282">
                  <c:v>1.1596</c:v>
                </c:pt>
                <c:pt idx="283">
                  <c:v>1.1702999999999999</c:v>
                </c:pt>
                <c:pt idx="284">
                  <c:v>1.1971000000000001</c:v>
                </c:pt>
                <c:pt idx="285">
                  <c:v>1.2509999999999999</c:v>
                </c:pt>
                <c:pt idx="286">
                  <c:v>1.2709999999999999</c:v>
                </c:pt>
                <c:pt idx="287">
                  <c:v>1.266</c:v>
                </c:pt>
                <c:pt idx="288">
                  <c:v>1.2416</c:v>
                </c:pt>
                <c:pt idx="289">
                  <c:v>1.2203999999999999</c:v>
                </c:pt>
                <c:pt idx="290">
                  <c:v>1.2399</c:v>
                </c:pt>
                <c:pt idx="291">
                  <c:v>1.2617</c:v>
                </c:pt>
                <c:pt idx="292">
                  <c:v>1.2685</c:v>
                </c:pt>
                <c:pt idx="293">
                  <c:v>1.2558</c:v>
                </c:pt>
                <c:pt idx="294">
                  <c:v>1.2559</c:v>
                </c:pt>
                <c:pt idx="295">
                  <c:v>1.2759</c:v>
                </c:pt>
                <c:pt idx="296">
                  <c:v>1.3166</c:v>
                </c:pt>
                <c:pt idx="297">
                  <c:v>1.3077000000000001</c:v>
                </c:pt>
                <c:pt idx="298">
                  <c:v>1.3190999999999999</c:v>
                </c:pt>
                <c:pt idx="299">
                  <c:v>1.3268</c:v>
                </c:pt>
                <c:pt idx="300">
                  <c:v>1.3514999999999999</c:v>
                </c:pt>
                <c:pt idx="301">
                  <c:v>1.3816999999999999</c:v>
                </c:pt>
                <c:pt idx="302">
                  <c:v>1.391</c:v>
                </c:pt>
                <c:pt idx="303">
                  <c:v>1.3548</c:v>
                </c:pt>
                <c:pt idx="304">
                  <c:v>1.3354999999999999</c:v>
                </c:pt>
                <c:pt idx="305">
                  <c:v>1.3762000000000001</c:v>
                </c:pt>
                <c:pt idx="306">
                  <c:v>1.3722000000000001</c:v>
                </c:pt>
                <c:pt idx="307">
                  <c:v>1.3607</c:v>
                </c:pt>
                <c:pt idx="308">
                  <c:v>1.3783000000000001</c:v>
                </c:pt>
                <c:pt idx="309">
                  <c:v>1.4013</c:v>
                </c:pt>
                <c:pt idx="310">
                  <c:v>1.4100999999999999</c:v>
                </c:pt>
                <c:pt idx="311">
                  <c:v>1.3729</c:v>
                </c:pt>
                <c:pt idx="312">
                  <c:v>1.4520999999999999</c:v>
                </c:pt>
                <c:pt idx="313">
                  <c:v>1.4750000000000001</c:v>
                </c:pt>
                <c:pt idx="314">
                  <c:v>1.4826999999999999</c:v>
                </c:pt>
                <c:pt idx="315">
                  <c:v>1.5423</c:v>
                </c:pt>
                <c:pt idx="316">
                  <c:v>1.5207999999999999</c:v>
                </c:pt>
                <c:pt idx="317">
                  <c:v>1.5518000000000001</c:v>
                </c:pt>
                <c:pt idx="318">
                  <c:v>1.5467</c:v>
                </c:pt>
                <c:pt idx="319">
                  <c:v>1.5538000000000001</c:v>
                </c:pt>
                <c:pt idx="320">
                  <c:v>1.5277000000000001</c:v>
                </c:pt>
                <c:pt idx="321">
                  <c:v>1.5379</c:v>
                </c:pt>
                <c:pt idx="322">
                  <c:v>1.5437000000000001</c:v>
                </c:pt>
                <c:pt idx="323">
                  <c:v>1.5471999999999999</c:v>
                </c:pt>
                <c:pt idx="324">
                  <c:v>1.5449999999999999</c:v>
                </c:pt>
                <c:pt idx="325">
                  <c:v>1.5579000000000001</c:v>
                </c:pt>
                <c:pt idx="326">
                  <c:v>1.5748</c:v>
                </c:pt>
                <c:pt idx="327">
                  <c:v>1.5716000000000001</c:v>
                </c:pt>
                <c:pt idx="328">
                  <c:v>1.5753999999999999</c:v>
                </c:pt>
                <c:pt idx="329">
                  <c:v>1.5527</c:v>
                </c:pt>
                <c:pt idx="330">
                  <c:v>1.5901000000000001</c:v>
                </c:pt>
                <c:pt idx="331">
                  <c:v>1.6160000000000001</c:v>
                </c:pt>
                <c:pt idx="332">
                  <c:v>1.6486000000000001</c:v>
                </c:pt>
                <c:pt idx="333">
                  <c:v>1.6448</c:v>
                </c:pt>
                <c:pt idx="334">
                  <c:v>1.6493</c:v>
                </c:pt>
                <c:pt idx="335">
                  <c:v>1.6748000000000001</c:v>
                </c:pt>
                <c:pt idx="336">
                  <c:v>1.6736</c:v>
                </c:pt>
                <c:pt idx="337">
                  <c:v>1.7841</c:v>
                </c:pt>
                <c:pt idx="338">
                  <c:v>1.7786</c:v>
                </c:pt>
                <c:pt idx="339">
                  <c:v>1.8139000000000001</c:v>
                </c:pt>
                <c:pt idx="340">
                  <c:v>1.8636999999999999</c:v>
                </c:pt>
                <c:pt idx="341">
                  <c:v>1.8937999999999999</c:v>
                </c:pt>
                <c:pt idx="342">
                  <c:v>1.8872</c:v>
                </c:pt>
                <c:pt idx="343">
                  <c:v>1.8889</c:v>
                </c:pt>
                <c:pt idx="344">
                  <c:v>1.9309000000000001</c:v>
                </c:pt>
                <c:pt idx="345">
                  <c:v>1.9424999999999999</c:v>
                </c:pt>
                <c:pt idx="346">
                  <c:v>1.9777</c:v>
                </c:pt>
                <c:pt idx="347">
                  <c:v>1.9763999999999999</c:v>
                </c:pt>
                <c:pt idx="348">
                  <c:v>1.9504999999999999</c:v>
                </c:pt>
                <c:pt idx="349">
                  <c:v>1.9429000000000001</c:v>
                </c:pt>
                <c:pt idx="350">
                  <c:v>1.9363999999999999</c:v>
                </c:pt>
                <c:pt idx="351">
                  <c:v>1.9518</c:v>
                </c:pt>
                <c:pt idx="352">
                  <c:v>1.9979</c:v>
                </c:pt>
                <c:pt idx="353">
                  <c:v>2.0647000000000002</c:v>
                </c:pt>
                <c:pt idx="354">
                  <c:v>2.0487000000000002</c:v>
                </c:pt>
                <c:pt idx="355">
                  <c:v>2.0501999999999998</c:v>
                </c:pt>
                <c:pt idx="356">
                  <c:v>2.0747</c:v>
                </c:pt>
                <c:pt idx="357">
                  <c:v>2.1273</c:v>
                </c:pt>
                <c:pt idx="358">
                  <c:v>2.1347999999999998</c:v>
                </c:pt>
                <c:pt idx="359">
                  <c:v>2.0994000000000002</c:v>
                </c:pt>
                <c:pt idx="360">
                  <c:v>2.0956999999999999</c:v>
                </c:pt>
                <c:pt idx="361">
                  <c:v>2.0474999999999999</c:v>
                </c:pt>
                <c:pt idx="362">
                  <c:v>1.9407000000000001</c:v>
                </c:pt>
                <c:pt idx="363">
                  <c:v>1.9437</c:v>
                </c:pt>
                <c:pt idx="364">
                  <c:v>1.9583999999999999</c:v>
                </c:pt>
                <c:pt idx="365">
                  <c:v>1.8958999999999999</c:v>
                </c:pt>
                <c:pt idx="366">
                  <c:v>1.9875</c:v>
                </c:pt>
                <c:pt idx="367">
                  <c:v>1.9196</c:v>
                </c:pt>
                <c:pt idx="368">
                  <c:v>1.9709000000000001</c:v>
                </c:pt>
                <c:pt idx="369">
                  <c:v>2.0009000000000001</c:v>
                </c:pt>
                <c:pt idx="370">
                  <c:v>1.9964</c:v>
                </c:pt>
                <c:pt idx="371">
                  <c:v>1.9597</c:v>
                </c:pt>
                <c:pt idx="372">
                  <c:v>2.0223</c:v>
                </c:pt>
                <c:pt idx="373">
                  <c:v>1.9611000000000001</c:v>
                </c:pt>
                <c:pt idx="374">
                  <c:v>1.9662999999999999</c:v>
                </c:pt>
                <c:pt idx="375">
                  <c:v>1.9518</c:v>
                </c:pt>
                <c:pt idx="376">
                  <c:v>1.9593</c:v>
                </c:pt>
                <c:pt idx="377">
                  <c:v>1.9621</c:v>
                </c:pt>
                <c:pt idx="378">
                  <c:v>1.97</c:v>
                </c:pt>
                <c:pt idx="379">
                  <c:v>1.9757</c:v>
                </c:pt>
                <c:pt idx="380">
                  <c:v>2.0409000000000002</c:v>
                </c:pt>
                <c:pt idx="381">
                  <c:v>2.0526</c:v>
                </c:pt>
                <c:pt idx="382">
                  <c:v>2.0426000000000002</c:v>
                </c:pt>
                <c:pt idx="383">
                  <c:v>2.0463</c:v>
                </c:pt>
                <c:pt idx="384">
                  <c:v>2.0209000000000001</c:v>
                </c:pt>
                <c:pt idx="385">
                  <c:v>1.9881</c:v>
                </c:pt>
                <c:pt idx="386">
                  <c:v>1.9811000000000001</c:v>
                </c:pt>
                <c:pt idx="387">
                  <c:v>2.0051000000000001</c:v>
                </c:pt>
                <c:pt idx="388">
                  <c:v>1.9902</c:v>
                </c:pt>
                <c:pt idx="389">
                  <c:v>2.0287999999999999</c:v>
                </c:pt>
                <c:pt idx="390">
                  <c:v>2.0743</c:v>
                </c:pt>
                <c:pt idx="391">
                  <c:v>2.0988000000000002</c:v>
                </c:pt>
                <c:pt idx="392">
                  <c:v>2.0762999999999998</c:v>
                </c:pt>
                <c:pt idx="393">
                  <c:v>2.1015000000000001</c:v>
                </c:pt>
                <c:pt idx="394">
                  <c:v>2.1511999999999998</c:v>
                </c:pt>
                <c:pt idx="395">
                  <c:v>2.1513</c:v>
                </c:pt>
                <c:pt idx="396">
                  <c:v>2.1137000000000001</c:v>
                </c:pt>
                <c:pt idx="397">
                  <c:v>2.1269</c:v>
                </c:pt>
                <c:pt idx="398">
                  <c:v>2.1334</c:v>
                </c:pt>
                <c:pt idx="399">
                  <c:v>2.1398999999999999</c:v>
                </c:pt>
                <c:pt idx="400">
                  <c:v>2.161</c:v>
                </c:pt>
                <c:pt idx="401">
                  <c:v>2.093</c:v>
                </c:pt>
                <c:pt idx="402">
                  <c:v>2.1223999999999998</c:v>
                </c:pt>
                <c:pt idx="403">
                  <c:v>2.1536</c:v>
                </c:pt>
                <c:pt idx="404">
                  <c:v>2.1554000000000002</c:v>
                </c:pt>
                <c:pt idx="405">
                  <c:v>2.0979000000000001</c:v>
                </c:pt>
                <c:pt idx="406">
                  <c:v>2.0461999999999998</c:v>
                </c:pt>
                <c:pt idx="407">
                  <c:v>2.0709</c:v>
                </c:pt>
                <c:pt idx="408">
                  <c:v>2.1217000000000001</c:v>
                </c:pt>
                <c:pt idx="409">
                  <c:v>2.1229</c:v>
                </c:pt>
                <c:pt idx="410">
                  <c:v>2.1511999999999998</c:v>
                </c:pt>
                <c:pt idx="411">
                  <c:v>2.1551999999999998</c:v>
                </c:pt>
                <c:pt idx="412">
                  <c:v>2.1368999999999998</c:v>
                </c:pt>
                <c:pt idx="413">
                  <c:v>2.1703999999999999</c:v>
                </c:pt>
                <c:pt idx="414">
                  <c:v>2.1941000000000002</c:v>
                </c:pt>
                <c:pt idx="415">
                  <c:v>2.2018</c:v>
                </c:pt>
                <c:pt idx="416">
                  <c:v>2.2115</c:v>
                </c:pt>
                <c:pt idx="417">
                  <c:v>2.1930999999999998</c:v>
                </c:pt>
                <c:pt idx="418">
                  <c:v>2.2189999999999999</c:v>
                </c:pt>
                <c:pt idx="419">
                  <c:v>2.2025000000000001</c:v>
                </c:pt>
                <c:pt idx="420">
                  <c:v>2.2122000000000002</c:v>
                </c:pt>
                <c:pt idx="421">
                  <c:v>2.1861000000000002</c:v>
                </c:pt>
                <c:pt idx="422">
                  <c:v>2.173</c:v>
                </c:pt>
                <c:pt idx="423">
                  <c:v>2.1728999999999998</c:v>
                </c:pt>
                <c:pt idx="424">
                  <c:v>2.16</c:v>
                </c:pt>
                <c:pt idx="425">
                  <c:v>2.1387999999999998</c:v>
                </c:pt>
                <c:pt idx="426">
                  <c:v>2.1739999999999999</c:v>
                </c:pt>
                <c:pt idx="427">
                  <c:v>2.2031000000000001</c:v>
                </c:pt>
                <c:pt idx="428">
                  <c:v>2.2301000000000002</c:v>
                </c:pt>
                <c:pt idx="429">
                  <c:v>2.2698999999999998</c:v>
                </c:pt>
                <c:pt idx="430">
                  <c:v>2.2799999999999998</c:v>
                </c:pt>
                <c:pt idx="431">
                  <c:v>2.2612000000000001</c:v>
                </c:pt>
                <c:pt idx="432">
                  <c:v>2.2176999999999998</c:v>
                </c:pt>
                <c:pt idx="433">
                  <c:v>2.2414999999999998</c:v>
                </c:pt>
                <c:pt idx="434">
                  <c:v>2.2418</c:v>
                </c:pt>
                <c:pt idx="435">
                  <c:v>2.2675999999999998</c:v>
                </c:pt>
                <c:pt idx="436">
                  <c:v>2.2997999999999998</c:v>
                </c:pt>
                <c:pt idx="437">
                  <c:v>2.2282000000000002</c:v>
                </c:pt>
                <c:pt idx="438">
                  <c:v>2.206</c:v>
                </c:pt>
                <c:pt idx="439">
                  <c:v>2.2551999999999999</c:v>
                </c:pt>
                <c:pt idx="440">
                  <c:v>2.2919999999999998</c:v>
                </c:pt>
                <c:pt idx="441">
                  <c:v>2.2772000000000001</c:v>
                </c:pt>
                <c:pt idx="442">
                  <c:v>2.3016999999999999</c:v>
                </c:pt>
                <c:pt idx="443">
                  <c:v>2.2722000000000002</c:v>
                </c:pt>
                <c:pt idx="444">
                  <c:v>2.2317999999999998</c:v>
                </c:pt>
                <c:pt idx="445">
                  <c:v>2.2345000000000002</c:v>
                </c:pt>
                <c:pt idx="446">
                  <c:v>2.0903</c:v>
                </c:pt>
                <c:pt idx="447">
                  <c:v>2.1103999999999998</c:v>
                </c:pt>
                <c:pt idx="448">
                  <c:v>2.1941000000000002</c:v>
                </c:pt>
                <c:pt idx="449">
                  <c:v>2.2473999999999998</c:v>
                </c:pt>
                <c:pt idx="450">
                  <c:v>2.2612000000000001</c:v>
                </c:pt>
                <c:pt idx="451">
                  <c:v>2.2753999999999999</c:v>
                </c:pt>
                <c:pt idx="452">
                  <c:v>2.2812999999999999</c:v>
                </c:pt>
                <c:pt idx="453">
                  <c:v>2.282</c:v>
                </c:pt>
                <c:pt idx="454">
                  <c:v>2.3250999999999999</c:v>
                </c:pt>
                <c:pt idx="455">
                  <c:v>2.3347000000000002</c:v>
                </c:pt>
                <c:pt idx="456">
                  <c:v>2.2747000000000002</c:v>
                </c:pt>
                <c:pt idx="457">
                  <c:v>2.2707999999999999</c:v>
                </c:pt>
                <c:pt idx="458">
                  <c:v>2.25</c:v>
                </c:pt>
                <c:pt idx="459">
                  <c:v>2.294</c:v>
                </c:pt>
                <c:pt idx="460">
                  <c:v>2.2568999999999999</c:v>
                </c:pt>
                <c:pt idx="461">
                  <c:v>2.2347999999999999</c:v>
                </c:pt>
                <c:pt idx="462">
                  <c:v>2.2679</c:v>
                </c:pt>
                <c:pt idx="463">
                  <c:v>2.3022</c:v>
                </c:pt>
                <c:pt idx="464">
                  <c:v>2.13</c:v>
                </c:pt>
                <c:pt idx="465">
                  <c:v>2.1128999999999998</c:v>
                </c:pt>
                <c:pt idx="466">
                  <c:v>2.0668000000000002</c:v>
                </c:pt>
                <c:pt idx="467">
                  <c:v>2.0396999999999998</c:v>
                </c:pt>
                <c:pt idx="468">
                  <c:v>2.0162</c:v>
                </c:pt>
                <c:pt idx="469">
                  <c:v>1.9524999999999999</c:v>
                </c:pt>
                <c:pt idx="470">
                  <c:v>1.8902000000000001</c:v>
                </c:pt>
                <c:pt idx="471">
                  <c:v>1.9865999999999999</c:v>
                </c:pt>
                <c:pt idx="472">
                  <c:v>2.0575999999999999</c:v>
                </c:pt>
                <c:pt idx="473">
                  <c:v>2.145</c:v>
                </c:pt>
                <c:pt idx="474">
                  <c:v>2.0922999999999998</c:v>
                </c:pt>
                <c:pt idx="475">
                  <c:v>2.1196000000000002</c:v>
                </c:pt>
                <c:pt idx="476">
                  <c:v>2.1537999999999999</c:v>
                </c:pt>
                <c:pt idx="477">
                  <c:v>2.1419000000000001</c:v>
                </c:pt>
                <c:pt idx="478">
                  <c:v>2.1109</c:v>
                </c:pt>
                <c:pt idx="479">
                  <c:v>2.1635</c:v>
                </c:pt>
                <c:pt idx="480">
                  <c:v>2.1539999999999999</c:v>
                </c:pt>
                <c:pt idx="481">
                  <c:v>2.13</c:v>
                </c:pt>
                <c:pt idx="482">
                  <c:v>2.1320999999999999</c:v>
                </c:pt>
                <c:pt idx="483">
                  <c:v>2.0996999999999999</c:v>
                </c:pt>
                <c:pt idx="484">
                  <c:v>2.1539999999999999</c:v>
                </c:pt>
                <c:pt idx="485">
                  <c:v>2.1608999999999998</c:v>
                </c:pt>
                <c:pt idx="486">
                  <c:v>2.1118999999999999</c:v>
                </c:pt>
                <c:pt idx="487">
                  <c:v>2.1438000000000001</c:v>
                </c:pt>
                <c:pt idx="488">
                  <c:v>2.1269</c:v>
                </c:pt>
                <c:pt idx="489">
                  <c:v>2.1156999999999999</c:v>
                </c:pt>
                <c:pt idx="490">
                  <c:v>2.0602999999999998</c:v>
                </c:pt>
                <c:pt idx="491">
                  <c:v>2.0598000000000001</c:v>
                </c:pt>
                <c:pt idx="492">
                  <c:v>2.0836999999999999</c:v>
                </c:pt>
                <c:pt idx="493">
                  <c:v>2.1261000000000001</c:v>
                </c:pt>
                <c:pt idx="494">
                  <c:v>2.1377000000000002</c:v>
                </c:pt>
                <c:pt idx="495">
                  <c:v>2.17</c:v>
                </c:pt>
                <c:pt idx="496">
                  <c:v>2.1475</c:v>
                </c:pt>
                <c:pt idx="497">
                  <c:v>2.1749999999999998</c:v>
                </c:pt>
                <c:pt idx="498">
                  <c:v>2.194</c:v>
                </c:pt>
                <c:pt idx="499">
                  <c:v>2.25</c:v>
                </c:pt>
                <c:pt idx="500">
                  <c:v>2.3085</c:v>
                </c:pt>
                <c:pt idx="501">
                  <c:v>2.3578999999999999</c:v>
                </c:pt>
                <c:pt idx="502">
                  <c:v>2.3081999999999998</c:v>
                </c:pt>
                <c:pt idx="503">
                  <c:v>2.3344</c:v>
                </c:pt>
                <c:pt idx="504">
                  <c:v>2.3662000000000001</c:v>
                </c:pt>
                <c:pt idx="505">
                  <c:v>2.3778999999999999</c:v>
                </c:pt>
                <c:pt idx="506">
                  <c:v>2.3828999999999998</c:v>
                </c:pt>
                <c:pt idx="507">
                  <c:v>2.4055</c:v>
                </c:pt>
                <c:pt idx="508">
                  <c:v>2.3824000000000001</c:v>
                </c:pt>
                <c:pt idx="509">
                  <c:v>2.4251</c:v>
                </c:pt>
                <c:pt idx="510">
                  <c:v>2.4222999999999999</c:v>
                </c:pt>
                <c:pt idx="511">
                  <c:v>2.4176000000000002</c:v>
                </c:pt>
                <c:pt idx="512">
                  <c:v>2.4468999999999999</c:v>
                </c:pt>
                <c:pt idx="513">
                  <c:v>2.419</c:v>
                </c:pt>
                <c:pt idx="514">
                  <c:v>2.4156</c:v>
                </c:pt>
                <c:pt idx="515">
                  <c:v>2.4426999999999999</c:v>
                </c:pt>
                <c:pt idx="516">
                  <c:v>2.4472</c:v>
                </c:pt>
                <c:pt idx="517">
                  <c:v>2.3792</c:v>
                </c:pt>
                <c:pt idx="518">
                  <c:v>2.3589000000000002</c:v>
                </c:pt>
                <c:pt idx="519">
                  <c:v>2.3696999999999999</c:v>
                </c:pt>
                <c:pt idx="520">
                  <c:v>2.4093</c:v>
                </c:pt>
                <c:pt idx="521">
                  <c:v>2.4500999999999999</c:v>
                </c:pt>
                <c:pt idx="522">
                  <c:v>2.3384999999999998</c:v>
                </c:pt>
                <c:pt idx="523">
                  <c:v>2.2926000000000002</c:v>
                </c:pt>
                <c:pt idx="524">
                  <c:v>2.3209</c:v>
                </c:pt>
                <c:pt idx="525">
                  <c:v>2.3222</c:v>
                </c:pt>
                <c:pt idx="526">
                  <c:v>2.3752</c:v>
                </c:pt>
                <c:pt idx="527">
                  <c:v>2.2646000000000002</c:v>
                </c:pt>
                <c:pt idx="528">
                  <c:v>2.2806000000000002</c:v>
                </c:pt>
                <c:pt idx="529">
                  <c:v>2.2685</c:v>
                </c:pt>
                <c:pt idx="530">
                  <c:v>2.2761999999999998</c:v>
                </c:pt>
                <c:pt idx="531">
                  <c:v>2.2936000000000001</c:v>
                </c:pt>
                <c:pt idx="532">
                  <c:v>2.2305000000000001</c:v>
                </c:pt>
                <c:pt idx="533">
                  <c:v>2.2427000000000001</c:v>
                </c:pt>
                <c:pt idx="534">
                  <c:v>2.1568999999999998</c:v>
                </c:pt>
                <c:pt idx="535">
                  <c:v>2.2033</c:v>
                </c:pt>
                <c:pt idx="536">
                  <c:v>2.2783000000000002</c:v>
                </c:pt>
                <c:pt idx="537">
                  <c:v>2.2658999999999998</c:v>
                </c:pt>
                <c:pt idx="538">
                  <c:v>1.9811000000000001</c:v>
                </c:pt>
                <c:pt idx="539">
                  <c:v>2.0329999999999999</c:v>
                </c:pt>
                <c:pt idx="540">
                  <c:v>1.9400999999999999</c:v>
                </c:pt>
                <c:pt idx="541">
                  <c:v>1.9511000000000001</c:v>
                </c:pt>
                <c:pt idx="542">
                  <c:v>1.9677</c:v>
                </c:pt>
                <c:pt idx="543">
                  <c:v>1.9529000000000001</c:v>
                </c:pt>
                <c:pt idx="544">
                  <c:v>2.0432999999999999</c:v>
                </c:pt>
                <c:pt idx="545">
                  <c:v>2.1</c:v>
                </c:pt>
                <c:pt idx="546">
                  <c:v>2.1484999999999999</c:v>
                </c:pt>
                <c:pt idx="547">
                  <c:v>2.1284000000000001</c:v>
                </c:pt>
                <c:pt idx="548">
                  <c:v>2.1372</c:v>
                </c:pt>
                <c:pt idx="549">
                  <c:v>2.1164999999999998</c:v>
                </c:pt>
                <c:pt idx="550">
                  <c:v>2.1107999999999998</c:v>
                </c:pt>
                <c:pt idx="551">
                  <c:v>2.1122999999999998</c:v>
                </c:pt>
                <c:pt idx="552">
                  <c:v>2.1644000000000001</c:v>
                </c:pt>
                <c:pt idx="553">
                  <c:v>2.1126</c:v>
                </c:pt>
                <c:pt idx="554">
                  <c:v>2.0785999999999998</c:v>
                </c:pt>
                <c:pt idx="555">
                  <c:v>2.1448</c:v>
                </c:pt>
                <c:pt idx="556">
                  <c:v>2.165</c:v>
                </c:pt>
                <c:pt idx="557">
                  <c:v>2.2033</c:v>
                </c:pt>
                <c:pt idx="558">
                  <c:v>2.2303999999999999</c:v>
                </c:pt>
                <c:pt idx="559">
                  <c:v>2.246</c:v>
                </c:pt>
                <c:pt idx="560">
                  <c:v>2.2665999999999999</c:v>
                </c:pt>
                <c:pt idx="561">
                  <c:v>2.2913999999999999</c:v>
                </c:pt>
                <c:pt idx="562">
                  <c:v>2.2246000000000001</c:v>
                </c:pt>
                <c:pt idx="563">
                  <c:v>2.2565</c:v>
                </c:pt>
                <c:pt idx="564">
                  <c:v>2.2763</c:v>
                </c:pt>
                <c:pt idx="565">
                  <c:v>2.2921</c:v>
                </c:pt>
                <c:pt idx="566">
                  <c:v>2.3043</c:v>
                </c:pt>
                <c:pt idx="567">
                  <c:v>2.2989000000000002</c:v>
                </c:pt>
                <c:pt idx="568">
                  <c:v>2.2753999999999999</c:v>
                </c:pt>
                <c:pt idx="569">
                  <c:v>2.3574000000000002</c:v>
                </c:pt>
                <c:pt idx="570">
                  <c:v>2.3908</c:v>
                </c:pt>
                <c:pt idx="571">
                  <c:v>2.3877000000000002</c:v>
                </c:pt>
                <c:pt idx="572">
                  <c:v>2.4237000000000002</c:v>
                </c:pt>
                <c:pt idx="573">
                  <c:v>2.4386999999999999</c:v>
                </c:pt>
                <c:pt idx="574">
                  <c:v>2.4615</c:v>
                </c:pt>
                <c:pt idx="575">
                  <c:v>2.4662000000000002</c:v>
                </c:pt>
                <c:pt idx="576">
                  <c:v>2.4464999999999999</c:v>
                </c:pt>
                <c:pt idx="577">
                  <c:v>2.4020999999999999</c:v>
                </c:pt>
                <c:pt idx="578">
                  <c:v>2.4626000000000001</c:v>
                </c:pt>
                <c:pt idx="579">
                  <c:v>2.5232000000000001</c:v>
                </c:pt>
                <c:pt idx="580">
                  <c:v>2.5209999999999999</c:v>
                </c:pt>
                <c:pt idx="581">
                  <c:v>2.5379</c:v>
                </c:pt>
                <c:pt idx="582">
                  <c:v>2.5543999999999998</c:v>
                </c:pt>
                <c:pt idx="583">
                  <c:v>2.5752000000000002</c:v>
                </c:pt>
                <c:pt idx="584">
                  <c:v>2.6070000000000002</c:v>
                </c:pt>
                <c:pt idx="585">
                  <c:v>2.6427</c:v>
                </c:pt>
                <c:pt idx="586">
                  <c:v>2.6785000000000001</c:v>
                </c:pt>
                <c:pt idx="587">
                  <c:v>2.6852999999999998</c:v>
                </c:pt>
                <c:pt idx="588">
                  <c:v>2.6251000000000002</c:v>
                </c:pt>
                <c:pt idx="589">
                  <c:v>2.6534</c:v>
                </c:pt>
                <c:pt idx="590">
                  <c:v>2.6654</c:v>
                </c:pt>
                <c:pt idx="591">
                  <c:v>2.7385999999999999</c:v>
                </c:pt>
                <c:pt idx="592">
                  <c:v>2.9068000000000001</c:v>
                </c:pt>
                <c:pt idx="593">
                  <c:v>2.8094999999999999</c:v>
                </c:pt>
                <c:pt idx="594">
                  <c:v>2.8283</c:v>
                </c:pt>
                <c:pt idx="595">
                  <c:v>2.7959999999999998</c:v>
                </c:pt>
                <c:pt idx="596">
                  <c:v>2.8119000000000001</c:v>
                </c:pt>
                <c:pt idx="597">
                  <c:v>2.8542999999999998</c:v>
                </c:pt>
                <c:pt idx="598">
                  <c:v>2.8759999999999999</c:v>
                </c:pt>
                <c:pt idx="599">
                  <c:v>2.9165000000000001</c:v>
                </c:pt>
                <c:pt idx="600">
                  <c:v>2.8740999999999999</c:v>
                </c:pt>
                <c:pt idx="601">
                  <c:v>2.9325000000000001</c:v>
                </c:pt>
                <c:pt idx="602">
                  <c:v>3.0886999999999998</c:v>
                </c:pt>
                <c:pt idx="603">
                  <c:v>3.3083</c:v>
                </c:pt>
                <c:pt idx="604">
                  <c:v>3.2844000000000002</c:v>
                </c:pt>
                <c:pt idx="605">
                  <c:v>3.544</c:v>
                </c:pt>
                <c:pt idx="606">
                  <c:v>3.5720999999999998</c:v>
                </c:pt>
                <c:pt idx="607">
                  <c:v>3.6825999999999999</c:v>
                </c:pt>
                <c:pt idx="608">
                  <c:v>3.2938000000000001</c:v>
                </c:pt>
                <c:pt idx="609">
                  <c:v>3.1566999999999998</c:v>
                </c:pt>
                <c:pt idx="610">
                  <c:v>3.3121</c:v>
                </c:pt>
                <c:pt idx="611">
                  <c:v>3.1339000000000001</c:v>
                </c:pt>
                <c:pt idx="612">
                  <c:v>2.9657</c:v>
                </c:pt>
                <c:pt idx="613">
                  <c:v>2.952</c:v>
                </c:pt>
                <c:pt idx="614">
                  <c:v>3.1821999999999999</c:v>
                </c:pt>
                <c:pt idx="615">
                  <c:v>3.2059000000000002</c:v>
                </c:pt>
                <c:pt idx="616">
                  <c:v>3.3378999999999999</c:v>
                </c:pt>
                <c:pt idx="617">
                  <c:v>3.3046000000000002</c:v>
                </c:pt>
                <c:pt idx="618">
                  <c:v>3.4195000000000002</c:v>
                </c:pt>
                <c:pt idx="619">
                  <c:v>3.3689</c:v>
                </c:pt>
                <c:pt idx="620">
                  <c:v>3.4363000000000001</c:v>
                </c:pt>
                <c:pt idx="621">
                  <c:v>3.1962000000000002</c:v>
                </c:pt>
                <c:pt idx="622">
                  <c:v>3.1766999999999999</c:v>
                </c:pt>
                <c:pt idx="623">
                  <c:v>3.2864</c:v>
                </c:pt>
                <c:pt idx="624">
                  <c:v>3.1509</c:v>
                </c:pt>
                <c:pt idx="625">
                  <c:v>3.1535000000000002</c:v>
                </c:pt>
                <c:pt idx="626">
                  <c:v>3.1981000000000002</c:v>
                </c:pt>
                <c:pt idx="627">
                  <c:v>3.1648999999999998</c:v>
                </c:pt>
                <c:pt idx="628">
                  <c:v>3.0461999999999998</c:v>
                </c:pt>
                <c:pt idx="629">
                  <c:v>3.0398000000000001</c:v>
                </c:pt>
                <c:pt idx="630">
                  <c:v>3.1316000000000002</c:v>
                </c:pt>
                <c:pt idx="631">
                  <c:v>3.0030999999999999</c:v>
                </c:pt>
                <c:pt idx="632">
                  <c:v>3.1537999999999999</c:v>
                </c:pt>
                <c:pt idx="633">
                  <c:v>3.2913000000000001</c:v>
                </c:pt>
                <c:pt idx="634">
                  <c:v>3.3814000000000002</c:v>
                </c:pt>
                <c:pt idx="635">
                  <c:v>3.3580000000000001</c:v>
                </c:pt>
                <c:pt idx="636">
                  <c:v>3.2288999999999999</c:v>
                </c:pt>
                <c:pt idx="637">
                  <c:v>3.2618</c:v>
                </c:pt>
                <c:pt idx="638">
                  <c:v>3.3174999999999999</c:v>
                </c:pt>
                <c:pt idx="639">
                  <c:v>3.286</c:v>
                </c:pt>
                <c:pt idx="640">
                  <c:v>3.2206000000000001</c:v>
                </c:pt>
                <c:pt idx="641">
                  <c:v>3.3109999999999999</c:v>
                </c:pt>
                <c:pt idx="642">
                  <c:v>3.4135</c:v>
                </c:pt>
                <c:pt idx="643">
                  <c:v>3.4759000000000002</c:v>
                </c:pt>
                <c:pt idx="644">
                  <c:v>3.4424000000000001</c:v>
                </c:pt>
                <c:pt idx="645">
                  <c:v>3.5101</c:v>
                </c:pt>
                <c:pt idx="646">
                  <c:v>3.5011999999999999</c:v>
                </c:pt>
                <c:pt idx="647">
                  <c:v>3.6522999999999999</c:v>
                </c:pt>
                <c:pt idx="648">
                  <c:v>3.6587000000000001</c:v>
                </c:pt>
                <c:pt idx="649">
                  <c:v>3.7589999999999999</c:v>
                </c:pt>
                <c:pt idx="650">
                  <c:v>3.6419000000000001</c:v>
                </c:pt>
                <c:pt idx="651">
                  <c:v>3.5415000000000001</c:v>
                </c:pt>
                <c:pt idx="652">
                  <c:v>3.6855000000000002</c:v>
                </c:pt>
                <c:pt idx="653">
                  <c:v>3.7917000000000001</c:v>
                </c:pt>
                <c:pt idx="654">
                  <c:v>3.9578000000000002</c:v>
                </c:pt>
                <c:pt idx="655">
                  <c:v>3.8405</c:v>
                </c:pt>
                <c:pt idx="656">
                  <c:v>3.7763</c:v>
                </c:pt>
                <c:pt idx="657">
                  <c:v>3.5912999999999999</c:v>
                </c:pt>
                <c:pt idx="658">
                  <c:v>3.6776</c:v>
                </c:pt>
                <c:pt idx="659">
                  <c:v>3.6897000000000002</c:v>
                </c:pt>
                <c:pt idx="660">
                  <c:v>3.6802000000000001</c:v>
                </c:pt>
                <c:pt idx="661">
                  <c:v>3.6897000000000002</c:v>
                </c:pt>
                <c:pt idx="662">
                  <c:v>3.7252999999999998</c:v>
                </c:pt>
                <c:pt idx="663">
                  <c:v>3.7924000000000002</c:v>
                </c:pt>
                <c:pt idx="664">
                  <c:v>3.9119000000000002</c:v>
                </c:pt>
                <c:pt idx="665">
                  <c:v>3.9161999999999999</c:v>
                </c:pt>
                <c:pt idx="666">
                  <c:v>4.0716000000000001</c:v>
                </c:pt>
                <c:pt idx="667">
                  <c:v>4.1909000000000001</c:v>
                </c:pt>
                <c:pt idx="668">
                  <c:v>4.2522000000000002</c:v>
                </c:pt>
                <c:pt idx="669">
                  <c:v>4.1929999999999996</c:v>
                </c:pt>
                <c:pt idx="670">
                  <c:v>4.1577000000000002</c:v>
                </c:pt>
                <c:pt idx="671">
                  <c:v>4.2218999999999998</c:v>
                </c:pt>
                <c:pt idx="672">
                  <c:v>4.2762000000000002</c:v>
                </c:pt>
                <c:pt idx="673">
                  <c:v>4.1722000000000001</c:v>
                </c:pt>
                <c:pt idx="674">
                  <c:v>4.0353000000000003</c:v>
                </c:pt>
                <c:pt idx="675">
                  <c:v>3.9937999999999998</c:v>
                </c:pt>
                <c:pt idx="676">
                  <c:v>3.8942000000000001</c:v>
                </c:pt>
                <c:pt idx="677">
                  <c:v>3.9558</c:v>
                </c:pt>
                <c:pt idx="678">
                  <c:v>3.7930000000000001</c:v>
                </c:pt>
                <c:pt idx="679">
                  <c:v>3.69</c:v>
                </c:pt>
                <c:pt idx="680">
                  <c:v>3.7298</c:v>
                </c:pt>
                <c:pt idx="681">
                  <c:v>3.661</c:v>
                </c:pt>
                <c:pt idx="682">
                  <c:v>3.72</c:v>
                </c:pt>
                <c:pt idx="683">
                  <c:v>3.73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7EF-43AD-8D3E-41D0CDB5F6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11891112"/>
        <c:axId val="1111890784"/>
      </c:lineChart>
      <c:catAx>
        <c:axId val="11116668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11670152"/>
        <c:crosses val="autoZero"/>
        <c:auto val="1"/>
        <c:lblAlgn val="ctr"/>
        <c:lblOffset val="100"/>
        <c:noMultiLvlLbl val="0"/>
      </c:catAx>
      <c:valAx>
        <c:axId val="11116701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11666872"/>
        <c:crosses val="autoZero"/>
        <c:crossBetween val="between"/>
      </c:valAx>
      <c:valAx>
        <c:axId val="1111890784"/>
        <c:scaling>
          <c:orientation val="minMax"/>
        </c:scaling>
        <c:delete val="0"/>
        <c:axPos val="r"/>
        <c:numFmt formatCode="&quot;$&quot;#,##0.0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11891112"/>
        <c:crosses val="max"/>
        <c:crossBetween val="between"/>
      </c:valAx>
      <c:catAx>
        <c:axId val="111189111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111890784"/>
        <c:crosses val="autoZero"/>
        <c:auto val="1"/>
        <c:lblAlgn val="ctr"/>
        <c:lblOffset val="100"/>
        <c:noMultiLvlLbl val="0"/>
      </c:catAx>
      <c:spPr>
        <a:solidFill>
          <a:schemeClr val="tx1">
            <a:lumMod val="85000"/>
            <a:lumOff val="15000"/>
          </a:schemeClr>
        </a:solidFill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9664522070698807"/>
          <c:y val="0.25358765127739846"/>
          <c:w val="0.20335477929301204"/>
          <c:h val="0.3088372739893523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[Foley_FinalProject_Completed.xlsm]CrudeOilNput!PivotTable4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Black" panose="020B0A04020102020204" pitchFamily="34" charset="0"/>
                <a:ea typeface="+mn-ea"/>
                <a:cs typeface="+mn-cs"/>
              </a:defRPr>
            </a:pPr>
            <a:r>
              <a:rPr lang="en-US">
                <a:solidFill>
                  <a:srgbClr val="FF9900"/>
                </a:solidFill>
                <a:latin typeface="Arial Black" panose="020B0A04020102020204" pitchFamily="34" charset="0"/>
              </a:rPr>
              <a:t>Crude Oil Competition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 Black" panose="020B0A040201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CrudeOilNput!$B$1</c:f>
              <c:strCache>
                <c:ptCount val="1"/>
                <c:pt idx="0">
                  <c:v>WTI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CrudeOilNput!$A$2:$A$685</c:f>
              <c:strCache>
                <c:ptCount val="684"/>
                <c:pt idx="0">
                  <c:v>10/31/2019</c:v>
                </c:pt>
                <c:pt idx="1">
                  <c:v>11/1/2019</c:v>
                </c:pt>
                <c:pt idx="2">
                  <c:v>11/4/2019</c:v>
                </c:pt>
                <c:pt idx="3">
                  <c:v>11/5/2019</c:v>
                </c:pt>
                <c:pt idx="4">
                  <c:v>11/6/2019</c:v>
                </c:pt>
                <c:pt idx="5">
                  <c:v>11/7/2019</c:v>
                </c:pt>
                <c:pt idx="6">
                  <c:v>11/8/2019</c:v>
                </c:pt>
                <c:pt idx="7">
                  <c:v>11/11/2019</c:v>
                </c:pt>
                <c:pt idx="8">
                  <c:v>11/12/2019</c:v>
                </c:pt>
                <c:pt idx="9">
                  <c:v>11/13/2019</c:v>
                </c:pt>
                <c:pt idx="10">
                  <c:v>11/14/2019</c:v>
                </c:pt>
                <c:pt idx="11">
                  <c:v>11/15/2019</c:v>
                </c:pt>
                <c:pt idx="12">
                  <c:v>11/18/2019</c:v>
                </c:pt>
                <c:pt idx="13">
                  <c:v>11/19/2019</c:v>
                </c:pt>
                <c:pt idx="14">
                  <c:v>11/20/2019</c:v>
                </c:pt>
                <c:pt idx="15">
                  <c:v>11/21/2019</c:v>
                </c:pt>
                <c:pt idx="16">
                  <c:v>11/22/2019</c:v>
                </c:pt>
                <c:pt idx="17">
                  <c:v>11/25/2019</c:v>
                </c:pt>
                <c:pt idx="18">
                  <c:v>11/26/2019</c:v>
                </c:pt>
                <c:pt idx="19">
                  <c:v>11/27/2019</c:v>
                </c:pt>
                <c:pt idx="20">
                  <c:v>11/28/2019</c:v>
                </c:pt>
                <c:pt idx="21">
                  <c:v>11/29/2019</c:v>
                </c:pt>
                <c:pt idx="22">
                  <c:v>12/2/2019</c:v>
                </c:pt>
                <c:pt idx="23">
                  <c:v>12/3/2019</c:v>
                </c:pt>
                <c:pt idx="24">
                  <c:v>12/4/2019</c:v>
                </c:pt>
                <c:pt idx="25">
                  <c:v>12/5/2019</c:v>
                </c:pt>
                <c:pt idx="26">
                  <c:v>12/6/2019</c:v>
                </c:pt>
                <c:pt idx="27">
                  <c:v>12/9/2019</c:v>
                </c:pt>
                <c:pt idx="28">
                  <c:v>12/10/2019</c:v>
                </c:pt>
                <c:pt idx="29">
                  <c:v>12/11/2019</c:v>
                </c:pt>
                <c:pt idx="30">
                  <c:v>12/12/2019</c:v>
                </c:pt>
                <c:pt idx="31">
                  <c:v>12/13/2019</c:v>
                </c:pt>
                <c:pt idx="32">
                  <c:v>12/16/2019</c:v>
                </c:pt>
                <c:pt idx="33">
                  <c:v>12/17/2019</c:v>
                </c:pt>
                <c:pt idx="34">
                  <c:v>12/18/2019</c:v>
                </c:pt>
                <c:pt idx="35">
                  <c:v>12/19/2019</c:v>
                </c:pt>
                <c:pt idx="36">
                  <c:v>12/20/2019</c:v>
                </c:pt>
                <c:pt idx="37">
                  <c:v>12/23/2019</c:v>
                </c:pt>
                <c:pt idx="38">
                  <c:v>12/24/2019</c:v>
                </c:pt>
                <c:pt idx="39">
                  <c:v>12/26/2019</c:v>
                </c:pt>
                <c:pt idx="40">
                  <c:v>12/27/2019</c:v>
                </c:pt>
                <c:pt idx="41">
                  <c:v>12/30/2019</c:v>
                </c:pt>
                <c:pt idx="42">
                  <c:v>12/31/2019</c:v>
                </c:pt>
                <c:pt idx="43">
                  <c:v>1/2/2020</c:v>
                </c:pt>
                <c:pt idx="44">
                  <c:v>1/3/2020</c:v>
                </c:pt>
                <c:pt idx="45">
                  <c:v>1/6/2020</c:v>
                </c:pt>
                <c:pt idx="46">
                  <c:v>1/7/2020</c:v>
                </c:pt>
                <c:pt idx="47">
                  <c:v>1/8/2020</c:v>
                </c:pt>
                <c:pt idx="48">
                  <c:v>1/9/2020</c:v>
                </c:pt>
                <c:pt idx="49">
                  <c:v>1/10/2020</c:v>
                </c:pt>
                <c:pt idx="50">
                  <c:v>1/13/2020</c:v>
                </c:pt>
                <c:pt idx="51">
                  <c:v>1/14/2020</c:v>
                </c:pt>
                <c:pt idx="52">
                  <c:v>1/15/2020</c:v>
                </c:pt>
                <c:pt idx="53">
                  <c:v>1/16/2020</c:v>
                </c:pt>
                <c:pt idx="54">
                  <c:v>1/17/2020</c:v>
                </c:pt>
                <c:pt idx="55">
                  <c:v>1/20/2020</c:v>
                </c:pt>
                <c:pt idx="56">
                  <c:v>1/21/2020</c:v>
                </c:pt>
                <c:pt idx="57">
                  <c:v>1/22/2020</c:v>
                </c:pt>
                <c:pt idx="58">
                  <c:v>1/23/2020</c:v>
                </c:pt>
                <c:pt idx="59">
                  <c:v>1/24/2020</c:v>
                </c:pt>
                <c:pt idx="60">
                  <c:v>1/27/2020</c:v>
                </c:pt>
                <c:pt idx="61">
                  <c:v>1/28/2020</c:v>
                </c:pt>
                <c:pt idx="62">
                  <c:v>1/29/2020</c:v>
                </c:pt>
                <c:pt idx="63">
                  <c:v>1/30/2020</c:v>
                </c:pt>
                <c:pt idx="64">
                  <c:v>1/31/2020</c:v>
                </c:pt>
                <c:pt idx="65">
                  <c:v>2/3/2020</c:v>
                </c:pt>
                <c:pt idx="66">
                  <c:v>2/4/2020</c:v>
                </c:pt>
                <c:pt idx="67">
                  <c:v>2/5/2020</c:v>
                </c:pt>
                <c:pt idx="68">
                  <c:v>2/6/2020</c:v>
                </c:pt>
                <c:pt idx="69">
                  <c:v>2/7/2020</c:v>
                </c:pt>
                <c:pt idx="70">
                  <c:v>2/10/2020</c:v>
                </c:pt>
                <c:pt idx="71">
                  <c:v>2/11/2020</c:v>
                </c:pt>
                <c:pt idx="72">
                  <c:v>2/12/2020</c:v>
                </c:pt>
                <c:pt idx="73">
                  <c:v>2/13/2020</c:v>
                </c:pt>
                <c:pt idx="74">
                  <c:v>2/14/2020</c:v>
                </c:pt>
                <c:pt idx="75">
                  <c:v>2/17/2020</c:v>
                </c:pt>
                <c:pt idx="76">
                  <c:v>2/18/2020</c:v>
                </c:pt>
                <c:pt idx="77">
                  <c:v>2/19/2020</c:v>
                </c:pt>
                <c:pt idx="78">
                  <c:v>2/20/2020</c:v>
                </c:pt>
                <c:pt idx="79">
                  <c:v>2/21/2020</c:v>
                </c:pt>
                <c:pt idx="80">
                  <c:v>2/24/2020</c:v>
                </c:pt>
                <c:pt idx="81">
                  <c:v>2/25/2020</c:v>
                </c:pt>
                <c:pt idx="82">
                  <c:v>2/26/2020</c:v>
                </c:pt>
                <c:pt idx="83">
                  <c:v>2/27/2020</c:v>
                </c:pt>
                <c:pt idx="84">
                  <c:v>2/28/2020</c:v>
                </c:pt>
                <c:pt idx="85">
                  <c:v>3/2/2020</c:v>
                </c:pt>
                <c:pt idx="86">
                  <c:v>3/3/2020</c:v>
                </c:pt>
                <c:pt idx="87">
                  <c:v>3/4/2020</c:v>
                </c:pt>
                <c:pt idx="88">
                  <c:v>3/5/2020</c:v>
                </c:pt>
                <c:pt idx="89">
                  <c:v>3/6/2020</c:v>
                </c:pt>
                <c:pt idx="90">
                  <c:v>3/9/2020</c:v>
                </c:pt>
                <c:pt idx="91">
                  <c:v>3/10/2020</c:v>
                </c:pt>
                <c:pt idx="92">
                  <c:v>3/11/2020</c:v>
                </c:pt>
                <c:pt idx="93">
                  <c:v>3/12/2020</c:v>
                </c:pt>
                <c:pt idx="94">
                  <c:v>3/13/2020</c:v>
                </c:pt>
                <c:pt idx="95">
                  <c:v>3/16/2020</c:v>
                </c:pt>
                <c:pt idx="96">
                  <c:v>3/17/2020</c:v>
                </c:pt>
                <c:pt idx="97">
                  <c:v>3/18/2020</c:v>
                </c:pt>
                <c:pt idx="98">
                  <c:v>3/19/2020</c:v>
                </c:pt>
                <c:pt idx="99">
                  <c:v>3/20/2020</c:v>
                </c:pt>
                <c:pt idx="100">
                  <c:v>3/23/2020</c:v>
                </c:pt>
                <c:pt idx="101">
                  <c:v>3/24/2020</c:v>
                </c:pt>
                <c:pt idx="102">
                  <c:v>3/25/2020</c:v>
                </c:pt>
                <c:pt idx="103">
                  <c:v>3/26/2020</c:v>
                </c:pt>
                <c:pt idx="104">
                  <c:v>3/27/2020</c:v>
                </c:pt>
                <c:pt idx="105">
                  <c:v>3/30/2020</c:v>
                </c:pt>
                <c:pt idx="106">
                  <c:v>3/31/2020</c:v>
                </c:pt>
                <c:pt idx="107">
                  <c:v>4/1/2020</c:v>
                </c:pt>
                <c:pt idx="108">
                  <c:v>4/2/2020</c:v>
                </c:pt>
                <c:pt idx="109">
                  <c:v>4/3/2020</c:v>
                </c:pt>
                <c:pt idx="110">
                  <c:v>4/6/2020</c:v>
                </c:pt>
                <c:pt idx="111">
                  <c:v>4/7/2020</c:v>
                </c:pt>
                <c:pt idx="112">
                  <c:v>4/8/2020</c:v>
                </c:pt>
                <c:pt idx="113">
                  <c:v>4/9/2020</c:v>
                </c:pt>
                <c:pt idx="114">
                  <c:v>4/13/2020</c:v>
                </c:pt>
                <c:pt idx="115">
                  <c:v>4/14/2020</c:v>
                </c:pt>
                <c:pt idx="116">
                  <c:v>4/15/2020</c:v>
                </c:pt>
                <c:pt idx="117">
                  <c:v>4/16/2020</c:v>
                </c:pt>
                <c:pt idx="118">
                  <c:v>4/17/2020</c:v>
                </c:pt>
                <c:pt idx="119">
                  <c:v>4/20/2020</c:v>
                </c:pt>
                <c:pt idx="120">
                  <c:v>4/21/2020</c:v>
                </c:pt>
                <c:pt idx="121">
                  <c:v>4/22/2020</c:v>
                </c:pt>
                <c:pt idx="122">
                  <c:v>4/23/2020</c:v>
                </c:pt>
                <c:pt idx="123">
                  <c:v>4/24/2020</c:v>
                </c:pt>
                <c:pt idx="124">
                  <c:v>4/27/2020</c:v>
                </c:pt>
                <c:pt idx="125">
                  <c:v>4/28/2020</c:v>
                </c:pt>
                <c:pt idx="126">
                  <c:v>4/29/2020</c:v>
                </c:pt>
                <c:pt idx="127">
                  <c:v>4/30/2020</c:v>
                </c:pt>
                <c:pt idx="128">
                  <c:v>5/1/2020</c:v>
                </c:pt>
                <c:pt idx="129">
                  <c:v>5/4/2020</c:v>
                </c:pt>
                <c:pt idx="130">
                  <c:v>5/5/2020</c:v>
                </c:pt>
                <c:pt idx="131">
                  <c:v>5/6/2020</c:v>
                </c:pt>
                <c:pt idx="132">
                  <c:v>5/7/2020</c:v>
                </c:pt>
                <c:pt idx="133">
                  <c:v>5/8/2020</c:v>
                </c:pt>
                <c:pt idx="134">
                  <c:v>5/11/2020</c:v>
                </c:pt>
                <c:pt idx="135">
                  <c:v>5/12/2020</c:v>
                </c:pt>
                <c:pt idx="136">
                  <c:v>5/13/2020</c:v>
                </c:pt>
                <c:pt idx="137">
                  <c:v>5/14/2020</c:v>
                </c:pt>
                <c:pt idx="138">
                  <c:v>5/15/2020</c:v>
                </c:pt>
                <c:pt idx="139">
                  <c:v>5/18/2020</c:v>
                </c:pt>
                <c:pt idx="140">
                  <c:v>5/19/2020</c:v>
                </c:pt>
                <c:pt idx="141">
                  <c:v>5/20/2020</c:v>
                </c:pt>
                <c:pt idx="142">
                  <c:v>5/21/2020</c:v>
                </c:pt>
                <c:pt idx="143">
                  <c:v>5/22/2020</c:v>
                </c:pt>
                <c:pt idx="144">
                  <c:v>5/26/2020</c:v>
                </c:pt>
                <c:pt idx="145">
                  <c:v>5/27/2020</c:v>
                </c:pt>
                <c:pt idx="146">
                  <c:v>5/28/2020</c:v>
                </c:pt>
                <c:pt idx="147">
                  <c:v>5/29/2020</c:v>
                </c:pt>
                <c:pt idx="148">
                  <c:v>6/1/2020</c:v>
                </c:pt>
                <c:pt idx="149">
                  <c:v>6/2/2020</c:v>
                </c:pt>
                <c:pt idx="150">
                  <c:v>6/3/2020</c:v>
                </c:pt>
                <c:pt idx="151">
                  <c:v>6/4/2020</c:v>
                </c:pt>
                <c:pt idx="152">
                  <c:v>6/5/2020</c:v>
                </c:pt>
                <c:pt idx="153">
                  <c:v>6/8/2020</c:v>
                </c:pt>
                <c:pt idx="154">
                  <c:v>6/9/2020</c:v>
                </c:pt>
                <c:pt idx="155">
                  <c:v>6/10/2020</c:v>
                </c:pt>
                <c:pt idx="156">
                  <c:v>6/11/2020</c:v>
                </c:pt>
                <c:pt idx="157">
                  <c:v>6/12/2020</c:v>
                </c:pt>
                <c:pt idx="158">
                  <c:v>6/15/2020</c:v>
                </c:pt>
                <c:pt idx="159">
                  <c:v>6/16/2020</c:v>
                </c:pt>
                <c:pt idx="160">
                  <c:v>6/17/2020</c:v>
                </c:pt>
                <c:pt idx="161">
                  <c:v>6/18/2020</c:v>
                </c:pt>
                <c:pt idx="162">
                  <c:v>6/19/2020</c:v>
                </c:pt>
                <c:pt idx="163">
                  <c:v>6/22/2020</c:v>
                </c:pt>
                <c:pt idx="164">
                  <c:v>6/23/2020</c:v>
                </c:pt>
                <c:pt idx="165">
                  <c:v>6/24/2020</c:v>
                </c:pt>
                <c:pt idx="166">
                  <c:v>6/25/2020</c:v>
                </c:pt>
                <c:pt idx="167">
                  <c:v>6/26/2020</c:v>
                </c:pt>
                <c:pt idx="168">
                  <c:v>6/29/2020</c:v>
                </c:pt>
                <c:pt idx="169">
                  <c:v>6/30/2020</c:v>
                </c:pt>
                <c:pt idx="170">
                  <c:v>7/1/2020</c:v>
                </c:pt>
                <c:pt idx="171">
                  <c:v>7/2/2020</c:v>
                </c:pt>
                <c:pt idx="172">
                  <c:v>7/3/2020</c:v>
                </c:pt>
                <c:pt idx="173">
                  <c:v>7/6/2020</c:v>
                </c:pt>
                <c:pt idx="174">
                  <c:v>7/7/2020</c:v>
                </c:pt>
                <c:pt idx="175">
                  <c:v>7/8/2020</c:v>
                </c:pt>
                <c:pt idx="176">
                  <c:v>7/9/2020</c:v>
                </c:pt>
                <c:pt idx="177">
                  <c:v>7/10/2020</c:v>
                </c:pt>
                <c:pt idx="178">
                  <c:v>7/13/2020</c:v>
                </c:pt>
                <c:pt idx="179">
                  <c:v>7/14/2020</c:v>
                </c:pt>
                <c:pt idx="180">
                  <c:v>7/15/2020</c:v>
                </c:pt>
                <c:pt idx="181">
                  <c:v>7/16/2020</c:v>
                </c:pt>
                <c:pt idx="182">
                  <c:v>7/17/2020</c:v>
                </c:pt>
                <c:pt idx="183">
                  <c:v>7/20/2020</c:v>
                </c:pt>
                <c:pt idx="184">
                  <c:v>7/21/2020</c:v>
                </c:pt>
                <c:pt idx="185">
                  <c:v>7/22/2020</c:v>
                </c:pt>
                <c:pt idx="186">
                  <c:v>7/23/2020</c:v>
                </c:pt>
                <c:pt idx="187">
                  <c:v>7/24/2020</c:v>
                </c:pt>
                <c:pt idx="188">
                  <c:v>7/27/2020</c:v>
                </c:pt>
                <c:pt idx="189">
                  <c:v>7/28/2020</c:v>
                </c:pt>
                <c:pt idx="190">
                  <c:v>7/29/2020</c:v>
                </c:pt>
                <c:pt idx="191">
                  <c:v>7/30/2020</c:v>
                </c:pt>
                <c:pt idx="192">
                  <c:v>7/31/2020</c:v>
                </c:pt>
                <c:pt idx="193">
                  <c:v>8/3/2020</c:v>
                </c:pt>
                <c:pt idx="194">
                  <c:v>8/4/2020</c:v>
                </c:pt>
                <c:pt idx="195">
                  <c:v>8/5/2020</c:v>
                </c:pt>
                <c:pt idx="196">
                  <c:v>8/6/2020</c:v>
                </c:pt>
                <c:pt idx="197">
                  <c:v>8/7/2020</c:v>
                </c:pt>
                <c:pt idx="198">
                  <c:v>8/10/2020</c:v>
                </c:pt>
                <c:pt idx="199">
                  <c:v>8/11/2020</c:v>
                </c:pt>
                <c:pt idx="200">
                  <c:v>8/12/2020</c:v>
                </c:pt>
                <c:pt idx="201">
                  <c:v>8/13/2020</c:v>
                </c:pt>
                <c:pt idx="202">
                  <c:v>8/14/2020</c:v>
                </c:pt>
                <c:pt idx="203">
                  <c:v>8/17/2020</c:v>
                </c:pt>
                <c:pt idx="204">
                  <c:v>8/18/2020</c:v>
                </c:pt>
                <c:pt idx="205">
                  <c:v>8/19/2020</c:v>
                </c:pt>
                <c:pt idx="206">
                  <c:v>8/20/2020</c:v>
                </c:pt>
                <c:pt idx="207">
                  <c:v>8/21/2020</c:v>
                </c:pt>
                <c:pt idx="208">
                  <c:v>8/24/2020</c:v>
                </c:pt>
                <c:pt idx="209">
                  <c:v>8/25/2020</c:v>
                </c:pt>
                <c:pt idx="210">
                  <c:v>8/26/2020</c:v>
                </c:pt>
                <c:pt idx="211">
                  <c:v>8/27/2020</c:v>
                </c:pt>
                <c:pt idx="212">
                  <c:v>8/28/2020</c:v>
                </c:pt>
                <c:pt idx="213">
                  <c:v>8/31/2020</c:v>
                </c:pt>
                <c:pt idx="214">
                  <c:v>9/1/2020</c:v>
                </c:pt>
                <c:pt idx="215">
                  <c:v>9/2/2020</c:v>
                </c:pt>
                <c:pt idx="216">
                  <c:v>9/3/2020</c:v>
                </c:pt>
                <c:pt idx="217">
                  <c:v>9/4/2020</c:v>
                </c:pt>
                <c:pt idx="218">
                  <c:v>9/7/2020</c:v>
                </c:pt>
                <c:pt idx="219">
                  <c:v>9/8/2020</c:v>
                </c:pt>
                <c:pt idx="220">
                  <c:v>9/9/2020</c:v>
                </c:pt>
                <c:pt idx="221">
                  <c:v>9/10/2020</c:v>
                </c:pt>
                <c:pt idx="222">
                  <c:v>9/11/2020</c:v>
                </c:pt>
                <c:pt idx="223">
                  <c:v>9/14/2020</c:v>
                </c:pt>
                <c:pt idx="224">
                  <c:v>9/15/2020</c:v>
                </c:pt>
                <c:pt idx="225">
                  <c:v>9/16/2020</c:v>
                </c:pt>
                <c:pt idx="226">
                  <c:v>9/17/2020</c:v>
                </c:pt>
                <c:pt idx="227">
                  <c:v>9/18/2020</c:v>
                </c:pt>
                <c:pt idx="228">
                  <c:v>9/21/2020</c:v>
                </c:pt>
                <c:pt idx="229">
                  <c:v>9/22/2020</c:v>
                </c:pt>
                <c:pt idx="230">
                  <c:v>9/23/2020</c:v>
                </c:pt>
                <c:pt idx="231">
                  <c:v>9/24/2020</c:v>
                </c:pt>
                <c:pt idx="232">
                  <c:v>9/25/2020</c:v>
                </c:pt>
                <c:pt idx="233">
                  <c:v>9/28/2020</c:v>
                </c:pt>
                <c:pt idx="234">
                  <c:v>9/29/2020</c:v>
                </c:pt>
                <c:pt idx="235">
                  <c:v>9/30/2020</c:v>
                </c:pt>
                <c:pt idx="236">
                  <c:v>10/1/2020</c:v>
                </c:pt>
                <c:pt idx="237">
                  <c:v>10/2/2020</c:v>
                </c:pt>
                <c:pt idx="238">
                  <c:v>10/5/2020</c:v>
                </c:pt>
                <c:pt idx="239">
                  <c:v>10/6/2020</c:v>
                </c:pt>
                <c:pt idx="240">
                  <c:v>10/7/2020</c:v>
                </c:pt>
                <c:pt idx="241">
                  <c:v>10/8/2020</c:v>
                </c:pt>
                <c:pt idx="242">
                  <c:v>10/9/2020</c:v>
                </c:pt>
                <c:pt idx="243">
                  <c:v>10/12/2020</c:v>
                </c:pt>
                <c:pt idx="244">
                  <c:v>10/13/2020</c:v>
                </c:pt>
                <c:pt idx="245">
                  <c:v>10/14/2020</c:v>
                </c:pt>
                <c:pt idx="246">
                  <c:v>10/15/2020</c:v>
                </c:pt>
                <c:pt idx="247">
                  <c:v>10/16/2020</c:v>
                </c:pt>
                <c:pt idx="248">
                  <c:v>10/19/2020</c:v>
                </c:pt>
                <c:pt idx="249">
                  <c:v>10/20/2020</c:v>
                </c:pt>
                <c:pt idx="250">
                  <c:v>10/21/2020</c:v>
                </c:pt>
                <c:pt idx="251">
                  <c:v>10/22/2020</c:v>
                </c:pt>
                <c:pt idx="252">
                  <c:v>10/23/2020</c:v>
                </c:pt>
                <c:pt idx="253">
                  <c:v>10/26/2020</c:v>
                </c:pt>
                <c:pt idx="254">
                  <c:v>10/27/2020</c:v>
                </c:pt>
                <c:pt idx="255">
                  <c:v>10/28/2020</c:v>
                </c:pt>
                <c:pt idx="256">
                  <c:v>10/29/2020</c:v>
                </c:pt>
                <c:pt idx="257">
                  <c:v>10/30/2020</c:v>
                </c:pt>
                <c:pt idx="258">
                  <c:v>11/2/2020</c:v>
                </c:pt>
                <c:pt idx="259">
                  <c:v>11/3/2020</c:v>
                </c:pt>
                <c:pt idx="260">
                  <c:v>11/4/2020</c:v>
                </c:pt>
                <c:pt idx="261">
                  <c:v>11/5/2020</c:v>
                </c:pt>
                <c:pt idx="262">
                  <c:v>11/6/2020</c:v>
                </c:pt>
                <c:pt idx="263">
                  <c:v>11/9/2020</c:v>
                </c:pt>
                <c:pt idx="264">
                  <c:v>11/10/2020</c:v>
                </c:pt>
                <c:pt idx="265">
                  <c:v>11/11/2020</c:v>
                </c:pt>
                <c:pt idx="266">
                  <c:v>11/12/2020</c:v>
                </c:pt>
                <c:pt idx="267">
                  <c:v>11/13/2020</c:v>
                </c:pt>
                <c:pt idx="268">
                  <c:v>11/16/2020</c:v>
                </c:pt>
                <c:pt idx="269">
                  <c:v>11/17/2020</c:v>
                </c:pt>
                <c:pt idx="270">
                  <c:v>11/18/2020</c:v>
                </c:pt>
                <c:pt idx="271">
                  <c:v>11/19/2020</c:v>
                </c:pt>
                <c:pt idx="272">
                  <c:v>11/20/2020</c:v>
                </c:pt>
                <c:pt idx="273">
                  <c:v>11/23/2020</c:v>
                </c:pt>
                <c:pt idx="274">
                  <c:v>11/24/2020</c:v>
                </c:pt>
                <c:pt idx="275">
                  <c:v>11/25/2020</c:v>
                </c:pt>
                <c:pt idx="276">
                  <c:v>11/26/2020</c:v>
                </c:pt>
                <c:pt idx="277">
                  <c:v>11/27/2020</c:v>
                </c:pt>
                <c:pt idx="278">
                  <c:v>11/30/2020</c:v>
                </c:pt>
                <c:pt idx="279">
                  <c:v>12/1/2020</c:v>
                </c:pt>
                <c:pt idx="280">
                  <c:v>12/2/2020</c:v>
                </c:pt>
                <c:pt idx="281">
                  <c:v>12/3/2020</c:v>
                </c:pt>
                <c:pt idx="282">
                  <c:v>12/4/2020</c:v>
                </c:pt>
                <c:pt idx="283">
                  <c:v>12/7/2020</c:v>
                </c:pt>
                <c:pt idx="284">
                  <c:v>12/8/2020</c:v>
                </c:pt>
                <c:pt idx="285">
                  <c:v>12/9/2020</c:v>
                </c:pt>
                <c:pt idx="286">
                  <c:v>12/10/2020</c:v>
                </c:pt>
                <c:pt idx="287">
                  <c:v>12/11/2020</c:v>
                </c:pt>
                <c:pt idx="288">
                  <c:v>12/14/2020</c:v>
                </c:pt>
                <c:pt idx="289">
                  <c:v>12/15/2020</c:v>
                </c:pt>
                <c:pt idx="290">
                  <c:v>12/16/2020</c:v>
                </c:pt>
                <c:pt idx="291">
                  <c:v>12/17/2020</c:v>
                </c:pt>
                <c:pt idx="292">
                  <c:v>12/18/2020</c:v>
                </c:pt>
                <c:pt idx="293">
                  <c:v>12/21/2020</c:v>
                </c:pt>
                <c:pt idx="294">
                  <c:v>12/22/2020</c:v>
                </c:pt>
                <c:pt idx="295">
                  <c:v>12/23/2020</c:v>
                </c:pt>
                <c:pt idx="296">
                  <c:v>12/24/2020</c:v>
                </c:pt>
                <c:pt idx="297">
                  <c:v>12/28/2020</c:v>
                </c:pt>
                <c:pt idx="298">
                  <c:v>12/29/2020</c:v>
                </c:pt>
                <c:pt idx="299">
                  <c:v>12/30/2020</c:v>
                </c:pt>
                <c:pt idx="300">
                  <c:v>12/31/2020</c:v>
                </c:pt>
                <c:pt idx="301">
                  <c:v>1/4/2021</c:v>
                </c:pt>
                <c:pt idx="302">
                  <c:v>1/5/2021</c:v>
                </c:pt>
                <c:pt idx="303">
                  <c:v>1/6/2021</c:v>
                </c:pt>
                <c:pt idx="304">
                  <c:v>1/7/2021</c:v>
                </c:pt>
                <c:pt idx="305">
                  <c:v>1/8/2021</c:v>
                </c:pt>
                <c:pt idx="306">
                  <c:v>1/11/2021</c:v>
                </c:pt>
                <c:pt idx="307">
                  <c:v>1/12/2021</c:v>
                </c:pt>
                <c:pt idx="308">
                  <c:v>1/13/2021</c:v>
                </c:pt>
                <c:pt idx="309">
                  <c:v>1/14/2021</c:v>
                </c:pt>
                <c:pt idx="310">
                  <c:v>1/15/2021</c:v>
                </c:pt>
                <c:pt idx="311">
                  <c:v>1/18/2021</c:v>
                </c:pt>
                <c:pt idx="312">
                  <c:v>1/19/2021</c:v>
                </c:pt>
                <c:pt idx="313">
                  <c:v>1/20/2021</c:v>
                </c:pt>
                <c:pt idx="314">
                  <c:v>1/21/2021</c:v>
                </c:pt>
                <c:pt idx="315">
                  <c:v>1/22/2021</c:v>
                </c:pt>
                <c:pt idx="316">
                  <c:v>1/25/2021</c:v>
                </c:pt>
                <c:pt idx="317">
                  <c:v>1/26/2021</c:v>
                </c:pt>
                <c:pt idx="318">
                  <c:v>1/27/2021</c:v>
                </c:pt>
                <c:pt idx="319">
                  <c:v>1/28/2021</c:v>
                </c:pt>
                <c:pt idx="320">
                  <c:v>1/29/2021</c:v>
                </c:pt>
                <c:pt idx="321">
                  <c:v>2/1/2021</c:v>
                </c:pt>
                <c:pt idx="322">
                  <c:v>2/2/2021</c:v>
                </c:pt>
                <c:pt idx="323">
                  <c:v>2/3/2021</c:v>
                </c:pt>
                <c:pt idx="324">
                  <c:v>2/4/2021</c:v>
                </c:pt>
                <c:pt idx="325">
                  <c:v>2/5/2021</c:v>
                </c:pt>
                <c:pt idx="326">
                  <c:v>2/8/2021</c:v>
                </c:pt>
                <c:pt idx="327">
                  <c:v>2/9/2021</c:v>
                </c:pt>
                <c:pt idx="328">
                  <c:v>2/10/2021</c:v>
                </c:pt>
                <c:pt idx="329">
                  <c:v>2/11/2021</c:v>
                </c:pt>
                <c:pt idx="330">
                  <c:v>2/12/2021</c:v>
                </c:pt>
                <c:pt idx="331">
                  <c:v>2/15/2021</c:v>
                </c:pt>
                <c:pt idx="332">
                  <c:v>2/16/2021</c:v>
                </c:pt>
                <c:pt idx="333">
                  <c:v>2/17/2021</c:v>
                </c:pt>
                <c:pt idx="334">
                  <c:v>2/18/2021</c:v>
                </c:pt>
                <c:pt idx="335">
                  <c:v>2/19/2021</c:v>
                </c:pt>
                <c:pt idx="336">
                  <c:v>2/22/2021</c:v>
                </c:pt>
                <c:pt idx="337">
                  <c:v>2/23/2021</c:v>
                </c:pt>
                <c:pt idx="338">
                  <c:v>2/24/2021</c:v>
                </c:pt>
                <c:pt idx="339">
                  <c:v>2/25/2021</c:v>
                </c:pt>
                <c:pt idx="340">
                  <c:v>2/26/2021</c:v>
                </c:pt>
                <c:pt idx="341">
                  <c:v>3/1/2021</c:v>
                </c:pt>
                <c:pt idx="342">
                  <c:v>3/2/2021</c:v>
                </c:pt>
                <c:pt idx="343">
                  <c:v>3/3/2021</c:v>
                </c:pt>
                <c:pt idx="344">
                  <c:v>3/4/2021</c:v>
                </c:pt>
                <c:pt idx="345">
                  <c:v>3/5/2021</c:v>
                </c:pt>
                <c:pt idx="346">
                  <c:v>3/8/2021</c:v>
                </c:pt>
                <c:pt idx="347">
                  <c:v>3/9/2021</c:v>
                </c:pt>
                <c:pt idx="348">
                  <c:v>3/10/2021</c:v>
                </c:pt>
                <c:pt idx="349">
                  <c:v>3/11/2021</c:v>
                </c:pt>
                <c:pt idx="350">
                  <c:v>3/12/2021</c:v>
                </c:pt>
                <c:pt idx="351">
                  <c:v>3/15/2021</c:v>
                </c:pt>
                <c:pt idx="352">
                  <c:v>3/16/2021</c:v>
                </c:pt>
                <c:pt idx="353">
                  <c:v>3/17/2021</c:v>
                </c:pt>
                <c:pt idx="354">
                  <c:v>3/18/2021</c:v>
                </c:pt>
                <c:pt idx="355">
                  <c:v>3/19/2021</c:v>
                </c:pt>
                <c:pt idx="356">
                  <c:v>3/22/2021</c:v>
                </c:pt>
                <c:pt idx="357">
                  <c:v>3/23/2021</c:v>
                </c:pt>
                <c:pt idx="358">
                  <c:v>3/24/2021</c:v>
                </c:pt>
                <c:pt idx="359">
                  <c:v>3/25/2021</c:v>
                </c:pt>
                <c:pt idx="360">
                  <c:v>3/26/2021</c:v>
                </c:pt>
                <c:pt idx="361">
                  <c:v>3/29/2021</c:v>
                </c:pt>
                <c:pt idx="362">
                  <c:v>3/30/2021</c:v>
                </c:pt>
                <c:pt idx="363">
                  <c:v>3/31/2021</c:v>
                </c:pt>
                <c:pt idx="364">
                  <c:v>4/1/2021</c:v>
                </c:pt>
                <c:pt idx="365">
                  <c:v>4/5/2021</c:v>
                </c:pt>
                <c:pt idx="366">
                  <c:v>4/6/2021</c:v>
                </c:pt>
                <c:pt idx="367">
                  <c:v>4/7/2021</c:v>
                </c:pt>
                <c:pt idx="368">
                  <c:v>4/8/2021</c:v>
                </c:pt>
                <c:pt idx="369">
                  <c:v>4/9/2021</c:v>
                </c:pt>
                <c:pt idx="370">
                  <c:v>4/12/2021</c:v>
                </c:pt>
                <c:pt idx="371">
                  <c:v>4/13/2021</c:v>
                </c:pt>
                <c:pt idx="372">
                  <c:v>4/14/2021</c:v>
                </c:pt>
                <c:pt idx="373">
                  <c:v>4/15/2021</c:v>
                </c:pt>
                <c:pt idx="374">
                  <c:v>4/16/2021</c:v>
                </c:pt>
                <c:pt idx="375">
                  <c:v>4/19/2021</c:v>
                </c:pt>
                <c:pt idx="376">
                  <c:v>4/20/2021</c:v>
                </c:pt>
                <c:pt idx="377">
                  <c:v>4/21/2021</c:v>
                </c:pt>
                <c:pt idx="378">
                  <c:v>4/22/2021</c:v>
                </c:pt>
                <c:pt idx="379">
                  <c:v>4/23/2021</c:v>
                </c:pt>
                <c:pt idx="380">
                  <c:v>4/26/2021</c:v>
                </c:pt>
                <c:pt idx="381">
                  <c:v>4/27/2021</c:v>
                </c:pt>
                <c:pt idx="382">
                  <c:v>4/28/2021</c:v>
                </c:pt>
                <c:pt idx="383">
                  <c:v>4/29/2021</c:v>
                </c:pt>
                <c:pt idx="384">
                  <c:v>4/30/2021</c:v>
                </c:pt>
                <c:pt idx="385">
                  <c:v>5/3/2021</c:v>
                </c:pt>
                <c:pt idx="386">
                  <c:v>5/4/2021</c:v>
                </c:pt>
                <c:pt idx="387">
                  <c:v>5/5/2021</c:v>
                </c:pt>
                <c:pt idx="388">
                  <c:v>5/6/2021</c:v>
                </c:pt>
                <c:pt idx="389">
                  <c:v>5/7/2021</c:v>
                </c:pt>
                <c:pt idx="390">
                  <c:v>5/10/2021</c:v>
                </c:pt>
                <c:pt idx="391">
                  <c:v>5/11/2021</c:v>
                </c:pt>
                <c:pt idx="392">
                  <c:v>5/12/2021</c:v>
                </c:pt>
                <c:pt idx="393">
                  <c:v>5/13/2021</c:v>
                </c:pt>
                <c:pt idx="394">
                  <c:v>5/14/2021</c:v>
                </c:pt>
                <c:pt idx="395">
                  <c:v>5/17/2021</c:v>
                </c:pt>
                <c:pt idx="396">
                  <c:v>5/18/2021</c:v>
                </c:pt>
                <c:pt idx="397">
                  <c:v>5/19/2021</c:v>
                </c:pt>
                <c:pt idx="398">
                  <c:v>5/20/2021</c:v>
                </c:pt>
                <c:pt idx="399">
                  <c:v>5/21/2021</c:v>
                </c:pt>
                <c:pt idx="400">
                  <c:v>5/24/2021</c:v>
                </c:pt>
                <c:pt idx="401">
                  <c:v>5/25/2021</c:v>
                </c:pt>
                <c:pt idx="402">
                  <c:v>5/26/2021</c:v>
                </c:pt>
                <c:pt idx="403">
                  <c:v>5/27/2021</c:v>
                </c:pt>
                <c:pt idx="404">
                  <c:v>5/28/2021</c:v>
                </c:pt>
                <c:pt idx="405">
                  <c:v>5/31/2021</c:v>
                </c:pt>
                <c:pt idx="406">
                  <c:v>6/1/2021</c:v>
                </c:pt>
                <c:pt idx="407">
                  <c:v>6/2/2021</c:v>
                </c:pt>
                <c:pt idx="408">
                  <c:v>6/3/2021</c:v>
                </c:pt>
                <c:pt idx="409">
                  <c:v>6/4/2021</c:v>
                </c:pt>
                <c:pt idx="410">
                  <c:v>6/7/2021</c:v>
                </c:pt>
                <c:pt idx="411">
                  <c:v>6/8/2021</c:v>
                </c:pt>
                <c:pt idx="412">
                  <c:v>6/9/2021</c:v>
                </c:pt>
                <c:pt idx="413">
                  <c:v>6/10/2021</c:v>
                </c:pt>
                <c:pt idx="414">
                  <c:v>6/11/2021</c:v>
                </c:pt>
                <c:pt idx="415">
                  <c:v>6/14/2021</c:v>
                </c:pt>
                <c:pt idx="416">
                  <c:v>6/15/2021</c:v>
                </c:pt>
                <c:pt idx="417">
                  <c:v>6/16/2021</c:v>
                </c:pt>
                <c:pt idx="418">
                  <c:v>6/17/2021</c:v>
                </c:pt>
                <c:pt idx="419">
                  <c:v>6/18/2021</c:v>
                </c:pt>
                <c:pt idx="420">
                  <c:v>6/21/2021</c:v>
                </c:pt>
                <c:pt idx="421">
                  <c:v>6/22/2021</c:v>
                </c:pt>
                <c:pt idx="422">
                  <c:v>6/23/2021</c:v>
                </c:pt>
                <c:pt idx="423">
                  <c:v>6/24/2021</c:v>
                </c:pt>
                <c:pt idx="424">
                  <c:v>6/25/2021</c:v>
                </c:pt>
                <c:pt idx="425">
                  <c:v>6/28/2021</c:v>
                </c:pt>
                <c:pt idx="426">
                  <c:v>6/29/2021</c:v>
                </c:pt>
                <c:pt idx="427">
                  <c:v>6/30/2021</c:v>
                </c:pt>
                <c:pt idx="428">
                  <c:v>7/1/2021</c:v>
                </c:pt>
                <c:pt idx="429">
                  <c:v>7/2/2021</c:v>
                </c:pt>
                <c:pt idx="430">
                  <c:v>7/5/2021</c:v>
                </c:pt>
                <c:pt idx="431">
                  <c:v>7/6/2021</c:v>
                </c:pt>
                <c:pt idx="432">
                  <c:v>7/7/2021</c:v>
                </c:pt>
                <c:pt idx="433">
                  <c:v>7/8/2021</c:v>
                </c:pt>
                <c:pt idx="434">
                  <c:v>7/9/2021</c:v>
                </c:pt>
                <c:pt idx="435">
                  <c:v>7/12/2021</c:v>
                </c:pt>
                <c:pt idx="436">
                  <c:v>7/13/2021</c:v>
                </c:pt>
                <c:pt idx="437">
                  <c:v>7/14/2021</c:v>
                </c:pt>
                <c:pt idx="438">
                  <c:v>7/15/2021</c:v>
                </c:pt>
                <c:pt idx="439">
                  <c:v>7/16/2021</c:v>
                </c:pt>
                <c:pt idx="440">
                  <c:v>7/19/2021</c:v>
                </c:pt>
                <c:pt idx="441">
                  <c:v>7/20/2021</c:v>
                </c:pt>
                <c:pt idx="442">
                  <c:v>7/21/2021</c:v>
                </c:pt>
                <c:pt idx="443">
                  <c:v>7/22/2021</c:v>
                </c:pt>
                <c:pt idx="444">
                  <c:v>7/23/2021</c:v>
                </c:pt>
                <c:pt idx="445">
                  <c:v>7/26/2021</c:v>
                </c:pt>
                <c:pt idx="446">
                  <c:v>7/27/2021</c:v>
                </c:pt>
                <c:pt idx="447">
                  <c:v>7/28/2021</c:v>
                </c:pt>
                <c:pt idx="448">
                  <c:v>7/29/2021</c:v>
                </c:pt>
                <c:pt idx="449">
                  <c:v>7/30/2021</c:v>
                </c:pt>
                <c:pt idx="450">
                  <c:v>8/2/2021</c:v>
                </c:pt>
                <c:pt idx="451">
                  <c:v>8/3/2021</c:v>
                </c:pt>
                <c:pt idx="452">
                  <c:v>8/4/2021</c:v>
                </c:pt>
                <c:pt idx="453">
                  <c:v>8/5/2021</c:v>
                </c:pt>
                <c:pt idx="454">
                  <c:v>8/6/2021</c:v>
                </c:pt>
                <c:pt idx="455">
                  <c:v>8/9/2021</c:v>
                </c:pt>
                <c:pt idx="456">
                  <c:v>8/10/2021</c:v>
                </c:pt>
                <c:pt idx="457">
                  <c:v>8/11/2021</c:v>
                </c:pt>
                <c:pt idx="458">
                  <c:v>8/12/2021</c:v>
                </c:pt>
                <c:pt idx="459">
                  <c:v>8/13/2021</c:v>
                </c:pt>
                <c:pt idx="460">
                  <c:v>8/16/2021</c:v>
                </c:pt>
                <c:pt idx="461">
                  <c:v>8/17/2021</c:v>
                </c:pt>
                <c:pt idx="462">
                  <c:v>8/18/2021</c:v>
                </c:pt>
                <c:pt idx="463">
                  <c:v>8/19/2021</c:v>
                </c:pt>
                <c:pt idx="464">
                  <c:v>8/20/2021</c:v>
                </c:pt>
                <c:pt idx="465">
                  <c:v>8/23/2021</c:v>
                </c:pt>
                <c:pt idx="466">
                  <c:v>8/24/2021</c:v>
                </c:pt>
                <c:pt idx="467">
                  <c:v>8/25/2021</c:v>
                </c:pt>
                <c:pt idx="468">
                  <c:v>8/26/2021</c:v>
                </c:pt>
                <c:pt idx="469">
                  <c:v>8/27/2021</c:v>
                </c:pt>
                <c:pt idx="470">
                  <c:v>8/30/2021</c:v>
                </c:pt>
                <c:pt idx="471">
                  <c:v>8/31/2021</c:v>
                </c:pt>
                <c:pt idx="472">
                  <c:v>9/1/2021</c:v>
                </c:pt>
                <c:pt idx="473">
                  <c:v>9/2/2021</c:v>
                </c:pt>
                <c:pt idx="474">
                  <c:v>9/3/2021</c:v>
                </c:pt>
                <c:pt idx="475">
                  <c:v>9/6/2021</c:v>
                </c:pt>
                <c:pt idx="476">
                  <c:v>9/7/2021</c:v>
                </c:pt>
                <c:pt idx="477">
                  <c:v>9/8/2021</c:v>
                </c:pt>
                <c:pt idx="478">
                  <c:v>9/9/2021</c:v>
                </c:pt>
                <c:pt idx="479">
                  <c:v>9/10/2021</c:v>
                </c:pt>
                <c:pt idx="480">
                  <c:v>9/13/2021</c:v>
                </c:pt>
                <c:pt idx="481">
                  <c:v>9/14/2021</c:v>
                </c:pt>
                <c:pt idx="482">
                  <c:v>9/15/2021</c:v>
                </c:pt>
                <c:pt idx="483">
                  <c:v>9/16/2021</c:v>
                </c:pt>
                <c:pt idx="484">
                  <c:v>9/17/2021</c:v>
                </c:pt>
                <c:pt idx="485">
                  <c:v>9/20/2021</c:v>
                </c:pt>
                <c:pt idx="486">
                  <c:v>9/21/2021</c:v>
                </c:pt>
                <c:pt idx="487">
                  <c:v>9/22/2021</c:v>
                </c:pt>
                <c:pt idx="488">
                  <c:v>9/23/2021</c:v>
                </c:pt>
                <c:pt idx="489">
                  <c:v>9/24/2021</c:v>
                </c:pt>
                <c:pt idx="490">
                  <c:v>9/27/2021</c:v>
                </c:pt>
                <c:pt idx="491">
                  <c:v>9/28/2021</c:v>
                </c:pt>
                <c:pt idx="492">
                  <c:v>9/29/2021</c:v>
                </c:pt>
                <c:pt idx="493">
                  <c:v>9/30/2021</c:v>
                </c:pt>
                <c:pt idx="494">
                  <c:v>10/1/2021</c:v>
                </c:pt>
                <c:pt idx="495">
                  <c:v>10/4/2021</c:v>
                </c:pt>
                <c:pt idx="496">
                  <c:v>10/5/2021</c:v>
                </c:pt>
                <c:pt idx="497">
                  <c:v>10/6/2021</c:v>
                </c:pt>
                <c:pt idx="498">
                  <c:v>10/7/2021</c:v>
                </c:pt>
                <c:pt idx="499">
                  <c:v>10/8/2021</c:v>
                </c:pt>
                <c:pt idx="500">
                  <c:v>10/11/2021</c:v>
                </c:pt>
                <c:pt idx="501">
                  <c:v>10/12/2021</c:v>
                </c:pt>
                <c:pt idx="502">
                  <c:v>10/13/2021</c:v>
                </c:pt>
                <c:pt idx="503">
                  <c:v>10/14/2021</c:v>
                </c:pt>
                <c:pt idx="504">
                  <c:v>10/15/2021</c:v>
                </c:pt>
                <c:pt idx="505">
                  <c:v>10/18/2021</c:v>
                </c:pt>
                <c:pt idx="506">
                  <c:v>10/19/2021</c:v>
                </c:pt>
                <c:pt idx="507">
                  <c:v>10/20/2021</c:v>
                </c:pt>
                <c:pt idx="508">
                  <c:v>10/21/2021</c:v>
                </c:pt>
                <c:pt idx="509">
                  <c:v>10/22/2021</c:v>
                </c:pt>
                <c:pt idx="510">
                  <c:v>10/25/2021</c:v>
                </c:pt>
                <c:pt idx="511">
                  <c:v>10/26/2021</c:v>
                </c:pt>
                <c:pt idx="512">
                  <c:v>10/27/2021</c:v>
                </c:pt>
                <c:pt idx="513">
                  <c:v>10/28/2021</c:v>
                </c:pt>
                <c:pt idx="514">
                  <c:v>10/29/2021</c:v>
                </c:pt>
                <c:pt idx="515">
                  <c:v>11/1/2021</c:v>
                </c:pt>
                <c:pt idx="516">
                  <c:v>11/2/2021</c:v>
                </c:pt>
                <c:pt idx="517">
                  <c:v>11/3/2021</c:v>
                </c:pt>
                <c:pt idx="518">
                  <c:v>11/4/2021</c:v>
                </c:pt>
                <c:pt idx="519">
                  <c:v>11/5/2021</c:v>
                </c:pt>
                <c:pt idx="520">
                  <c:v>11/8/2021</c:v>
                </c:pt>
                <c:pt idx="521">
                  <c:v>11/9/2021</c:v>
                </c:pt>
                <c:pt idx="522">
                  <c:v>11/10/2021</c:v>
                </c:pt>
                <c:pt idx="523">
                  <c:v>11/11/2021</c:v>
                </c:pt>
                <c:pt idx="524">
                  <c:v>11/12/2021</c:v>
                </c:pt>
                <c:pt idx="525">
                  <c:v>11/15/2021</c:v>
                </c:pt>
                <c:pt idx="526">
                  <c:v>11/16/2021</c:v>
                </c:pt>
                <c:pt idx="527">
                  <c:v>11/17/2021</c:v>
                </c:pt>
                <c:pt idx="528">
                  <c:v>11/18/2021</c:v>
                </c:pt>
                <c:pt idx="529">
                  <c:v>11/19/2021</c:v>
                </c:pt>
                <c:pt idx="530">
                  <c:v>11/22/2021</c:v>
                </c:pt>
                <c:pt idx="531">
                  <c:v>11/23/2021</c:v>
                </c:pt>
                <c:pt idx="532">
                  <c:v>11/24/2021</c:v>
                </c:pt>
                <c:pt idx="533">
                  <c:v>11/25/2021</c:v>
                </c:pt>
                <c:pt idx="534">
                  <c:v>11/26/2021</c:v>
                </c:pt>
                <c:pt idx="535">
                  <c:v>11/29/2021</c:v>
                </c:pt>
                <c:pt idx="536">
                  <c:v>11/30/2021</c:v>
                </c:pt>
                <c:pt idx="537">
                  <c:v>12/1/2021</c:v>
                </c:pt>
                <c:pt idx="538">
                  <c:v>12/2/2021</c:v>
                </c:pt>
                <c:pt idx="539">
                  <c:v>12/3/2021</c:v>
                </c:pt>
                <c:pt idx="540">
                  <c:v>12/6/2021</c:v>
                </c:pt>
                <c:pt idx="541">
                  <c:v>12/7/2021</c:v>
                </c:pt>
                <c:pt idx="542">
                  <c:v>12/8/2021</c:v>
                </c:pt>
                <c:pt idx="543">
                  <c:v>12/9/2021</c:v>
                </c:pt>
                <c:pt idx="544">
                  <c:v>12/10/2021</c:v>
                </c:pt>
                <c:pt idx="545">
                  <c:v>12/13/2021</c:v>
                </c:pt>
                <c:pt idx="546">
                  <c:v>12/14/2021</c:v>
                </c:pt>
                <c:pt idx="547">
                  <c:v>12/15/2021</c:v>
                </c:pt>
                <c:pt idx="548">
                  <c:v>12/16/2021</c:v>
                </c:pt>
                <c:pt idx="549">
                  <c:v>12/17/2021</c:v>
                </c:pt>
                <c:pt idx="550">
                  <c:v>12/20/2021</c:v>
                </c:pt>
                <c:pt idx="551">
                  <c:v>12/21/2021</c:v>
                </c:pt>
                <c:pt idx="552">
                  <c:v>12/22/2021</c:v>
                </c:pt>
                <c:pt idx="553">
                  <c:v>12/23/2021</c:v>
                </c:pt>
                <c:pt idx="554">
                  <c:v>12/24/2021</c:v>
                </c:pt>
                <c:pt idx="555">
                  <c:v>12/27/2021</c:v>
                </c:pt>
                <c:pt idx="556">
                  <c:v>12/28/2021</c:v>
                </c:pt>
                <c:pt idx="557">
                  <c:v>12/29/2021</c:v>
                </c:pt>
                <c:pt idx="558">
                  <c:v>12/30/2021</c:v>
                </c:pt>
                <c:pt idx="559">
                  <c:v>12/31/2021</c:v>
                </c:pt>
                <c:pt idx="560">
                  <c:v>1/3/2022</c:v>
                </c:pt>
                <c:pt idx="561">
                  <c:v>1/4/2022</c:v>
                </c:pt>
                <c:pt idx="562">
                  <c:v>1/5/2022</c:v>
                </c:pt>
                <c:pt idx="563">
                  <c:v>1/6/2022</c:v>
                </c:pt>
                <c:pt idx="564">
                  <c:v>1/7/2022</c:v>
                </c:pt>
                <c:pt idx="565">
                  <c:v>1/10/2022</c:v>
                </c:pt>
                <c:pt idx="566">
                  <c:v>1/11/2022</c:v>
                </c:pt>
                <c:pt idx="567">
                  <c:v>1/12/2022</c:v>
                </c:pt>
                <c:pt idx="568">
                  <c:v>1/13/2022</c:v>
                </c:pt>
                <c:pt idx="569">
                  <c:v>1/14/2022</c:v>
                </c:pt>
                <c:pt idx="570">
                  <c:v>1/17/2022</c:v>
                </c:pt>
                <c:pt idx="571">
                  <c:v>1/18/2022</c:v>
                </c:pt>
                <c:pt idx="572">
                  <c:v>1/19/2022</c:v>
                </c:pt>
                <c:pt idx="573">
                  <c:v>1/20/2022</c:v>
                </c:pt>
                <c:pt idx="574">
                  <c:v>1/21/2022</c:v>
                </c:pt>
                <c:pt idx="575">
                  <c:v>1/24/2022</c:v>
                </c:pt>
                <c:pt idx="576">
                  <c:v>1/25/2022</c:v>
                </c:pt>
                <c:pt idx="577">
                  <c:v>1/26/2022</c:v>
                </c:pt>
                <c:pt idx="578">
                  <c:v>1/27/2022</c:v>
                </c:pt>
                <c:pt idx="579">
                  <c:v>1/28/2022</c:v>
                </c:pt>
                <c:pt idx="580">
                  <c:v>1/31/2022</c:v>
                </c:pt>
                <c:pt idx="581">
                  <c:v>2/1/2022</c:v>
                </c:pt>
                <c:pt idx="582">
                  <c:v>2/2/2022</c:v>
                </c:pt>
                <c:pt idx="583">
                  <c:v>2/3/2022</c:v>
                </c:pt>
                <c:pt idx="584">
                  <c:v>2/4/2022</c:v>
                </c:pt>
                <c:pt idx="585">
                  <c:v>2/7/2022</c:v>
                </c:pt>
                <c:pt idx="586">
                  <c:v>2/8/2022</c:v>
                </c:pt>
                <c:pt idx="587">
                  <c:v>2/9/2022</c:v>
                </c:pt>
                <c:pt idx="588">
                  <c:v>2/10/2022</c:v>
                </c:pt>
                <c:pt idx="589">
                  <c:v>2/11/2022</c:v>
                </c:pt>
                <c:pt idx="590">
                  <c:v>2/14/2022</c:v>
                </c:pt>
                <c:pt idx="591">
                  <c:v>2/15/2022</c:v>
                </c:pt>
                <c:pt idx="592">
                  <c:v>2/16/2022</c:v>
                </c:pt>
                <c:pt idx="593">
                  <c:v>2/17/2022</c:v>
                </c:pt>
                <c:pt idx="594">
                  <c:v>2/18/2022</c:v>
                </c:pt>
                <c:pt idx="595">
                  <c:v>2/21/2022</c:v>
                </c:pt>
                <c:pt idx="596">
                  <c:v>2/22/2022</c:v>
                </c:pt>
                <c:pt idx="597">
                  <c:v>2/23/2022</c:v>
                </c:pt>
                <c:pt idx="598">
                  <c:v>2/24/2022</c:v>
                </c:pt>
                <c:pt idx="599">
                  <c:v>2/25/2022</c:v>
                </c:pt>
                <c:pt idx="600">
                  <c:v>2/28/2022</c:v>
                </c:pt>
                <c:pt idx="601">
                  <c:v>3/1/2022</c:v>
                </c:pt>
                <c:pt idx="602">
                  <c:v>3/2/2022</c:v>
                </c:pt>
                <c:pt idx="603">
                  <c:v>3/3/2022</c:v>
                </c:pt>
                <c:pt idx="604">
                  <c:v>3/4/2022</c:v>
                </c:pt>
                <c:pt idx="605">
                  <c:v>3/7/2022</c:v>
                </c:pt>
                <c:pt idx="606">
                  <c:v>3/8/2022</c:v>
                </c:pt>
                <c:pt idx="607">
                  <c:v>3/9/2022</c:v>
                </c:pt>
                <c:pt idx="608">
                  <c:v>3/10/2022</c:v>
                </c:pt>
                <c:pt idx="609">
                  <c:v>3/11/2022</c:v>
                </c:pt>
                <c:pt idx="610">
                  <c:v>3/14/2022</c:v>
                </c:pt>
                <c:pt idx="611">
                  <c:v>3/15/2022</c:v>
                </c:pt>
                <c:pt idx="612">
                  <c:v>3/16/2022</c:v>
                </c:pt>
                <c:pt idx="613">
                  <c:v>3/17/2022</c:v>
                </c:pt>
                <c:pt idx="614">
                  <c:v>3/18/2022</c:v>
                </c:pt>
                <c:pt idx="615">
                  <c:v>3/21/2022</c:v>
                </c:pt>
                <c:pt idx="616">
                  <c:v>3/22/2022</c:v>
                </c:pt>
                <c:pt idx="617">
                  <c:v>3/23/2022</c:v>
                </c:pt>
                <c:pt idx="618">
                  <c:v>3/24/2022</c:v>
                </c:pt>
                <c:pt idx="619">
                  <c:v>3/25/2022</c:v>
                </c:pt>
                <c:pt idx="620">
                  <c:v>3/28/2022</c:v>
                </c:pt>
                <c:pt idx="621">
                  <c:v>3/29/2022</c:v>
                </c:pt>
                <c:pt idx="622">
                  <c:v>3/30/2022</c:v>
                </c:pt>
                <c:pt idx="623">
                  <c:v>3/31/2022</c:v>
                </c:pt>
                <c:pt idx="624">
                  <c:v>4/1/2022</c:v>
                </c:pt>
                <c:pt idx="625">
                  <c:v>4/4/2022</c:v>
                </c:pt>
                <c:pt idx="626">
                  <c:v>4/5/2022</c:v>
                </c:pt>
                <c:pt idx="627">
                  <c:v>4/6/2022</c:v>
                </c:pt>
                <c:pt idx="628">
                  <c:v>4/7/2022</c:v>
                </c:pt>
                <c:pt idx="629">
                  <c:v>4/8/2022</c:v>
                </c:pt>
                <c:pt idx="630">
                  <c:v>4/11/2022</c:v>
                </c:pt>
                <c:pt idx="631">
                  <c:v>4/12/2022</c:v>
                </c:pt>
                <c:pt idx="632">
                  <c:v>4/13/2022</c:v>
                </c:pt>
                <c:pt idx="633">
                  <c:v>4/14/2022</c:v>
                </c:pt>
                <c:pt idx="634">
                  <c:v>4/18/2022</c:v>
                </c:pt>
                <c:pt idx="635">
                  <c:v>4/19/2022</c:v>
                </c:pt>
                <c:pt idx="636">
                  <c:v>4/20/2022</c:v>
                </c:pt>
                <c:pt idx="637">
                  <c:v>4/21/2022</c:v>
                </c:pt>
                <c:pt idx="638">
                  <c:v>4/22/2022</c:v>
                </c:pt>
                <c:pt idx="639">
                  <c:v>4/25/2022</c:v>
                </c:pt>
                <c:pt idx="640">
                  <c:v>4/26/2022</c:v>
                </c:pt>
                <c:pt idx="641">
                  <c:v>4/27/2022</c:v>
                </c:pt>
                <c:pt idx="642">
                  <c:v>4/28/2022</c:v>
                </c:pt>
                <c:pt idx="643">
                  <c:v>4/29/2022</c:v>
                </c:pt>
                <c:pt idx="644">
                  <c:v>5/2/2022</c:v>
                </c:pt>
                <c:pt idx="645">
                  <c:v>5/3/2022</c:v>
                </c:pt>
                <c:pt idx="646">
                  <c:v>5/4/2022</c:v>
                </c:pt>
                <c:pt idx="647">
                  <c:v>5/5/2022</c:v>
                </c:pt>
                <c:pt idx="648">
                  <c:v>5/6/2022</c:v>
                </c:pt>
                <c:pt idx="649">
                  <c:v>5/9/2022</c:v>
                </c:pt>
                <c:pt idx="650">
                  <c:v>5/10/2022</c:v>
                </c:pt>
                <c:pt idx="651">
                  <c:v>5/11/2022</c:v>
                </c:pt>
                <c:pt idx="652">
                  <c:v>5/12/2022</c:v>
                </c:pt>
                <c:pt idx="653">
                  <c:v>5/13/2022</c:v>
                </c:pt>
                <c:pt idx="654">
                  <c:v>5/16/2022</c:v>
                </c:pt>
                <c:pt idx="655">
                  <c:v>5/17/2022</c:v>
                </c:pt>
                <c:pt idx="656">
                  <c:v>5/18/2022</c:v>
                </c:pt>
                <c:pt idx="657">
                  <c:v>5/19/2022</c:v>
                </c:pt>
                <c:pt idx="658">
                  <c:v>5/20/2022</c:v>
                </c:pt>
                <c:pt idx="659">
                  <c:v>5/23/2022</c:v>
                </c:pt>
                <c:pt idx="660">
                  <c:v>5/24/2022</c:v>
                </c:pt>
                <c:pt idx="661">
                  <c:v>5/25/2022</c:v>
                </c:pt>
                <c:pt idx="662">
                  <c:v>5/26/2022</c:v>
                </c:pt>
                <c:pt idx="663">
                  <c:v>5/27/2022</c:v>
                </c:pt>
                <c:pt idx="664">
                  <c:v>5/30/2022</c:v>
                </c:pt>
                <c:pt idx="665">
                  <c:v>5/31/2022</c:v>
                </c:pt>
                <c:pt idx="666">
                  <c:v>6/1/2022</c:v>
                </c:pt>
                <c:pt idx="667">
                  <c:v>6/2/2022</c:v>
                </c:pt>
                <c:pt idx="668">
                  <c:v>6/3/2022</c:v>
                </c:pt>
                <c:pt idx="669">
                  <c:v>6/6/2022</c:v>
                </c:pt>
                <c:pt idx="670">
                  <c:v>6/7/2022</c:v>
                </c:pt>
                <c:pt idx="671">
                  <c:v>6/8/2022</c:v>
                </c:pt>
                <c:pt idx="672">
                  <c:v>6/9/2022</c:v>
                </c:pt>
                <c:pt idx="673">
                  <c:v>6/10/2022</c:v>
                </c:pt>
                <c:pt idx="674">
                  <c:v>6/13/2022</c:v>
                </c:pt>
                <c:pt idx="675">
                  <c:v>6/14/2022</c:v>
                </c:pt>
                <c:pt idx="676">
                  <c:v>6/15/2022</c:v>
                </c:pt>
                <c:pt idx="677">
                  <c:v>6/16/2022</c:v>
                </c:pt>
                <c:pt idx="678">
                  <c:v>6/17/2022</c:v>
                </c:pt>
                <c:pt idx="679">
                  <c:v>6/21/2022</c:v>
                </c:pt>
                <c:pt idx="680">
                  <c:v>6/22/2022</c:v>
                </c:pt>
                <c:pt idx="681">
                  <c:v>6/23/2022</c:v>
                </c:pt>
                <c:pt idx="682">
                  <c:v>6/24/2022</c:v>
                </c:pt>
                <c:pt idx="683">
                  <c:v>6/27/2022</c:v>
                </c:pt>
              </c:strCache>
            </c:strRef>
          </c:cat>
          <c:val>
            <c:numRef>
              <c:f>CrudeOilNput!$B$2:$B$685</c:f>
              <c:numCache>
                <c:formatCode>"$"#,##0.00</c:formatCode>
                <c:ptCount val="684"/>
                <c:pt idx="0">
                  <c:v>52.66</c:v>
                </c:pt>
                <c:pt idx="1">
                  <c:v>53.32</c:v>
                </c:pt>
                <c:pt idx="2">
                  <c:v>54.09</c:v>
                </c:pt>
                <c:pt idx="3">
                  <c:v>53.41</c:v>
                </c:pt>
                <c:pt idx="4">
                  <c:v>52.97</c:v>
                </c:pt>
                <c:pt idx="5">
                  <c:v>53.26</c:v>
                </c:pt>
                <c:pt idx="6">
                  <c:v>53.54</c:v>
                </c:pt>
                <c:pt idx="7">
                  <c:v>53.47</c:v>
                </c:pt>
                <c:pt idx="8">
                  <c:v>53.32</c:v>
                </c:pt>
                <c:pt idx="9">
                  <c:v>53.65</c:v>
                </c:pt>
                <c:pt idx="10">
                  <c:v>54.11</c:v>
                </c:pt>
                <c:pt idx="11">
                  <c:v>54.18</c:v>
                </c:pt>
                <c:pt idx="12">
                  <c:v>54.27</c:v>
                </c:pt>
                <c:pt idx="13">
                  <c:v>54.12</c:v>
                </c:pt>
                <c:pt idx="14">
                  <c:v>54.09</c:v>
                </c:pt>
                <c:pt idx="15">
                  <c:v>54.04</c:v>
                </c:pt>
                <c:pt idx="16">
                  <c:v>54.01</c:v>
                </c:pt>
                <c:pt idx="17">
                  <c:v>56.22</c:v>
                </c:pt>
                <c:pt idx="18">
                  <c:v>56.54</c:v>
                </c:pt>
                <c:pt idx="19">
                  <c:v>57.16</c:v>
                </c:pt>
                <c:pt idx="20">
                  <c:v>56.41</c:v>
                </c:pt>
                <c:pt idx="21">
                  <c:v>57.04</c:v>
                </c:pt>
                <c:pt idx="22">
                  <c:v>57.11</c:v>
                </c:pt>
                <c:pt idx="23">
                  <c:v>56.85</c:v>
                </c:pt>
                <c:pt idx="24">
                  <c:v>56.81</c:v>
                </c:pt>
                <c:pt idx="25">
                  <c:v>57.01</c:v>
                </c:pt>
                <c:pt idx="26">
                  <c:v>56.83</c:v>
                </c:pt>
                <c:pt idx="27">
                  <c:v>57.31</c:v>
                </c:pt>
                <c:pt idx="28">
                  <c:v>57</c:v>
                </c:pt>
                <c:pt idx="29">
                  <c:v>56.28</c:v>
                </c:pt>
                <c:pt idx="30">
                  <c:v>56.87</c:v>
                </c:pt>
                <c:pt idx="31">
                  <c:v>57.34</c:v>
                </c:pt>
                <c:pt idx="32">
                  <c:v>57.14</c:v>
                </c:pt>
                <c:pt idx="33">
                  <c:v>57.19</c:v>
                </c:pt>
                <c:pt idx="34">
                  <c:v>57.25</c:v>
                </c:pt>
                <c:pt idx="35">
                  <c:v>57.22</c:v>
                </c:pt>
                <c:pt idx="36">
                  <c:v>57.07</c:v>
                </c:pt>
                <c:pt idx="37">
                  <c:v>55.94</c:v>
                </c:pt>
                <c:pt idx="38">
                  <c:v>56.07</c:v>
                </c:pt>
                <c:pt idx="39">
                  <c:v>58.17</c:v>
                </c:pt>
                <c:pt idx="40">
                  <c:v>58.17</c:v>
                </c:pt>
                <c:pt idx="41">
                  <c:v>58.79</c:v>
                </c:pt>
                <c:pt idx="42">
                  <c:v>58.65</c:v>
                </c:pt>
                <c:pt idx="43">
                  <c:v>58.81</c:v>
                </c:pt>
                <c:pt idx="44">
                  <c:v>58.49</c:v>
                </c:pt>
                <c:pt idx="45">
                  <c:v>58.74</c:v>
                </c:pt>
                <c:pt idx="46">
                  <c:v>59.26</c:v>
                </c:pt>
                <c:pt idx="47">
                  <c:v>59.34</c:v>
                </c:pt>
                <c:pt idx="48">
                  <c:v>59.69</c:v>
                </c:pt>
                <c:pt idx="49">
                  <c:v>59.68</c:v>
                </c:pt>
                <c:pt idx="50">
                  <c:v>59.81</c:v>
                </c:pt>
                <c:pt idx="51">
                  <c:v>59.56</c:v>
                </c:pt>
                <c:pt idx="52">
                  <c:v>59.58</c:v>
                </c:pt>
                <c:pt idx="53">
                  <c:v>59.72</c:v>
                </c:pt>
                <c:pt idx="54">
                  <c:v>59.83</c:v>
                </c:pt>
                <c:pt idx="55">
                  <c:v>59.84</c:v>
                </c:pt>
                <c:pt idx="56">
                  <c:v>59.83</c:v>
                </c:pt>
                <c:pt idx="57">
                  <c:v>59.8</c:v>
                </c:pt>
                <c:pt idx="58">
                  <c:v>61.09</c:v>
                </c:pt>
                <c:pt idx="59">
                  <c:v>62.87</c:v>
                </c:pt>
                <c:pt idx="60">
                  <c:v>63.07</c:v>
                </c:pt>
                <c:pt idx="61">
                  <c:v>62.6</c:v>
                </c:pt>
                <c:pt idx="62">
                  <c:v>60.11</c:v>
                </c:pt>
                <c:pt idx="63">
                  <c:v>60.09</c:v>
                </c:pt>
                <c:pt idx="64">
                  <c:v>59.74</c:v>
                </c:pt>
                <c:pt idx="65">
                  <c:v>59.12</c:v>
                </c:pt>
                <c:pt idx="66">
                  <c:v>59.22</c:v>
                </c:pt>
                <c:pt idx="67">
                  <c:v>58.98</c:v>
                </c:pt>
                <c:pt idx="68">
                  <c:v>59.35</c:v>
                </c:pt>
                <c:pt idx="69">
                  <c:v>59.37</c:v>
                </c:pt>
                <c:pt idx="70">
                  <c:v>59.28</c:v>
                </c:pt>
                <c:pt idx="71">
                  <c:v>58.66</c:v>
                </c:pt>
                <c:pt idx="72">
                  <c:v>58.28</c:v>
                </c:pt>
                <c:pt idx="73">
                  <c:v>57.88</c:v>
                </c:pt>
                <c:pt idx="74">
                  <c:v>57.63</c:v>
                </c:pt>
                <c:pt idx="75">
                  <c:v>57.69</c:v>
                </c:pt>
                <c:pt idx="76">
                  <c:v>57.67</c:v>
                </c:pt>
                <c:pt idx="77">
                  <c:v>57.56</c:v>
                </c:pt>
                <c:pt idx="78">
                  <c:v>57.53</c:v>
                </c:pt>
                <c:pt idx="79">
                  <c:v>50.16</c:v>
                </c:pt>
                <c:pt idx="80">
                  <c:v>49.7</c:v>
                </c:pt>
                <c:pt idx="81">
                  <c:v>50.71</c:v>
                </c:pt>
                <c:pt idx="82">
                  <c:v>50.88</c:v>
                </c:pt>
                <c:pt idx="83">
                  <c:v>50.4</c:v>
                </c:pt>
                <c:pt idx="84">
                  <c:v>49.84</c:v>
                </c:pt>
                <c:pt idx="85">
                  <c:v>50.1</c:v>
                </c:pt>
                <c:pt idx="86">
                  <c:v>50.88</c:v>
                </c:pt>
                <c:pt idx="87">
                  <c:v>51.03</c:v>
                </c:pt>
                <c:pt idx="88">
                  <c:v>51.37</c:v>
                </c:pt>
                <c:pt idx="89">
                  <c:v>51.36</c:v>
                </c:pt>
                <c:pt idx="90">
                  <c:v>51.87</c:v>
                </c:pt>
                <c:pt idx="91">
                  <c:v>52.02</c:v>
                </c:pt>
                <c:pt idx="92">
                  <c:v>51.86</c:v>
                </c:pt>
                <c:pt idx="93">
                  <c:v>51.34</c:v>
                </c:pt>
                <c:pt idx="94">
                  <c:v>51.02</c:v>
                </c:pt>
                <c:pt idx="95">
                  <c:v>50.84</c:v>
                </c:pt>
                <c:pt idx="96">
                  <c:v>50.66</c:v>
                </c:pt>
                <c:pt idx="97">
                  <c:v>50.54</c:v>
                </c:pt>
                <c:pt idx="98">
                  <c:v>46.8</c:v>
                </c:pt>
                <c:pt idx="99">
                  <c:v>47.21</c:v>
                </c:pt>
                <c:pt idx="100">
                  <c:v>46.85</c:v>
                </c:pt>
                <c:pt idx="101">
                  <c:v>46.09</c:v>
                </c:pt>
                <c:pt idx="102">
                  <c:v>42.33</c:v>
                </c:pt>
                <c:pt idx="103">
                  <c:v>34.520000000000003</c:v>
                </c:pt>
                <c:pt idx="104">
                  <c:v>36.880000000000003</c:v>
                </c:pt>
                <c:pt idx="105">
                  <c:v>35.950000000000003</c:v>
                </c:pt>
                <c:pt idx="106">
                  <c:v>35.03</c:v>
                </c:pt>
                <c:pt idx="107">
                  <c:v>35.14</c:v>
                </c:pt>
                <c:pt idx="108">
                  <c:v>33.46</c:v>
                </c:pt>
                <c:pt idx="109">
                  <c:v>32.61</c:v>
                </c:pt>
                <c:pt idx="110">
                  <c:v>29.64</c:v>
                </c:pt>
                <c:pt idx="111">
                  <c:v>31.7</c:v>
                </c:pt>
                <c:pt idx="112">
                  <c:v>30.53</c:v>
                </c:pt>
                <c:pt idx="113">
                  <c:v>30.76</c:v>
                </c:pt>
                <c:pt idx="114">
                  <c:v>30.94</c:v>
                </c:pt>
                <c:pt idx="115">
                  <c:v>31.05</c:v>
                </c:pt>
                <c:pt idx="116">
                  <c:v>30.71</c:v>
                </c:pt>
                <c:pt idx="117">
                  <c:v>30.56</c:v>
                </c:pt>
                <c:pt idx="118">
                  <c:v>30.43</c:v>
                </c:pt>
                <c:pt idx="119">
                  <c:v>21.82</c:v>
                </c:pt>
                <c:pt idx="120">
                  <c:v>21.45</c:v>
                </c:pt>
                <c:pt idx="121">
                  <c:v>25.99</c:v>
                </c:pt>
                <c:pt idx="122">
                  <c:v>28.67</c:v>
                </c:pt>
                <c:pt idx="123">
                  <c:v>27.18</c:v>
                </c:pt>
                <c:pt idx="124">
                  <c:v>25.58</c:v>
                </c:pt>
                <c:pt idx="125">
                  <c:v>26.7</c:v>
                </c:pt>
                <c:pt idx="126">
                  <c:v>25.36</c:v>
                </c:pt>
                <c:pt idx="127">
                  <c:v>25.39</c:v>
                </c:pt>
                <c:pt idx="128">
                  <c:v>24.11</c:v>
                </c:pt>
                <c:pt idx="129">
                  <c:v>23.6</c:v>
                </c:pt>
                <c:pt idx="130">
                  <c:v>23.43</c:v>
                </c:pt>
                <c:pt idx="131">
                  <c:v>23.04</c:v>
                </c:pt>
                <c:pt idx="132">
                  <c:v>16.18</c:v>
                </c:pt>
                <c:pt idx="133">
                  <c:v>15.5</c:v>
                </c:pt>
                <c:pt idx="134">
                  <c:v>16.23</c:v>
                </c:pt>
                <c:pt idx="135">
                  <c:v>17.010000000000002</c:v>
                </c:pt>
                <c:pt idx="136">
                  <c:v>17.12</c:v>
                </c:pt>
                <c:pt idx="137">
                  <c:v>16.32</c:v>
                </c:pt>
                <c:pt idx="138">
                  <c:v>16.260000000000002</c:v>
                </c:pt>
                <c:pt idx="139">
                  <c:v>16.52</c:v>
                </c:pt>
                <c:pt idx="140">
                  <c:v>16.7</c:v>
                </c:pt>
                <c:pt idx="141">
                  <c:v>20.66</c:v>
                </c:pt>
                <c:pt idx="142">
                  <c:v>21.2</c:v>
                </c:pt>
                <c:pt idx="143">
                  <c:v>24.79</c:v>
                </c:pt>
                <c:pt idx="144">
                  <c:v>24.2</c:v>
                </c:pt>
                <c:pt idx="145">
                  <c:v>23.72</c:v>
                </c:pt>
                <c:pt idx="146">
                  <c:v>24.67</c:v>
                </c:pt>
                <c:pt idx="147">
                  <c:v>24.08</c:v>
                </c:pt>
                <c:pt idx="148">
                  <c:v>25.01</c:v>
                </c:pt>
                <c:pt idx="149">
                  <c:v>24.66</c:v>
                </c:pt>
                <c:pt idx="150">
                  <c:v>25.88</c:v>
                </c:pt>
                <c:pt idx="151">
                  <c:v>26.74</c:v>
                </c:pt>
                <c:pt idx="152">
                  <c:v>27.72</c:v>
                </c:pt>
                <c:pt idx="153">
                  <c:v>27.86</c:v>
                </c:pt>
                <c:pt idx="154">
                  <c:v>28.4</c:v>
                </c:pt>
                <c:pt idx="155">
                  <c:v>28.53</c:v>
                </c:pt>
                <c:pt idx="156">
                  <c:v>28.36</c:v>
                </c:pt>
                <c:pt idx="157">
                  <c:v>28.58</c:v>
                </c:pt>
                <c:pt idx="158">
                  <c:v>28.35</c:v>
                </c:pt>
                <c:pt idx="159">
                  <c:v>28.44</c:v>
                </c:pt>
                <c:pt idx="160">
                  <c:v>28.53</c:v>
                </c:pt>
                <c:pt idx="161">
                  <c:v>35.54</c:v>
                </c:pt>
                <c:pt idx="162">
                  <c:v>36.82</c:v>
                </c:pt>
                <c:pt idx="163">
                  <c:v>37.270000000000003</c:v>
                </c:pt>
                <c:pt idx="164">
                  <c:v>37.369999999999997</c:v>
                </c:pt>
                <c:pt idx="165">
                  <c:v>39.11</c:v>
                </c:pt>
                <c:pt idx="166">
                  <c:v>38.049999999999997</c:v>
                </c:pt>
                <c:pt idx="167">
                  <c:v>38.590000000000003</c:v>
                </c:pt>
                <c:pt idx="168">
                  <c:v>39.03</c:v>
                </c:pt>
                <c:pt idx="169">
                  <c:v>36.97</c:v>
                </c:pt>
                <c:pt idx="170">
                  <c:v>36.93</c:v>
                </c:pt>
                <c:pt idx="171">
                  <c:v>37.42</c:v>
                </c:pt>
                <c:pt idx="172">
                  <c:v>38.03</c:v>
                </c:pt>
                <c:pt idx="173">
                  <c:v>37.840000000000003</c:v>
                </c:pt>
                <c:pt idx="174">
                  <c:v>38.19</c:v>
                </c:pt>
                <c:pt idx="175">
                  <c:v>38.479999999999997</c:v>
                </c:pt>
                <c:pt idx="176">
                  <c:v>38.76</c:v>
                </c:pt>
                <c:pt idx="177">
                  <c:v>38.659999999999997</c:v>
                </c:pt>
                <c:pt idx="178">
                  <c:v>38.130000000000003</c:v>
                </c:pt>
                <c:pt idx="179">
                  <c:v>38.25</c:v>
                </c:pt>
                <c:pt idx="180">
                  <c:v>38.22</c:v>
                </c:pt>
                <c:pt idx="181">
                  <c:v>38.33</c:v>
                </c:pt>
                <c:pt idx="182">
                  <c:v>38.31</c:v>
                </c:pt>
                <c:pt idx="183">
                  <c:v>39.86</c:v>
                </c:pt>
                <c:pt idx="184">
                  <c:v>40.65</c:v>
                </c:pt>
                <c:pt idx="185">
                  <c:v>40.630000000000003</c:v>
                </c:pt>
                <c:pt idx="186">
                  <c:v>40.61</c:v>
                </c:pt>
                <c:pt idx="187">
                  <c:v>40.869999999999997</c:v>
                </c:pt>
                <c:pt idx="188">
                  <c:v>39.9</c:v>
                </c:pt>
                <c:pt idx="189">
                  <c:v>40.58</c:v>
                </c:pt>
                <c:pt idx="190">
                  <c:v>40.28</c:v>
                </c:pt>
                <c:pt idx="191">
                  <c:v>40.409999999999997</c:v>
                </c:pt>
                <c:pt idx="192">
                  <c:v>40.93</c:v>
                </c:pt>
                <c:pt idx="193">
                  <c:v>40.67</c:v>
                </c:pt>
                <c:pt idx="194">
                  <c:v>40.590000000000003</c:v>
                </c:pt>
                <c:pt idx="195">
                  <c:v>40.67</c:v>
                </c:pt>
                <c:pt idx="196">
                  <c:v>41.08</c:v>
                </c:pt>
                <c:pt idx="197">
                  <c:v>41.08</c:v>
                </c:pt>
                <c:pt idx="198">
                  <c:v>40.81</c:v>
                </c:pt>
                <c:pt idx="199">
                  <c:v>40.869999999999997</c:v>
                </c:pt>
                <c:pt idx="200">
                  <c:v>40.94</c:v>
                </c:pt>
                <c:pt idx="201">
                  <c:v>40.840000000000003</c:v>
                </c:pt>
                <c:pt idx="202">
                  <c:v>40.869999999999997</c:v>
                </c:pt>
                <c:pt idx="203">
                  <c:v>40.75</c:v>
                </c:pt>
                <c:pt idx="204">
                  <c:v>40.770000000000003</c:v>
                </c:pt>
                <c:pt idx="205">
                  <c:v>41.11</c:v>
                </c:pt>
                <c:pt idx="206">
                  <c:v>41.74</c:v>
                </c:pt>
                <c:pt idx="207">
                  <c:v>42.19</c:v>
                </c:pt>
                <c:pt idx="208">
                  <c:v>41.99</c:v>
                </c:pt>
                <c:pt idx="209">
                  <c:v>41.4</c:v>
                </c:pt>
                <c:pt idx="210">
                  <c:v>41.94</c:v>
                </c:pt>
                <c:pt idx="211">
                  <c:v>41.71</c:v>
                </c:pt>
                <c:pt idx="212">
                  <c:v>42.43</c:v>
                </c:pt>
                <c:pt idx="213">
                  <c:v>42.16</c:v>
                </c:pt>
                <c:pt idx="214">
                  <c:v>42.04</c:v>
                </c:pt>
                <c:pt idx="215">
                  <c:v>42.49</c:v>
                </c:pt>
                <c:pt idx="216">
                  <c:v>42.47</c:v>
                </c:pt>
                <c:pt idx="217">
                  <c:v>42.47</c:v>
                </c:pt>
                <c:pt idx="218">
                  <c:v>42.36</c:v>
                </c:pt>
                <c:pt idx="219">
                  <c:v>42.2</c:v>
                </c:pt>
                <c:pt idx="220">
                  <c:v>42.28</c:v>
                </c:pt>
                <c:pt idx="221">
                  <c:v>42.45</c:v>
                </c:pt>
                <c:pt idx="222">
                  <c:v>42.46</c:v>
                </c:pt>
                <c:pt idx="223">
                  <c:v>42.41</c:v>
                </c:pt>
                <c:pt idx="224">
                  <c:v>42.41</c:v>
                </c:pt>
                <c:pt idx="225">
                  <c:v>42.69</c:v>
                </c:pt>
                <c:pt idx="226">
                  <c:v>42.85</c:v>
                </c:pt>
                <c:pt idx="227">
                  <c:v>41.67</c:v>
                </c:pt>
                <c:pt idx="228">
                  <c:v>41.54</c:v>
                </c:pt>
                <c:pt idx="229">
                  <c:v>40.18</c:v>
                </c:pt>
                <c:pt idx="230">
                  <c:v>37.76</c:v>
                </c:pt>
                <c:pt idx="231">
                  <c:v>38.72</c:v>
                </c:pt>
                <c:pt idx="232">
                  <c:v>38.18</c:v>
                </c:pt>
                <c:pt idx="233">
                  <c:v>38.19</c:v>
                </c:pt>
                <c:pt idx="234">
                  <c:v>38.14</c:v>
                </c:pt>
                <c:pt idx="235">
                  <c:v>38.72</c:v>
                </c:pt>
                <c:pt idx="236">
                  <c:v>39.700000000000003</c:v>
                </c:pt>
                <c:pt idx="237">
                  <c:v>40.08</c:v>
                </c:pt>
                <c:pt idx="238">
                  <c:v>40.130000000000003</c:v>
                </c:pt>
                <c:pt idx="239">
                  <c:v>39.450000000000003</c:v>
                </c:pt>
                <c:pt idx="240">
                  <c:v>39.54</c:v>
                </c:pt>
                <c:pt idx="241">
                  <c:v>39.58</c:v>
                </c:pt>
                <c:pt idx="242">
                  <c:v>39.67</c:v>
                </c:pt>
                <c:pt idx="243">
                  <c:v>39.659999999999997</c:v>
                </c:pt>
                <c:pt idx="244">
                  <c:v>39.71</c:v>
                </c:pt>
                <c:pt idx="245">
                  <c:v>39.58</c:v>
                </c:pt>
                <c:pt idx="246">
                  <c:v>39.630000000000003</c:v>
                </c:pt>
                <c:pt idx="247">
                  <c:v>38.83</c:v>
                </c:pt>
                <c:pt idx="248">
                  <c:v>37.229999999999997</c:v>
                </c:pt>
                <c:pt idx="249">
                  <c:v>39.200000000000003</c:v>
                </c:pt>
                <c:pt idx="250">
                  <c:v>40.450000000000003</c:v>
                </c:pt>
                <c:pt idx="251">
                  <c:v>39.86</c:v>
                </c:pt>
                <c:pt idx="252">
                  <c:v>40.82</c:v>
                </c:pt>
                <c:pt idx="253">
                  <c:v>40.4</c:v>
                </c:pt>
                <c:pt idx="254">
                  <c:v>39.6</c:v>
                </c:pt>
                <c:pt idx="255">
                  <c:v>40.090000000000003</c:v>
                </c:pt>
                <c:pt idx="256">
                  <c:v>40.590000000000003</c:v>
                </c:pt>
                <c:pt idx="257">
                  <c:v>40.54</c:v>
                </c:pt>
                <c:pt idx="258">
                  <c:v>40.479999999999997</c:v>
                </c:pt>
                <c:pt idx="259">
                  <c:v>40.46</c:v>
                </c:pt>
                <c:pt idx="260">
                  <c:v>40.72</c:v>
                </c:pt>
                <c:pt idx="261">
                  <c:v>40.11</c:v>
                </c:pt>
                <c:pt idx="262">
                  <c:v>40.31</c:v>
                </c:pt>
                <c:pt idx="263">
                  <c:v>40.090000000000003</c:v>
                </c:pt>
                <c:pt idx="264">
                  <c:v>39.799999999999997</c:v>
                </c:pt>
                <c:pt idx="265">
                  <c:v>39.979999999999997</c:v>
                </c:pt>
                <c:pt idx="266">
                  <c:v>39.68</c:v>
                </c:pt>
                <c:pt idx="267">
                  <c:v>39.57</c:v>
                </c:pt>
                <c:pt idx="268">
                  <c:v>39.549999999999997</c:v>
                </c:pt>
                <c:pt idx="269">
                  <c:v>36.9</c:v>
                </c:pt>
                <c:pt idx="270">
                  <c:v>37.700000000000003</c:v>
                </c:pt>
                <c:pt idx="271">
                  <c:v>39.04</c:v>
                </c:pt>
                <c:pt idx="272">
                  <c:v>38.729999999999997</c:v>
                </c:pt>
                <c:pt idx="273">
                  <c:v>37.42</c:v>
                </c:pt>
                <c:pt idx="274">
                  <c:v>39.78</c:v>
                </c:pt>
                <c:pt idx="275">
                  <c:v>40.520000000000003</c:v>
                </c:pt>
                <c:pt idx="276">
                  <c:v>40.58</c:v>
                </c:pt>
                <c:pt idx="277">
                  <c:v>40.380000000000003</c:v>
                </c:pt>
                <c:pt idx="278">
                  <c:v>39.83</c:v>
                </c:pt>
                <c:pt idx="279">
                  <c:v>40.42</c:v>
                </c:pt>
                <c:pt idx="280">
                  <c:v>40.46</c:v>
                </c:pt>
                <c:pt idx="281">
                  <c:v>40.61</c:v>
                </c:pt>
                <c:pt idx="282">
                  <c:v>40.57</c:v>
                </c:pt>
                <c:pt idx="283">
                  <c:v>40.72</c:v>
                </c:pt>
                <c:pt idx="284">
                  <c:v>40.880000000000003</c:v>
                </c:pt>
                <c:pt idx="285">
                  <c:v>41.25</c:v>
                </c:pt>
                <c:pt idx="286">
                  <c:v>41.37</c:v>
                </c:pt>
                <c:pt idx="287">
                  <c:v>41.36</c:v>
                </c:pt>
                <c:pt idx="288">
                  <c:v>41.35</c:v>
                </c:pt>
                <c:pt idx="289">
                  <c:v>44.61</c:v>
                </c:pt>
                <c:pt idx="290">
                  <c:v>45.3</c:v>
                </c:pt>
                <c:pt idx="291">
                  <c:v>45.62</c:v>
                </c:pt>
                <c:pt idx="292">
                  <c:v>46.16</c:v>
                </c:pt>
                <c:pt idx="293">
                  <c:v>45.76</c:v>
                </c:pt>
                <c:pt idx="294">
                  <c:v>45.64</c:v>
                </c:pt>
                <c:pt idx="295">
                  <c:v>45.58</c:v>
                </c:pt>
                <c:pt idx="296">
                  <c:v>46.44</c:v>
                </c:pt>
                <c:pt idx="297">
                  <c:v>46.3</c:v>
                </c:pt>
                <c:pt idx="298">
                  <c:v>46.54</c:v>
                </c:pt>
                <c:pt idx="299">
                  <c:v>46.89</c:v>
                </c:pt>
                <c:pt idx="300">
                  <c:v>46.99</c:v>
                </c:pt>
                <c:pt idx="301">
                  <c:v>47.24</c:v>
                </c:pt>
                <c:pt idx="302">
                  <c:v>47.53</c:v>
                </c:pt>
                <c:pt idx="303">
                  <c:v>47.06</c:v>
                </c:pt>
                <c:pt idx="304">
                  <c:v>46.76</c:v>
                </c:pt>
                <c:pt idx="305">
                  <c:v>47.06</c:v>
                </c:pt>
                <c:pt idx="306">
                  <c:v>47.09</c:v>
                </c:pt>
                <c:pt idx="307">
                  <c:v>46.97</c:v>
                </c:pt>
                <c:pt idx="308">
                  <c:v>47.03</c:v>
                </c:pt>
                <c:pt idx="309">
                  <c:v>47.06</c:v>
                </c:pt>
                <c:pt idx="310">
                  <c:v>47.07</c:v>
                </c:pt>
                <c:pt idx="311">
                  <c:v>47.67</c:v>
                </c:pt>
                <c:pt idx="312">
                  <c:v>49.84</c:v>
                </c:pt>
                <c:pt idx="313">
                  <c:v>50.46</c:v>
                </c:pt>
                <c:pt idx="314">
                  <c:v>50.62</c:v>
                </c:pt>
                <c:pt idx="315">
                  <c:v>51.72</c:v>
                </c:pt>
                <c:pt idx="316">
                  <c:v>51.73</c:v>
                </c:pt>
                <c:pt idx="317">
                  <c:v>52.39</c:v>
                </c:pt>
                <c:pt idx="318">
                  <c:v>52.21</c:v>
                </c:pt>
                <c:pt idx="319">
                  <c:v>52.59</c:v>
                </c:pt>
                <c:pt idx="320">
                  <c:v>51.96</c:v>
                </c:pt>
                <c:pt idx="321">
                  <c:v>52.23</c:v>
                </c:pt>
                <c:pt idx="322">
                  <c:v>52.37</c:v>
                </c:pt>
                <c:pt idx="323">
                  <c:v>52.3</c:v>
                </c:pt>
                <c:pt idx="324">
                  <c:v>52.03</c:v>
                </c:pt>
                <c:pt idx="325">
                  <c:v>52.16</c:v>
                </c:pt>
                <c:pt idx="326">
                  <c:v>52.13</c:v>
                </c:pt>
                <c:pt idx="327">
                  <c:v>52.16</c:v>
                </c:pt>
                <c:pt idx="328">
                  <c:v>52.11</c:v>
                </c:pt>
                <c:pt idx="329">
                  <c:v>52.1</c:v>
                </c:pt>
                <c:pt idx="330">
                  <c:v>53.52</c:v>
                </c:pt>
                <c:pt idx="331">
                  <c:v>54.67</c:v>
                </c:pt>
                <c:pt idx="332">
                  <c:v>55.5</c:v>
                </c:pt>
                <c:pt idx="333">
                  <c:v>55.95</c:v>
                </c:pt>
                <c:pt idx="334">
                  <c:v>56.44</c:v>
                </c:pt>
                <c:pt idx="335">
                  <c:v>57.27</c:v>
                </c:pt>
                <c:pt idx="336">
                  <c:v>57.54</c:v>
                </c:pt>
                <c:pt idx="337">
                  <c:v>57.74</c:v>
                </c:pt>
                <c:pt idx="338">
                  <c:v>57.49</c:v>
                </c:pt>
                <c:pt idx="339">
                  <c:v>58.14</c:v>
                </c:pt>
                <c:pt idx="340">
                  <c:v>58.44</c:v>
                </c:pt>
                <c:pt idx="341">
                  <c:v>58.9</c:v>
                </c:pt>
                <c:pt idx="342">
                  <c:v>58.67</c:v>
                </c:pt>
                <c:pt idx="343">
                  <c:v>58.26</c:v>
                </c:pt>
                <c:pt idx="344">
                  <c:v>58.9</c:v>
                </c:pt>
                <c:pt idx="345">
                  <c:v>58.89</c:v>
                </c:pt>
                <c:pt idx="346">
                  <c:v>59.14</c:v>
                </c:pt>
                <c:pt idx="347">
                  <c:v>59.17</c:v>
                </c:pt>
                <c:pt idx="348">
                  <c:v>59.06</c:v>
                </c:pt>
                <c:pt idx="349">
                  <c:v>60.57</c:v>
                </c:pt>
                <c:pt idx="350">
                  <c:v>59.73</c:v>
                </c:pt>
                <c:pt idx="351">
                  <c:v>61.13</c:v>
                </c:pt>
                <c:pt idx="352">
                  <c:v>63.34</c:v>
                </c:pt>
                <c:pt idx="353">
                  <c:v>65.22</c:v>
                </c:pt>
                <c:pt idx="354">
                  <c:v>64.42</c:v>
                </c:pt>
                <c:pt idx="355">
                  <c:v>63.68</c:v>
                </c:pt>
                <c:pt idx="356">
                  <c:v>63.98</c:v>
                </c:pt>
                <c:pt idx="357">
                  <c:v>65.010000000000005</c:v>
                </c:pt>
                <c:pt idx="358">
                  <c:v>64.78</c:v>
                </c:pt>
                <c:pt idx="359">
                  <c:v>64.66</c:v>
                </c:pt>
                <c:pt idx="360">
                  <c:v>64.349999999999994</c:v>
                </c:pt>
                <c:pt idx="361">
                  <c:v>64.25</c:v>
                </c:pt>
                <c:pt idx="362">
                  <c:v>62.26</c:v>
                </c:pt>
                <c:pt idx="363">
                  <c:v>62.8</c:v>
                </c:pt>
                <c:pt idx="364">
                  <c:v>62.84</c:v>
                </c:pt>
                <c:pt idx="365">
                  <c:v>61.69</c:v>
                </c:pt>
                <c:pt idx="366">
                  <c:v>62.58</c:v>
                </c:pt>
                <c:pt idx="367">
                  <c:v>62.01</c:v>
                </c:pt>
                <c:pt idx="368">
                  <c:v>62.43</c:v>
                </c:pt>
                <c:pt idx="369">
                  <c:v>62.51</c:v>
                </c:pt>
                <c:pt idx="370">
                  <c:v>62.42</c:v>
                </c:pt>
                <c:pt idx="371">
                  <c:v>62.36</c:v>
                </c:pt>
                <c:pt idx="372">
                  <c:v>61.46</c:v>
                </c:pt>
                <c:pt idx="373">
                  <c:v>58.79</c:v>
                </c:pt>
                <c:pt idx="374">
                  <c:v>59.41</c:v>
                </c:pt>
                <c:pt idx="375">
                  <c:v>59.79</c:v>
                </c:pt>
                <c:pt idx="376">
                  <c:v>59.65</c:v>
                </c:pt>
                <c:pt idx="377">
                  <c:v>59.44</c:v>
                </c:pt>
                <c:pt idx="378">
                  <c:v>59.72</c:v>
                </c:pt>
                <c:pt idx="379">
                  <c:v>60.04</c:v>
                </c:pt>
                <c:pt idx="380">
                  <c:v>61.88</c:v>
                </c:pt>
                <c:pt idx="381">
                  <c:v>62.05</c:v>
                </c:pt>
                <c:pt idx="382">
                  <c:v>61.88</c:v>
                </c:pt>
                <c:pt idx="383">
                  <c:v>62</c:v>
                </c:pt>
                <c:pt idx="384">
                  <c:v>61.66</c:v>
                </c:pt>
                <c:pt idx="385">
                  <c:v>61.16</c:v>
                </c:pt>
                <c:pt idx="386">
                  <c:v>61.19</c:v>
                </c:pt>
                <c:pt idx="387">
                  <c:v>61.39</c:v>
                </c:pt>
                <c:pt idx="388">
                  <c:v>61.33</c:v>
                </c:pt>
                <c:pt idx="389">
                  <c:v>61.53</c:v>
                </c:pt>
                <c:pt idx="390">
                  <c:v>61.66</c:v>
                </c:pt>
                <c:pt idx="391">
                  <c:v>61.77</c:v>
                </c:pt>
                <c:pt idx="392">
                  <c:v>61.7</c:v>
                </c:pt>
                <c:pt idx="393">
                  <c:v>64.47</c:v>
                </c:pt>
                <c:pt idx="394">
                  <c:v>65.61</c:v>
                </c:pt>
                <c:pt idx="395">
                  <c:v>65.56</c:v>
                </c:pt>
                <c:pt idx="396">
                  <c:v>64.78</c:v>
                </c:pt>
                <c:pt idx="397">
                  <c:v>64.94</c:v>
                </c:pt>
                <c:pt idx="398">
                  <c:v>64.959999999999994</c:v>
                </c:pt>
                <c:pt idx="399">
                  <c:v>65.22</c:v>
                </c:pt>
                <c:pt idx="400">
                  <c:v>65.739999999999995</c:v>
                </c:pt>
                <c:pt idx="401">
                  <c:v>64.38</c:v>
                </c:pt>
                <c:pt idx="402">
                  <c:v>65.23</c:v>
                </c:pt>
                <c:pt idx="403">
                  <c:v>65.680000000000007</c:v>
                </c:pt>
                <c:pt idx="404">
                  <c:v>65.33</c:v>
                </c:pt>
                <c:pt idx="405">
                  <c:v>64.47</c:v>
                </c:pt>
                <c:pt idx="406">
                  <c:v>63.99</c:v>
                </c:pt>
                <c:pt idx="407">
                  <c:v>64.48</c:v>
                </c:pt>
                <c:pt idx="408">
                  <c:v>65.09</c:v>
                </c:pt>
                <c:pt idx="409">
                  <c:v>65.099999999999994</c:v>
                </c:pt>
                <c:pt idx="410">
                  <c:v>65.12</c:v>
                </c:pt>
                <c:pt idx="411">
                  <c:v>65.180000000000007</c:v>
                </c:pt>
                <c:pt idx="412">
                  <c:v>65.16</c:v>
                </c:pt>
                <c:pt idx="413">
                  <c:v>67.67</c:v>
                </c:pt>
                <c:pt idx="414">
                  <c:v>68.73</c:v>
                </c:pt>
                <c:pt idx="415">
                  <c:v>68.7</c:v>
                </c:pt>
                <c:pt idx="416">
                  <c:v>69.400000000000006</c:v>
                </c:pt>
                <c:pt idx="417">
                  <c:v>69.09</c:v>
                </c:pt>
                <c:pt idx="418">
                  <c:v>69.73</c:v>
                </c:pt>
                <c:pt idx="419">
                  <c:v>69.66</c:v>
                </c:pt>
                <c:pt idx="420">
                  <c:v>69.88</c:v>
                </c:pt>
                <c:pt idx="421">
                  <c:v>70.25</c:v>
                </c:pt>
                <c:pt idx="422">
                  <c:v>70.239999999999995</c:v>
                </c:pt>
                <c:pt idx="423">
                  <c:v>70.92</c:v>
                </c:pt>
                <c:pt idx="424">
                  <c:v>70.95</c:v>
                </c:pt>
                <c:pt idx="425">
                  <c:v>70.430000000000007</c:v>
                </c:pt>
                <c:pt idx="426">
                  <c:v>70.650000000000006</c:v>
                </c:pt>
                <c:pt idx="427">
                  <c:v>71.33</c:v>
                </c:pt>
                <c:pt idx="428">
                  <c:v>71.23</c:v>
                </c:pt>
                <c:pt idx="429">
                  <c:v>71.290000000000006</c:v>
                </c:pt>
                <c:pt idx="430">
                  <c:v>71.34</c:v>
                </c:pt>
                <c:pt idx="431">
                  <c:v>71.48</c:v>
                </c:pt>
                <c:pt idx="432">
                  <c:v>71.319999999999993</c:v>
                </c:pt>
                <c:pt idx="433">
                  <c:v>71.33</c:v>
                </c:pt>
                <c:pt idx="434">
                  <c:v>71.349999999999994</c:v>
                </c:pt>
                <c:pt idx="435">
                  <c:v>74.89</c:v>
                </c:pt>
                <c:pt idx="436">
                  <c:v>74.86</c:v>
                </c:pt>
                <c:pt idx="437">
                  <c:v>73.239999999999995</c:v>
                </c:pt>
                <c:pt idx="438">
                  <c:v>72.27</c:v>
                </c:pt>
                <c:pt idx="439">
                  <c:v>72.87</c:v>
                </c:pt>
                <c:pt idx="440">
                  <c:v>74.09</c:v>
                </c:pt>
                <c:pt idx="441">
                  <c:v>73.790000000000006</c:v>
                </c:pt>
                <c:pt idx="442">
                  <c:v>74.599999999999994</c:v>
                </c:pt>
                <c:pt idx="443">
                  <c:v>73.31</c:v>
                </c:pt>
                <c:pt idx="444">
                  <c:v>72.55</c:v>
                </c:pt>
                <c:pt idx="445">
                  <c:v>72.64</c:v>
                </c:pt>
                <c:pt idx="446">
                  <c:v>70.14</c:v>
                </c:pt>
                <c:pt idx="447">
                  <c:v>70.52</c:v>
                </c:pt>
                <c:pt idx="448">
                  <c:v>71.7</c:v>
                </c:pt>
                <c:pt idx="449">
                  <c:v>72.23</c:v>
                </c:pt>
                <c:pt idx="450">
                  <c:v>72.28</c:v>
                </c:pt>
                <c:pt idx="451">
                  <c:v>72.239999999999995</c:v>
                </c:pt>
                <c:pt idx="452">
                  <c:v>72.19</c:v>
                </c:pt>
                <c:pt idx="453">
                  <c:v>72.3</c:v>
                </c:pt>
                <c:pt idx="454">
                  <c:v>72.41</c:v>
                </c:pt>
                <c:pt idx="455">
                  <c:v>72.430000000000007</c:v>
                </c:pt>
                <c:pt idx="456">
                  <c:v>71.05</c:v>
                </c:pt>
                <c:pt idx="457">
                  <c:v>70.42</c:v>
                </c:pt>
                <c:pt idx="458">
                  <c:v>68.290000000000006</c:v>
                </c:pt>
                <c:pt idx="459">
                  <c:v>69.099999999999994</c:v>
                </c:pt>
                <c:pt idx="460">
                  <c:v>68.489999999999995</c:v>
                </c:pt>
                <c:pt idx="461">
                  <c:v>67.099999999999994</c:v>
                </c:pt>
                <c:pt idx="462">
                  <c:v>68.400000000000006</c:v>
                </c:pt>
                <c:pt idx="463">
                  <c:v>69.06</c:v>
                </c:pt>
                <c:pt idx="464">
                  <c:v>68.97</c:v>
                </c:pt>
                <c:pt idx="465">
                  <c:v>68.569999999999993</c:v>
                </c:pt>
                <c:pt idx="466">
                  <c:v>67.94</c:v>
                </c:pt>
                <c:pt idx="467">
                  <c:v>67.59</c:v>
                </c:pt>
                <c:pt idx="468">
                  <c:v>67.069999999999993</c:v>
                </c:pt>
                <c:pt idx="469">
                  <c:v>66.37</c:v>
                </c:pt>
                <c:pt idx="470">
                  <c:v>65.87</c:v>
                </c:pt>
                <c:pt idx="471">
                  <c:v>66.989999999999995</c:v>
                </c:pt>
                <c:pt idx="472">
                  <c:v>67.510000000000005</c:v>
                </c:pt>
                <c:pt idx="473">
                  <c:v>67.69</c:v>
                </c:pt>
                <c:pt idx="474">
                  <c:v>67.52</c:v>
                </c:pt>
                <c:pt idx="475">
                  <c:v>67.7</c:v>
                </c:pt>
                <c:pt idx="476">
                  <c:v>67.739999999999995</c:v>
                </c:pt>
                <c:pt idx="477">
                  <c:v>67.709999999999994</c:v>
                </c:pt>
                <c:pt idx="478">
                  <c:v>68.5</c:v>
                </c:pt>
                <c:pt idx="479">
                  <c:v>69.84</c:v>
                </c:pt>
                <c:pt idx="480">
                  <c:v>69.22</c:v>
                </c:pt>
                <c:pt idx="481">
                  <c:v>68.41</c:v>
                </c:pt>
                <c:pt idx="482">
                  <c:v>69.17</c:v>
                </c:pt>
                <c:pt idx="483">
                  <c:v>68.3</c:v>
                </c:pt>
                <c:pt idx="484">
                  <c:v>69.41</c:v>
                </c:pt>
                <c:pt idx="485">
                  <c:v>69.900000000000006</c:v>
                </c:pt>
                <c:pt idx="486">
                  <c:v>69.91</c:v>
                </c:pt>
                <c:pt idx="487">
                  <c:v>71.13</c:v>
                </c:pt>
                <c:pt idx="488">
                  <c:v>71.14</c:v>
                </c:pt>
                <c:pt idx="489">
                  <c:v>70.86</c:v>
                </c:pt>
                <c:pt idx="490">
                  <c:v>70.14</c:v>
                </c:pt>
                <c:pt idx="491">
                  <c:v>70.27</c:v>
                </c:pt>
                <c:pt idx="492">
                  <c:v>70.849999999999994</c:v>
                </c:pt>
                <c:pt idx="493">
                  <c:v>71.16</c:v>
                </c:pt>
                <c:pt idx="494">
                  <c:v>71.319999999999993</c:v>
                </c:pt>
                <c:pt idx="495">
                  <c:v>71.599999999999994</c:v>
                </c:pt>
                <c:pt idx="496">
                  <c:v>71.58</c:v>
                </c:pt>
                <c:pt idx="497">
                  <c:v>71.540000000000006</c:v>
                </c:pt>
                <c:pt idx="498">
                  <c:v>71.13</c:v>
                </c:pt>
                <c:pt idx="499">
                  <c:v>75.78</c:v>
                </c:pt>
                <c:pt idx="500">
                  <c:v>77.44</c:v>
                </c:pt>
                <c:pt idx="501">
                  <c:v>78.599999999999994</c:v>
                </c:pt>
                <c:pt idx="502">
                  <c:v>77.31</c:v>
                </c:pt>
                <c:pt idx="503">
                  <c:v>78.03</c:v>
                </c:pt>
                <c:pt idx="504">
                  <c:v>78.739999999999995</c:v>
                </c:pt>
                <c:pt idx="505">
                  <c:v>79.58</c:v>
                </c:pt>
                <c:pt idx="506">
                  <c:v>79.62</c:v>
                </c:pt>
                <c:pt idx="507">
                  <c:v>79.53</c:v>
                </c:pt>
                <c:pt idx="508">
                  <c:v>80.05</c:v>
                </c:pt>
                <c:pt idx="509">
                  <c:v>80.55</c:v>
                </c:pt>
                <c:pt idx="510">
                  <c:v>80.56</c:v>
                </c:pt>
                <c:pt idx="511">
                  <c:v>80.86</c:v>
                </c:pt>
                <c:pt idx="512">
                  <c:v>81.23</c:v>
                </c:pt>
                <c:pt idx="513">
                  <c:v>80.930000000000007</c:v>
                </c:pt>
                <c:pt idx="514">
                  <c:v>81.290000000000006</c:v>
                </c:pt>
                <c:pt idx="515">
                  <c:v>72.17</c:v>
                </c:pt>
                <c:pt idx="516">
                  <c:v>81.459999999999994</c:v>
                </c:pt>
                <c:pt idx="517">
                  <c:v>81.17</c:v>
                </c:pt>
                <c:pt idx="518">
                  <c:v>81.19</c:v>
                </c:pt>
                <c:pt idx="519">
                  <c:v>81.22</c:v>
                </c:pt>
                <c:pt idx="520">
                  <c:v>83.59</c:v>
                </c:pt>
                <c:pt idx="521">
                  <c:v>83.5</c:v>
                </c:pt>
                <c:pt idx="522">
                  <c:v>80.790000000000006</c:v>
                </c:pt>
                <c:pt idx="523">
                  <c:v>79.08</c:v>
                </c:pt>
                <c:pt idx="524">
                  <c:v>81.069999999999993</c:v>
                </c:pt>
                <c:pt idx="525">
                  <c:v>81.55</c:v>
                </c:pt>
                <c:pt idx="526">
                  <c:v>83.03</c:v>
                </c:pt>
                <c:pt idx="527">
                  <c:v>81.239999999999995</c:v>
                </c:pt>
                <c:pt idx="528">
                  <c:v>81.430000000000007</c:v>
                </c:pt>
                <c:pt idx="529">
                  <c:v>80.989999999999995</c:v>
                </c:pt>
                <c:pt idx="530">
                  <c:v>81.03</c:v>
                </c:pt>
                <c:pt idx="531">
                  <c:v>81</c:v>
                </c:pt>
                <c:pt idx="532">
                  <c:v>80.03</c:v>
                </c:pt>
                <c:pt idx="533">
                  <c:v>80.34</c:v>
                </c:pt>
                <c:pt idx="534">
                  <c:v>79.5</c:v>
                </c:pt>
                <c:pt idx="535">
                  <c:v>79.73</c:v>
                </c:pt>
                <c:pt idx="536">
                  <c:v>80.150000000000006</c:v>
                </c:pt>
                <c:pt idx="537">
                  <c:v>80.12</c:v>
                </c:pt>
                <c:pt idx="538">
                  <c:v>78.66</c:v>
                </c:pt>
                <c:pt idx="539">
                  <c:v>78.83</c:v>
                </c:pt>
                <c:pt idx="540">
                  <c:v>78.650000000000006</c:v>
                </c:pt>
                <c:pt idx="541">
                  <c:v>65.5</c:v>
                </c:pt>
                <c:pt idx="542">
                  <c:v>66.37</c:v>
                </c:pt>
                <c:pt idx="543">
                  <c:v>66.180000000000007</c:v>
                </c:pt>
                <c:pt idx="544">
                  <c:v>68.959999999999994</c:v>
                </c:pt>
                <c:pt idx="545">
                  <c:v>71.05</c:v>
                </c:pt>
                <c:pt idx="546">
                  <c:v>71.3</c:v>
                </c:pt>
                <c:pt idx="547">
                  <c:v>70.28</c:v>
                </c:pt>
                <c:pt idx="548">
                  <c:v>70.760000000000005</c:v>
                </c:pt>
                <c:pt idx="549">
                  <c:v>70.5</c:v>
                </c:pt>
                <c:pt idx="550">
                  <c:v>70.180000000000007</c:v>
                </c:pt>
                <c:pt idx="551">
                  <c:v>70.260000000000005</c:v>
                </c:pt>
                <c:pt idx="552">
                  <c:v>71</c:v>
                </c:pt>
                <c:pt idx="553">
                  <c:v>70.349999999999994</c:v>
                </c:pt>
                <c:pt idx="554">
                  <c:v>69.459999999999994</c:v>
                </c:pt>
                <c:pt idx="555">
                  <c:v>70.37</c:v>
                </c:pt>
                <c:pt idx="556">
                  <c:v>70.89</c:v>
                </c:pt>
                <c:pt idx="557">
                  <c:v>71.17</c:v>
                </c:pt>
                <c:pt idx="558">
                  <c:v>71.58</c:v>
                </c:pt>
                <c:pt idx="559">
                  <c:v>71.650000000000006</c:v>
                </c:pt>
                <c:pt idx="560">
                  <c:v>71.73</c:v>
                </c:pt>
                <c:pt idx="561">
                  <c:v>71.77</c:v>
                </c:pt>
                <c:pt idx="562">
                  <c:v>71.69</c:v>
                </c:pt>
                <c:pt idx="563">
                  <c:v>76</c:v>
                </c:pt>
                <c:pt idx="564">
                  <c:v>76.86</c:v>
                </c:pt>
                <c:pt idx="565">
                  <c:v>77.59</c:v>
                </c:pt>
                <c:pt idx="566">
                  <c:v>78.88</c:v>
                </c:pt>
                <c:pt idx="567">
                  <c:v>78.48</c:v>
                </c:pt>
                <c:pt idx="568">
                  <c:v>77.95</c:v>
                </c:pt>
                <c:pt idx="569">
                  <c:v>80.040000000000006</c:v>
                </c:pt>
                <c:pt idx="570">
                  <c:v>80.94</c:v>
                </c:pt>
                <c:pt idx="571">
                  <c:v>80.67</c:v>
                </c:pt>
                <c:pt idx="572">
                  <c:v>81.59</c:v>
                </c:pt>
                <c:pt idx="573">
                  <c:v>82.37</c:v>
                </c:pt>
                <c:pt idx="574">
                  <c:v>82.86</c:v>
                </c:pt>
                <c:pt idx="575">
                  <c:v>82.77</c:v>
                </c:pt>
                <c:pt idx="576">
                  <c:v>82.63</c:v>
                </c:pt>
                <c:pt idx="577">
                  <c:v>82.08</c:v>
                </c:pt>
                <c:pt idx="578">
                  <c:v>82.65</c:v>
                </c:pt>
                <c:pt idx="579">
                  <c:v>83</c:v>
                </c:pt>
                <c:pt idx="580">
                  <c:v>82.89</c:v>
                </c:pt>
                <c:pt idx="581">
                  <c:v>82.91</c:v>
                </c:pt>
                <c:pt idx="582">
                  <c:v>82.98</c:v>
                </c:pt>
                <c:pt idx="583">
                  <c:v>87.83</c:v>
                </c:pt>
                <c:pt idx="584">
                  <c:v>87.93</c:v>
                </c:pt>
                <c:pt idx="585">
                  <c:v>89.67</c:v>
                </c:pt>
                <c:pt idx="586">
                  <c:v>91.36</c:v>
                </c:pt>
                <c:pt idx="587">
                  <c:v>90.67</c:v>
                </c:pt>
                <c:pt idx="588">
                  <c:v>89.24</c:v>
                </c:pt>
                <c:pt idx="589">
                  <c:v>89.51</c:v>
                </c:pt>
                <c:pt idx="590">
                  <c:v>89.61</c:v>
                </c:pt>
                <c:pt idx="591">
                  <c:v>91.4</c:v>
                </c:pt>
                <c:pt idx="592">
                  <c:v>92.59</c:v>
                </c:pt>
                <c:pt idx="593">
                  <c:v>91</c:v>
                </c:pt>
                <c:pt idx="594">
                  <c:v>91.68</c:v>
                </c:pt>
                <c:pt idx="595">
                  <c:v>91</c:v>
                </c:pt>
                <c:pt idx="596">
                  <c:v>90.96</c:v>
                </c:pt>
                <c:pt idx="597">
                  <c:v>91.39</c:v>
                </c:pt>
                <c:pt idx="598">
                  <c:v>91.43</c:v>
                </c:pt>
                <c:pt idx="599">
                  <c:v>91.54</c:v>
                </c:pt>
                <c:pt idx="600">
                  <c:v>91.41</c:v>
                </c:pt>
                <c:pt idx="601">
                  <c:v>91.63</c:v>
                </c:pt>
                <c:pt idx="602">
                  <c:v>102.44</c:v>
                </c:pt>
                <c:pt idx="603">
                  <c:v>109.21</c:v>
                </c:pt>
                <c:pt idx="604">
                  <c:v>106.68</c:v>
                </c:pt>
                <c:pt idx="605">
                  <c:v>113.49</c:v>
                </c:pt>
                <c:pt idx="606">
                  <c:v>116.55</c:v>
                </c:pt>
                <c:pt idx="607">
                  <c:v>119.78</c:v>
                </c:pt>
                <c:pt idx="608">
                  <c:v>108.82</c:v>
                </c:pt>
                <c:pt idx="609">
                  <c:v>107.14</c:v>
                </c:pt>
                <c:pt idx="610">
                  <c:v>109.3</c:v>
                </c:pt>
                <c:pt idx="611">
                  <c:v>105.82</c:v>
                </c:pt>
                <c:pt idx="612">
                  <c:v>102.16</c:v>
                </c:pt>
                <c:pt idx="613">
                  <c:v>101.49</c:v>
                </c:pt>
                <c:pt idx="614">
                  <c:v>105.32</c:v>
                </c:pt>
                <c:pt idx="615">
                  <c:v>105.99</c:v>
                </c:pt>
                <c:pt idx="616">
                  <c:v>108.73</c:v>
                </c:pt>
                <c:pt idx="617">
                  <c:v>108.5</c:v>
                </c:pt>
                <c:pt idx="618">
                  <c:v>110.22</c:v>
                </c:pt>
                <c:pt idx="619">
                  <c:v>109.54</c:v>
                </c:pt>
                <c:pt idx="620">
                  <c:v>109.88</c:v>
                </c:pt>
                <c:pt idx="621">
                  <c:v>108.5</c:v>
                </c:pt>
                <c:pt idx="622">
                  <c:v>108.28</c:v>
                </c:pt>
                <c:pt idx="623">
                  <c:v>108.59</c:v>
                </c:pt>
                <c:pt idx="624">
                  <c:v>108.26</c:v>
                </c:pt>
                <c:pt idx="625">
                  <c:v>98.79</c:v>
                </c:pt>
                <c:pt idx="626">
                  <c:v>102.58</c:v>
                </c:pt>
                <c:pt idx="627">
                  <c:v>101.44</c:v>
                </c:pt>
                <c:pt idx="628">
                  <c:v>96.73</c:v>
                </c:pt>
                <c:pt idx="629">
                  <c:v>96.68</c:v>
                </c:pt>
                <c:pt idx="630">
                  <c:v>98.35</c:v>
                </c:pt>
                <c:pt idx="631">
                  <c:v>95.63</c:v>
                </c:pt>
                <c:pt idx="632">
                  <c:v>99.7</c:v>
                </c:pt>
                <c:pt idx="633">
                  <c:v>101.89</c:v>
                </c:pt>
                <c:pt idx="634">
                  <c:v>103.33</c:v>
                </c:pt>
                <c:pt idx="635">
                  <c:v>103.95</c:v>
                </c:pt>
                <c:pt idx="636">
                  <c:v>101.44</c:v>
                </c:pt>
                <c:pt idx="637">
                  <c:v>101.5</c:v>
                </c:pt>
                <c:pt idx="638">
                  <c:v>102.06</c:v>
                </c:pt>
                <c:pt idx="639">
                  <c:v>101.54</c:v>
                </c:pt>
                <c:pt idx="640">
                  <c:v>100.66</c:v>
                </c:pt>
                <c:pt idx="641">
                  <c:v>101.29</c:v>
                </c:pt>
                <c:pt idx="642">
                  <c:v>101.34</c:v>
                </c:pt>
                <c:pt idx="643">
                  <c:v>101.67</c:v>
                </c:pt>
                <c:pt idx="644">
                  <c:v>101.64</c:v>
                </c:pt>
                <c:pt idx="645">
                  <c:v>104.67</c:v>
                </c:pt>
                <c:pt idx="646">
                  <c:v>102.11</c:v>
                </c:pt>
                <c:pt idx="647">
                  <c:v>106.97</c:v>
                </c:pt>
                <c:pt idx="648">
                  <c:v>107.38</c:v>
                </c:pt>
                <c:pt idx="649">
                  <c:v>108.62</c:v>
                </c:pt>
                <c:pt idx="650">
                  <c:v>103.57</c:v>
                </c:pt>
                <c:pt idx="651">
                  <c:v>101.19</c:v>
                </c:pt>
                <c:pt idx="652">
                  <c:v>105.05</c:v>
                </c:pt>
                <c:pt idx="653">
                  <c:v>105.3</c:v>
                </c:pt>
                <c:pt idx="654">
                  <c:v>107.75</c:v>
                </c:pt>
                <c:pt idx="655">
                  <c:v>109.55</c:v>
                </c:pt>
                <c:pt idx="656">
                  <c:v>108.58</c:v>
                </c:pt>
                <c:pt idx="657">
                  <c:v>107.44</c:v>
                </c:pt>
                <c:pt idx="658">
                  <c:v>108.5</c:v>
                </c:pt>
                <c:pt idx="659">
                  <c:v>108.66</c:v>
                </c:pt>
                <c:pt idx="660">
                  <c:v>108.67</c:v>
                </c:pt>
                <c:pt idx="661">
                  <c:v>108.54</c:v>
                </c:pt>
                <c:pt idx="662">
                  <c:v>108.65</c:v>
                </c:pt>
                <c:pt idx="663">
                  <c:v>109.19</c:v>
                </c:pt>
                <c:pt idx="664">
                  <c:v>109.28</c:v>
                </c:pt>
                <c:pt idx="665">
                  <c:v>109.26</c:v>
                </c:pt>
                <c:pt idx="666">
                  <c:v>114.41</c:v>
                </c:pt>
                <c:pt idx="667">
                  <c:v>115.94</c:v>
                </c:pt>
                <c:pt idx="668">
                  <c:v>117.72</c:v>
                </c:pt>
                <c:pt idx="669">
                  <c:v>117.47</c:v>
                </c:pt>
                <c:pt idx="670">
                  <c:v>118.25</c:v>
                </c:pt>
                <c:pt idx="671">
                  <c:v>120.3</c:v>
                </c:pt>
                <c:pt idx="672">
                  <c:v>119.84</c:v>
                </c:pt>
                <c:pt idx="673">
                  <c:v>119.24</c:v>
                </c:pt>
                <c:pt idx="674">
                  <c:v>119.36</c:v>
                </c:pt>
                <c:pt idx="675">
                  <c:v>118.22</c:v>
                </c:pt>
                <c:pt idx="676">
                  <c:v>116.47</c:v>
                </c:pt>
                <c:pt idx="677">
                  <c:v>117.52</c:v>
                </c:pt>
                <c:pt idx="678">
                  <c:v>114.33</c:v>
                </c:pt>
                <c:pt idx="679">
                  <c:v>114.9</c:v>
                </c:pt>
                <c:pt idx="680">
                  <c:v>113.79</c:v>
                </c:pt>
                <c:pt idx="681">
                  <c:v>113.24</c:v>
                </c:pt>
                <c:pt idx="682">
                  <c:v>114.03</c:v>
                </c:pt>
                <c:pt idx="683">
                  <c:v>114.41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957-4899-982E-72B148ECB1BA}"/>
            </c:ext>
          </c:extLst>
        </c:ser>
        <c:ser>
          <c:idx val="1"/>
          <c:order val="1"/>
          <c:tx>
            <c:strRef>
              <c:f>CrudeOilNput!$C$1</c:f>
              <c:strCache>
                <c:ptCount val="1"/>
                <c:pt idx="0">
                  <c:v>Opec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CrudeOilNput!$A$2:$A$685</c:f>
              <c:strCache>
                <c:ptCount val="684"/>
                <c:pt idx="0">
                  <c:v>10/31/2019</c:v>
                </c:pt>
                <c:pt idx="1">
                  <c:v>11/1/2019</c:v>
                </c:pt>
                <c:pt idx="2">
                  <c:v>11/4/2019</c:v>
                </c:pt>
                <c:pt idx="3">
                  <c:v>11/5/2019</c:v>
                </c:pt>
                <c:pt idx="4">
                  <c:v>11/6/2019</c:v>
                </c:pt>
                <c:pt idx="5">
                  <c:v>11/7/2019</c:v>
                </c:pt>
                <c:pt idx="6">
                  <c:v>11/8/2019</c:v>
                </c:pt>
                <c:pt idx="7">
                  <c:v>11/11/2019</c:v>
                </c:pt>
                <c:pt idx="8">
                  <c:v>11/12/2019</c:v>
                </c:pt>
                <c:pt idx="9">
                  <c:v>11/13/2019</c:v>
                </c:pt>
                <c:pt idx="10">
                  <c:v>11/14/2019</c:v>
                </c:pt>
                <c:pt idx="11">
                  <c:v>11/15/2019</c:v>
                </c:pt>
                <c:pt idx="12">
                  <c:v>11/18/2019</c:v>
                </c:pt>
                <c:pt idx="13">
                  <c:v>11/19/2019</c:v>
                </c:pt>
                <c:pt idx="14">
                  <c:v>11/20/2019</c:v>
                </c:pt>
                <c:pt idx="15">
                  <c:v>11/21/2019</c:v>
                </c:pt>
                <c:pt idx="16">
                  <c:v>11/22/2019</c:v>
                </c:pt>
                <c:pt idx="17">
                  <c:v>11/25/2019</c:v>
                </c:pt>
                <c:pt idx="18">
                  <c:v>11/26/2019</c:v>
                </c:pt>
                <c:pt idx="19">
                  <c:v>11/27/2019</c:v>
                </c:pt>
                <c:pt idx="20">
                  <c:v>11/28/2019</c:v>
                </c:pt>
                <c:pt idx="21">
                  <c:v>11/29/2019</c:v>
                </c:pt>
                <c:pt idx="22">
                  <c:v>12/2/2019</c:v>
                </c:pt>
                <c:pt idx="23">
                  <c:v>12/3/2019</c:v>
                </c:pt>
                <c:pt idx="24">
                  <c:v>12/4/2019</c:v>
                </c:pt>
                <c:pt idx="25">
                  <c:v>12/5/2019</c:v>
                </c:pt>
                <c:pt idx="26">
                  <c:v>12/6/2019</c:v>
                </c:pt>
                <c:pt idx="27">
                  <c:v>12/9/2019</c:v>
                </c:pt>
                <c:pt idx="28">
                  <c:v>12/10/2019</c:v>
                </c:pt>
                <c:pt idx="29">
                  <c:v>12/11/2019</c:v>
                </c:pt>
                <c:pt idx="30">
                  <c:v>12/12/2019</c:v>
                </c:pt>
                <c:pt idx="31">
                  <c:v>12/13/2019</c:v>
                </c:pt>
                <c:pt idx="32">
                  <c:v>12/16/2019</c:v>
                </c:pt>
                <c:pt idx="33">
                  <c:v>12/17/2019</c:v>
                </c:pt>
                <c:pt idx="34">
                  <c:v>12/18/2019</c:v>
                </c:pt>
                <c:pt idx="35">
                  <c:v>12/19/2019</c:v>
                </c:pt>
                <c:pt idx="36">
                  <c:v>12/20/2019</c:v>
                </c:pt>
                <c:pt idx="37">
                  <c:v>12/23/2019</c:v>
                </c:pt>
                <c:pt idx="38">
                  <c:v>12/24/2019</c:v>
                </c:pt>
                <c:pt idx="39">
                  <c:v>12/26/2019</c:v>
                </c:pt>
                <c:pt idx="40">
                  <c:v>12/27/2019</c:v>
                </c:pt>
                <c:pt idx="41">
                  <c:v>12/30/2019</c:v>
                </c:pt>
                <c:pt idx="42">
                  <c:v>12/31/2019</c:v>
                </c:pt>
                <c:pt idx="43">
                  <c:v>1/2/2020</c:v>
                </c:pt>
                <c:pt idx="44">
                  <c:v>1/3/2020</c:v>
                </c:pt>
                <c:pt idx="45">
                  <c:v>1/6/2020</c:v>
                </c:pt>
                <c:pt idx="46">
                  <c:v>1/7/2020</c:v>
                </c:pt>
                <c:pt idx="47">
                  <c:v>1/8/2020</c:v>
                </c:pt>
                <c:pt idx="48">
                  <c:v>1/9/2020</c:v>
                </c:pt>
                <c:pt idx="49">
                  <c:v>1/10/2020</c:v>
                </c:pt>
                <c:pt idx="50">
                  <c:v>1/13/2020</c:v>
                </c:pt>
                <c:pt idx="51">
                  <c:v>1/14/2020</c:v>
                </c:pt>
                <c:pt idx="52">
                  <c:v>1/15/2020</c:v>
                </c:pt>
                <c:pt idx="53">
                  <c:v>1/16/2020</c:v>
                </c:pt>
                <c:pt idx="54">
                  <c:v>1/17/2020</c:v>
                </c:pt>
                <c:pt idx="55">
                  <c:v>1/20/2020</c:v>
                </c:pt>
                <c:pt idx="56">
                  <c:v>1/21/2020</c:v>
                </c:pt>
                <c:pt idx="57">
                  <c:v>1/22/2020</c:v>
                </c:pt>
                <c:pt idx="58">
                  <c:v>1/23/2020</c:v>
                </c:pt>
                <c:pt idx="59">
                  <c:v>1/24/2020</c:v>
                </c:pt>
                <c:pt idx="60">
                  <c:v>1/27/2020</c:v>
                </c:pt>
                <c:pt idx="61">
                  <c:v>1/28/2020</c:v>
                </c:pt>
                <c:pt idx="62">
                  <c:v>1/29/2020</c:v>
                </c:pt>
                <c:pt idx="63">
                  <c:v>1/30/2020</c:v>
                </c:pt>
                <c:pt idx="64">
                  <c:v>1/31/2020</c:v>
                </c:pt>
                <c:pt idx="65">
                  <c:v>2/3/2020</c:v>
                </c:pt>
                <c:pt idx="66">
                  <c:v>2/4/2020</c:v>
                </c:pt>
                <c:pt idx="67">
                  <c:v>2/5/2020</c:v>
                </c:pt>
                <c:pt idx="68">
                  <c:v>2/6/2020</c:v>
                </c:pt>
                <c:pt idx="69">
                  <c:v>2/7/2020</c:v>
                </c:pt>
                <c:pt idx="70">
                  <c:v>2/10/2020</c:v>
                </c:pt>
                <c:pt idx="71">
                  <c:v>2/11/2020</c:v>
                </c:pt>
                <c:pt idx="72">
                  <c:v>2/12/2020</c:v>
                </c:pt>
                <c:pt idx="73">
                  <c:v>2/13/2020</c:v>
                </c:pt>
                <c:pt idx="74">
                  <c:v>2/14/2020</c:v>
                </c:pt>
                <c:pt idx="75">
                  <c:v>2/17/2020</c:v>
                </c:pt>
                <c:pt idx="76">
                  <c:v>2/18/2020</c:v>
                </c:pt>
                <c:pt idx="77">
                  <c:v>2/19/2020</c:v>
                </c:pt>
                <c:pt idx="78">
                  <c:v>2/20/2020</c:v>
                </c:pt>
                <c:pt idx="79">
                  <c:v>2/21/2020</c:v>
                </c:pt>
                <c:pt idx="80">
                  <c:v>2/24/2020</c:v>
                </c:pt>
                <c:pt idx="81">
                  <c:v>2/25/2020</c:v>
                </c:pt>
                <c:pt idx="82">
                  <c:v>2/26/2020</c:v>
                </c:pt>
                <c:pt idx="83">
                  <c:v>2/27/2020</c:v>
                </c:pt>
                <c:pt idx="84">
                  <c:v>2/28/2020</c:v>
                </c:pt>
                <c:pt idx="85">
                  <c:v>3/2/2020</c:v>
                </c:pt>
                <c:pt idx="86">
                  <c:v>3/3/2020</c:v>
                </c:pt>
                <c:pt idx="87">
                  <c:v>3/4/2020</c:v>
                </c:pt>
                <c:pt idx="88">
                  <c:v>3/5/2020</c:v>
                </c:pt>
                <c:pt idx="89">
                  <c:v>3/6/2020</c:v>
                </c:pt>
                <c:pt idx="90">
                  <c:v>3/9/2020</c:v>
                </c:pt>
                <c:pt idx="91">
                  <c:v>3/10/2020</c:v>
                </c:pt>
                <c:pt idx="92">
                  <c:v>3/11/2020</c:v>
                </c:pt>
                <c:pt idx="93">
                  <c:v>3/12/2020</c:v>
                </c:pt>
                <c:pt idx="94">
                  <c:v>3/13/2020</c:v>
                </c:pt>
                <c:pt idx="95">
                  <c:v>3/16/2020</c:v>
                </c:pt>
                <c:pt idx="96">
                  <c:v>3/17/2020</c:v>
                </c:pt>
                <c:pt idx="97">
                  <c:v>3/18/2020</c:v>
                </c:pt>
                <c:pt idx="98">
                  <c:v>3/19/2020</c:v>
                </c:pt>
                <c:pt idx="99">
                  <c:v>3/20/2020</c:v>
                </c:pt>
                <c:pt idx="100">
                  <c:v>3/23/2020</c:v>
                </c:pt>
                <c:pt idx="101">
                  <c:v>3/24/2020</c:v>
                </c:pt>
                <c:pt idx="102">
                  <c:v>3/25/2020</c:v>
                </c:pt>
                <c:pt idx="103">
                  <c:v>3/26/2020</c:v>
                </c:pt>
                <c:pt idx="104">
                  <c:v>3/27/2020</c:v>
                </c:pt>
                <c:pt idx="105">
                  <c:v>3/30/2020</c:v>
                </c:pt>
                <c:pt idx="106">
                  <c:v>3/31/2020</c:v>
                </c:pt>
                <c:pt idx="107">
                  <c:v>4/1/2020</c:v>
                </c:pt>
                <c:pt idx="108">
                  <c:v>4/2/2020</c:v>
                </c:pt>
                <c:pt idx="109">
                  <c:v>4/3/2020</c:v>
                </c:pt>
                <c:pt idx="110">
                  <c:v>4/6/2020</c:v>
                </c:pt>
                <c:pt idx="111">
                  <c:v>4/7/2020</c:v>
                </c:pt>
                <c:pt idx="112">
                  <c:v>4/8/2020</c:v>
                </c:pt>
                <c:pt idx="113">
                  <c:v>4/9/2020</c:v>
                </c:pt>
                <c:pt idx="114">
                  <c:v>4/13/2020</c:v>
                </c:pt>
                <c:pt idx="115">
                  <c:v>4/14/2020</c:v>
                </c:pt>
                <c:pt idx="116">
                  <c:v>4/15/2020</c:v>
                </c:pt>
                <c:pt idx="117">
                  <c:v>4/16/2020</c:v>
                </c:pt>
                <c:pt idx="118">
                  <c:v>4/17/2020</c:v>
                </c:pt>
                <c:pt idx="119">
                  <c:v>4/20/2020</c:v>
                </c:pt>
                <c:pt idx="120">
                  <c:v>4/21/2020</c:v>
                </c:pt>
                <c:pt idx="121">
                  <c:v>4/22/2020</c:v>
                </c:pt>
                <c:pt idx="122">
                  <c:v>4/23/2020</c:v>
                </c:pt>
                <c:pt idx="123">
                  <c:v>4/24/2020</c:v>
                </c:pt>
                <c:pt idx="124">
                  <c:v>4/27/2020</c:v>
                </c:pt>
                <c:pt idx="125">
                  <c:v>4/28/2020</c:v>
                </c:pt>
                <c:pt idx="126">
                  <c:v>4/29/2020</c:v>
                </c:pt>
                <c:pt idx="127">
                  <c:v>4/30/2020</c:v>
                </c:pt>
                <c:pt idx="128">
                  <c:v>5/1/2020</c:v>
                </c:pt>
                <c:pt idx="129">
                  <c:v>5/4/2020</c:v>
                </c:pt>
                <c:pt idx="130">
                  <c:v>5/5/2020</c:v>
                </c:pt>
                <c:pt idx="131">
                  <c:v>5/6/2020</c:v>
                </c:pt>
                <c:pt idx="132">
                  <c:v>5/7/2020</c:v>
                </c:pt>
                <c:pt idx="133">
                  <c:v>5/8/2020</c:v>
                </c:pt>
                <c:pt idx="134">
                  <c:v>5/11/2020</c:v>
                </c:pt>
                <c:pt idx="135">
                  <c:v>5/12/2020</c:v>
                </c:pt>
                <c:pt idx="136">
                  <c:v>5/13/2020</c:v>
                </c:pt>
                <c:pt idx="137">
                  <c:v>5/14/2020</c:v>
                </c:pt>
                <c:pt idx="138">
                  <c:v>5/15/2020</c:v>
                </c:pt>
                <c:pt idx="139">
                  <c:v>5/18/2020</c:v>
                </c:pt>
                <c:pt idx="140">
                  <c:v>5/19/2020</c:v>
                </c:pt>
                <c:pt idx="141">
                  <c:v>5/20/2020</c:v>
                </c:pt>
                <c:pt idx="142">
                  <c:v>5/21/2020</c:v>
                </c:pt>
                <c:pt idx="143">
                  <c:v>5/22/2020</c:v>
                </c:pt>
                <c:pt idx="144">
                  <c:v>5/26/2020</c:v>
                </c:pt>
                <c:pt idx="145">
                  <c:v>5/27/2020</c:v>
                </c:pt>
                <c:pt idx="146">
                  <c:v>5/28/2020</c:v>
                </c:pt>
                <c:pt idx="147">
                  <c:v>5/29/2020</c:v>
                </c:pt>
                <c:pt idx="148">
                  <c:v>6/1/2020</c:v>
                </c:pt>
                <c:pt idx="149">
                  <c:v>6/2/2020</c:v>
                </c:pt>
                <c:pt idx="150">
                  <c:v>6/3/2020</c:v>
                </c:pt>
                <c:pt idx="151">
                  <c:v>6/4/2020</c:v>
                </c:pt>
                <c:pt idx="152">
                  <c:v>6/5/2020</c:v>
                </c:pt>
                <c:pt idx="153">
                  <c:v>6/8/2020</c:v>
                </c:pt>
                <c:pt idx="154">
                  <c:v>6/9/2020</c:v>
                </c:pt>
                <c:pt idx="155">
                  <c:v>6/10/2020</c:v>
                </c:pt>
                <c:pt idx="156">
                  <c:v>6/11/2020</c:v>
                </c:pt>
                <c:pt idx="157">
                  <c:v>6/12/2020</c:v>
                </c:pt>
                <c:pt idx="158">
                  <c:v>6/15/2020</c:v>
                </c:pt>
                <c:pt idx="159">
                  <c:v>6/16/2020</c:v>
                </c:pt>
                <c:pt idx="160">
                  <c:v>6/17/2020</c:v>
                </c:pt>
                <c:pt idx="161">
                  <c:v>6/18/2020</c:v>
                </c:pt>
                <c:pt idx="162">
                  <c:v>6/19/2020</c:v>
                </c:pt>
                <c:pt idx="163">
                  <c:v>6/22/2020</c:v>
                </c:pt>
                <c:pt idx="164">
                  <c:v>6/23/2020</c:v>
                </c:pt>
                <c:pt idx="165">
                  <c:v>6/24/2020</c:v>
                </c:pt>
                <c:pt idx="166">
                  <c:v>6/25/2020</c:v>
                </c:pt>
                <c:pt idx="167">
                  <c:v>6/26/2020</c:v>
                </c:pt>
                <c:pt idx="168">
                  <c:v>6/29/2020</c:v>
                </c:pt>
                <c:pt idx="169">
                  <c:v>6/30/2020</c:v>
                </c:pt>
                <c:pt idx="170">
                  <c:v>7/1/2020</c:v>
                </c:pt>
                <c:pt idx="171">
                  <c:v>7/2/2020</c:v>
                </c:pt>
                <c:pt idx="172">
                  <c:v>7/3/2020</c:v>
                </c:pt>
                <c:pt idx="173">
                  <c:v>7/6/2020</c:v>
                </c:pt>
                <c:pt idx="174">
                  <c:v>7/7/2020</c:v>
                </c:pt>
                <c:pt idx="175">
                  <c:v>7/8/2020</c:v>
                </c:pt>
                <c:pt idx="176">
                  <c:v>7/9/2020</c:v>
                </c:pt>
                <c:pt idx="177">
                  <c:v>7/10/2020</c:v>
                </c:pt>
                <c:pt idx="178">
                  <c:v>7/13/2020</c:v>
                </c:pt>
                <c:pt idx="179">
                  <c:v>7/14/2020</c:v>
                </c:pt>
                <c:pt idx="180">
                  <c:v>7/15/2020</c:v>
                </c:pt>
                <c:pt idx="181">
                  <c:v>7/16/2020</c:v>
                </c:pt>
                <c:pt idx="182">
                  <c:v>7/17/2020</c:v>
                </c:pt>
                <c:pt idx="183">
                  <c:v>7/20/2020</c:v>
                </c:pt>
                <c:pt idx="184">
                  <c:v>7/21/2020</c:v>
                </c:pt>
                <c:pt idx="185">
                  <c:v>7/22/2020</c:v>
                </c:pt>
                <c:pt idx="186">
                  <c:v>7/23/2020</c:v>
                </c:pt>
                <c:pt idx="187">
                  <c:v>7/24/2020</c:v>
                </c:pt>
                <c:pt idx="188">
                  <c:v>7/27/2020</c:v>
                </c:pt>
                <c:pt idx="189">
                  <c:v>7/28/2020</c:v>
                </c:pt>
                <c:pt idx="190">
                  <c:v>7/29/2020</c:v>
                </c:pt>
                <c:pt idx="191">
                  <c:v>7/30/2020</c:v>
                </c:pt>
                <c:pt idx="192">
                  <c:v>7/31/2020</c:v>
                </c:pt>
                <c:pt idx="193">
                  <c:v>8/3/2020</c:v>
                </c:pt>
                <c:pt idx="194">
                  <c:v>8/4/2020</c:v>
                </c:pt>
                <c:pt idx="195">
                  <c:v>8/5/2020</c:v>
                </c:pt>
                <c:pt idx="196">
                  <c:v>8/6/2020</c:v>
                </c:pt>
                <c:pt idx="197">
                  <c:v>8/7/2020</c:v>
                </c:pt>
                <c:pt idx="198">
                  <c:v>8/10/2020</c:v>
                </c:pt>
                <c:pt idx="199">
                  <c:v>8/11/2020</c:v>
                </c:pt>
                <c:pt idx="200">
                  <c:v>8/12/2020</c:v>
                </c:pt>
                <c:pt idx="201">
                  <c:v>8/13/2020</c:v>
                </c:pt>
                <c:pt idx="202">
                  <c:v>8/14/2020</c:v>
                </c:pt>
                <c:pt idx="203">
                  <c:v>8/17/2020</c:v>
                </c:pt>
                <c:pt idx="204">
                  <c:v>8/18/2020</c:v>
                </c:pt>
                <c:pt idx="205">
                  <c:v>8/19/2020</c:v>
                </c:pt>
                <c:pt idx="206">
                  <c:v>8/20/2020</c:v>
                </c:pt>
                <c:pt idx="207">
                  <c:v>8/21/2020</c:v>
                </c:pt>
                <c:pt idx="208">
                  <c:v>8/24/2020</c:v>
                </c:pt>
                <c:pt idx="209">
                  <c:v>8/25/2020</c:v>
                </c:pt>
                <c:pt idx="210">
                  <c:v>8/26/2020</c:v>
                </c:pt>
                <c:pt idx="211">
                  <c:v>8/27/2020</c:v>
                </c:pt>
                <c:pt idx="212">
                  <c:v>8/28/2020</c:v>
                </c:pt>
                <c:pt idx="213">
                  <c:v>8/31/2020</c:v>
                </c:pt>
                <c:pt idx="214">
                  <c:v>9/1/2020</c:v>
                </c:pt>
                <c:pt idx="215">
                  <c:v>9/2/2020</c:v>
                </c:pt>
                <c:pt idx="216">
                  <c:v>9/3/2020</c:v>
                </c:pt>
                <c:pt idx="217">
                  <c:v>9/4/2020</c:v>
                </c:pt>
                <c:pt idx="218">
                  <c:v>9/7/2020</c:v>
                </c:pt>
                <c:pt idx="219">
                  <c:v>9/8/2020</c:v>
                </c:pt>
                <c:pt idx="220">
                  <c:v>9/9/2020</c:v>
                </c:pt>
                <c:pt idx="221">
                  <c:v>9/10/2020</c:v>
                </c:pt>
                <c:pt idx="222">
                  <c:v>9/11/2020</c:v>
                </c:pt>
                <c:pt idx="223">
                  <c:v>9/14/2020</c:v>
                </c:pt>
                <c:pt idx="224">
                  <c:v>9/15/2020</c:v>
                </c:pt>
                <c:pt idx="225">
                  <c:v>9/16/2020</c:v>
                </c:pt>
                <c:pt idx="226">
                  <c:v>9/17/2020</c:v>
                </c:pt>
                <c:pt idx="227">
                  <c:v>9/18/2020</c:v>
                </c:pt>
                <c:pt idx="228">
                  <c:v>9/21/2020</c:v>
                </c:pt>
                <c:pt idx="229">
                  <c:v>9/22/2020</c:v>
                </c:pt>
                <c:pt idx="230">
                  <c:v>9/23/2020</c:v>
                </c:pt>
                <c:pt idx="231">
                  <c:v>9/24/2020</c:v>
                </c:pt>
                <c:pt idx="232">
                  <c:v>9/25/2020</c:v>
                </c:pt>
                <c:pt idx="233">
                  <c:v>9/28/2020</c:v>
                </c:pt>
                <c:pt idx="234">
                  <c:v>9/29/2020</c:v>
                </c:pt>
                <c:pt idx="235">
                  <c:v>9/30/2020</c:v>
                </c:pt>
                <c:pt idx="236">
                  <c:v>10/1/2020</c:v>
                </c:pt>
                <c:pt idx="237">
                  <c:v>10/2/2020</c:v>
                </c:pt>
                <c:pt idx="238">
                  <c:v>10/5/2020</c:v>
                </c:pt>
                <c:pt idx="239">
                  <c:v>10/6/2020</c:v>
                </c:pt>
                <c:pt idx="240">
                  <c:v>10/7/2020</c:v>
                </c:pt>
                <c:pt idx="241">
                  <c:v>10/8/2020</c:v>
                </c:pt>
                <c:pt idx="242">
                  <c:v>10/9/2020</c:v>
                </c:pt>
                <c:pt idx="243">
                  <c:v>10/12/2020</c:v>
                </c:pt>
                <c:pt idx="244">
                  <c:v>10/13/2020</c:v>
                </c:pt>
                <c:pt idx="245">
                  <c:v>10/14/2020</c:v>
                </c:pt>
                <c:pt idx="246">
                  <c:v>10/15/2020</c:v>
                </c:pt>
                <c:pt idx="247">
                  <c:v>10/16/2020</c:v>
                </c:pt>
                <c:pt idx="248">
                  <c:v>10/19/2020</c:v>
                </c:pt>
                <c:pt idx="249">
                  <c:v>10/20/2020</c:v>
                </c:pt>
                <c:pt idx="250">
                  <c:v>10/21/2020</c:v>
                </c:pt>
                <c:pt idx="251">
                  <c:v>10/22/2020</c:v>
                </c:pt>
                <c:pt idx="252">
                  <c:v>10/23/2020</c:v>
                </c:pt>
                <c:pt idx="253">
                  <c:v>10/26/2020</c:v>
                </c:pt>
                <c:pt idx="254">
                  <c:v>10/27/2020</c:v>
                </c:pt>
                <c:pt idx="255">
                  <c:v>10/28/2020</c:v>
                </c:pt>
                <c:pt idx="256">
                  <c:v>10/29/2020</c:v>
                </c:pt>
                <c:pt idx="257">
                  <c:v>10/30/2020</c:v>
                </c:pt>
                <c:pt idx="258">
                  <c:v>11/2/2020</c:v>
                </c:pt>
                <c:pt idx="259">
                  <c:v>11/3/2020</c:v>
                </c:pt>
                <c:pt idx="260">
                  <c:v>11/4/2020</c:v>
                </c:pt>
                <c:pt idx="261">
                  <c:v>11/5/2020</c:v>
                </c:pt>
                <c:pt idx="262">
                  <c:v>11/6/2020</c:v>
                </c:pt>
                <c:pt idx="263">
                  <c:v>11/9/2020</c:v>
                </c:pt>
                <c:pt idx="264">
                  <c:v>11/10/2020</c:v>
                </c:pt>
                <c:pt idx="265">
                  <c:v>11/11/2020</c:v>
                </c:pt>
                <c:pt idx="266">
                  <c:v>11/12/2020</c:v>
                </c:pt>
                <c:pt idx="267">
                  <c:v>11/13/2020</c:v>
                </c:pt>
                <c:pt idx="268">
                  <c:v>11/16/2020</c:v>
                </c:pt>
                <c:pt idx="269">
                  <c:v>11/17/2020</c:v>
                </c:pt>
                <c:pt idx="270">
                  <c:v>11/18/2020</c:v>
                </c:pt>
                <c:pt idx="271">
                  <c:v>11/19/2020</c:v>
                </c:pt>
                <c:pt idx="272">
                  <c:v>11/20/2020</c:v>
                </c:pt>
                <c:pt idx="273">
                  <c:v>11/23/2020</c:v>
                </c:pt>
                <c:pt idx="274">
                  <c:v>11/24/2020</c:v>
                </c:pt>
                <c:pt idx="275">
                  <c:v>11/25/2020</c:v>
                </c:pt>
                <c:pt idx="276">
                  <c:v>11/26/2020</c:v>
                </c:pt>
                <c:pt idx="277">
                  <c:v>11/27/2020</c:v>
                </c:pt>
                <c:pt idx="278">
                  <c:v>11/30/2020</c:v>
                </c:pt>
                <c:pt idx="279">
                  <c:v>12/1/2020</c:v>
                </c:pt>
                <c:pt idx="280">
                  <c:v>12/2/2020</c:v>
                </c:pt>
                <c:pt idx="281">
                  <c:v>12/3/2020</c:v>
                </c:pt>
                <c:pt idx="282">
                  <c:v>12/4/2020</c:v>
                </c:pt>
                <c:pt idx="283">
                  <c:v>12/7/2020</c:v>
                </c:pt>
                <c:pt idx="284">
                  <c:v>12/8/2020</c:v>
                </c:pt>
                <c:pt idx="285">
                  <c:v>12/9/2020</c:v>
                </c:pt>
                <c:pt idx="286">
                  <c:v>12/10/2020</c:v>
                </c:pt>
                <c:pt idx="287">
                  <c:v>12/11/2020</c:v>
                </c:pt>
                <c:pt idx="288">
                  <c:v>12/14/2020</c:v>
                </c:pt>
                <c:pt idx="289">
                  <c:v>12/15/2020</c:v>
                </c:pt>
                <c:pt idx="290">
                  <c:v>12/16/2020</c:v>
                </c:pt>
                <c:pt idx="291">
                  <c:v>12/17/2020</c:v>
                </c:pt>
                <c:pt idx="292">
                  <c:v>12/18/2020</c:v>
                </c:pt>
                <c:pt idx="293">
                  <c:v>12/21/2020</c:v>
                </c:pt>
                <c:pt idx="294">
                  <c:v>12/22/2020</c:v>
                </c:pt>
                <c:pt idx="295">
                  <c:v>12/23/2020</c:v>
                </c:pt>
                <c:pt idx="296">
                  <c:v>12/24/2020</c:v>
                </c:pt>
                <c:pt idx="297">
                  <c:v>12/28/2020</c:v>
                </c:pt>
                <c:pt idx="298">
                  <c:v>12/29/2020</c:v>
                </c:pt>
                <c:pt idx="299">
                  <c:v>12/30/2020</c:v>
                </c:pt>
                <c:pt idx="300">
                  <c:v>12/31/2020</c:v>
                </c:pt>
                <c:pt idx="301">
                  <c:v>1/4/2021</c:v>
                </c:pt>
                <c:pt idx="302">
                  <c:v>1/5/2021</c:v>
                </c:pt>
                <c:pt idx="303">
                  <c:v>1/6/2021</c:v>
                </c:pt>
                <c:pt idx="304">
                  <c:v>1/7/2021</c:v>
                </c:pt>
                <c:pt idx="305">
                  <c:v>1/8/2021</c:v>
                </c:pt>
                <c:pt idx="306">
                  <c:v>1/11/2021</c:v>
                </c:pt>
                <c:pt idx="307">
                  <c:v>1/12/2021</c:v>
                </c:pt>
                <c:pt idx="308">
                  <c:v>1/13/2021</c:v>
                </c:pt>
                <c:pt idx="309">
                  <c:v>1/14/2021</c:v>
                </c:pt>
                <c:pt idx="310">
                  <c:v>1/15/2021</c:v>
                </c:pt>
                <c:pt idx="311">
                  <c:v>1/18/2021</c:v>
                </c:pt>
                <c:pt idx="312">
                  <c:v>1/19/2021</c:v>
                </c:pt>
                <c:pt idx="313">
                  <c:v>1/20/2021</c:v>
                </c:pt>
                <c:pt idx="314">
                  <c:v>1/21/2021</c:v>
                </c:pt>
                <c:pt idx="315">
                  <c:v>1/22/2021</c:v>
                </c:pt>
                <c:pt idx="316">
                  <c:v>1/25/2021</c:v>
                </c:pt>
                <c:pt idx="317">
                  <c:v>1/26/2021</c:v>
                </c:pt>
                <c:pt idx="318">
                  <c:v>1/27/2021</c:v>
                </c:pt>
                <c:pt idx="319">
                  <c:v>1/28/2021</c:v>
                </c:pt>
                <c:pt idx="320">
                  <c:v>1/29/2021</c:v>
                </c:pt>
                <c:pt idx="321">
                  <c:v>2/1/2021</c:v>
                </c:pt>
                <c:pt idx="322">
                  <c:v>2/2/2021</c:v>
                </c:pt>
                <c:pt idx="323">
                  <c:v>2/3/2021</c:v>
                </c:pt>
                <c:pt idx="324">
                  <c:v>2/4/2021</c:v>
                </c:pt>
                <c:pt idx="325">
                  <c:v>2/5/2021</c:v>
                </c:pt>
                <c:pt idx="326">
                  <c:v>2/8/2021</c:v>
                </c:pt>
                <c:pt idx="327">
                  <c:v>2/9/2021</c:v>
                </c:pt>
                <c:pt idx="328">
                  <c:v>2/10/2021</c:v>
                </c:pt>
                <c:pt idx="329">
                  <c:v>2/11/2021</c:v>
                </c:pt>
                <c:pt idx="330">
                  <c:v>2/12/2021</c:v>
                </c:pt>
                <c:pt idx="331">
                  <c:v>2/15/2021</c:v>
                </c:pt>
                <c:pt idx="332">
                  <c:v>2/16/2021</c:v>
                </c:pt>
                <c:pt idx="333">
                  <c:v>2/17/2021</c:v>
                </c:pt>
                <c:pt idx="334">
                  <c:v>2/18/2021</c:v>
                </c:pt>
                <c:pt idx="335">
                  <c:v>2/19/2021</c:v>
                </c:pt>
                <c:pt idx="336">
                  <c:v>2/22/2021</c:v>
                </c:pt>
                <c:pt idx="337">
                  <c:v>2/23/2021</c:v>
                </c:pt>
                <c:pt idx="338">
                  <c:v>2/24/2021</c:v>
                </c:pt>
                <c:pt idx="339">
                  <c:v>2/25/2021</c:v>
                </c:pt>
                <c:pt idx="340">
                  <c:v>2/26/2021</c:v>
                </c:pt>
                <c:pt idx="341">
                  <c:v>3/1/2021</c:v>
                </c:pt>
                <c:pt idx="342">
                  <c:v>3/2/2021</c:v>
                </c:pt>
                <c:pt idx="343">
                  <c:v>3/3/2021</c:v>
                </c:pt>
                <c:pt idx="344">
                  <c:v>3/4/2021</c:v>
                </c:pt>
                <c:pt idx="345">
                  <c:v>3/5/2021</c:v>
                </c:pt>
                <c:pt idx="346">
                  <c:v>3/8/2021</c:v>
                </c:pt>
                <c:pt idx="347">
                  <c:v>3/9/2021</c:v>
                </c:pt>
                <c:pt idx="348">
                  <c:v>3/10/2021</c:v>
                </c:pt>
                <c:pt idx="349">
                  <c:v>3/11/2021</c:v>
                </c:pt>
                <c:pt idx="350">
                  <c:v>3/12/2021</c:v>
                </c:pt>
                <c:pt idx="351">
                  <c:v>3/15/2021</c:v>
                </c:pt>
                <c:pt idx="352">
                  <c:v>3/16/2021</c:v>
                </c:pt>
                <c:pt idx="353">
                  <c:v>3/17/2021</c:v>
                </c:pt>
                <c:pt idx="354">
                  <c:v>3/18/2021</c:v>
                </c:pt>
                <c:pt idx="355">
                  <c:v>3/19/2021</c:v>
                </c:pt>
                <c:pt idx="356">
                  <c:v>3/22/2021</c:v>
                </c:pt>
                <c:pt idx="357">
                  <c:v>3/23/2021</c:v>
                </c:pt>
                <c:pt idx="358">
                  <c:v>3/24/2021</c:v>
                </c:pt>
                <c:pt idx="359">
                  <c:v>3/25/2021</c:v>
                </c:pt>
                <c:pt idx="360">
                  <c:v>3/26/2021</c:v>
                </c:pt>
                <c:pt idx="361">
                  <c:v>3/29/2021</c:v>
                </c:pt>
                <c:pt idx="362">
                  <c:v>3/30/2021</c:v>
                </c:pt>
                <c:pt idx="363">
                  <c:v>3/31/2021</c:v>
                </c:pt>
                <c:pt idx="364">
                  <c:v>4/1/2021</c:v>
                </c:pt>
                <c:pt idx="365">
                  <c:v>4/5/2021</c:v>
                </c:pt>
                <c:pt idx="366">
                  <c:v>4/6/2021</c:v>
                </c:pt>
                <c:pt idx="367">
                  <c:v>4/7/2021</c:v>
                </c:pt>
                <c:pt idx="368">
                  <c:v>4/8/2021</c:v>
                </c:pt>
                <c:pt idx="369">
                  <c:v>4/9/2021</c:v>
                </c:pt>
                <c:pt idx="370">
                  <c:v>4/12/2021</c:v>
                </c:pt>
                <c:pt idx="371">
                  <c:v>4/13/2021</c:v>
                </c:pt>
                <c:pt idx="372">
                  <c:v>4/14/2021</c:v>
                </c:pt>
                <c:pt idx="373">
                  <c:v>4/15/2021</c:v>
                </c:pt>
                <c:pt idx="374">
                  <c:v>4/16/2021</c:v>
                </c:pt>
                <c:pt idx="375">
                  <c:v>4/19/2021</c:v>
                </c:pt>
                <c:pt idx="376">
                  <c:v>4/20/2021</c:v>
                </c:pt>
                <c:pt idx="377">
                  <c:v>4/21/2021</c:v>
                </c:pt>
                <c:pt idx="378">
                  <c:v>4/22/2021</c:v>
                </c:pt>
                <c:pt idx="379">
                  <c:v>4/23/2021</c:v>
                </c:pt>
                <c:pt idx="380">
                  <c:v>4/26/2021</c:v>
                </c:pt>
                <c:pt idx="381">
                  <c:v>4/27/2021</c:v>
                </c:pt>
                <c:pt idx="382">
                  <c:v>4/28/2021</c:v>
                </c:pt>
                <c:pt idx="383">
                  <c:v>4/29/2021</c:v>
                </c:pt>
                <c:pt idx="384">
                  <c:v>4/30/2021</c:v>
                </c:pt>
                <c:pt idx="385">
                  <c:v>5/3/2021</c:v>
                </c:pt>
                <c:pt idx="386">
                  <c:v>5/4/2021</c:v>
                </c:pt>
                <c:pt idx="387">
                  <c:v>5/5/2021</c:v>
                </c:pt>
                <c:pt idx="388">
                  <c:v>5/6/2021</c:v>
                </c:pt>
                <c:pt idx="389">
                  <c:v>5/7/2021</c:v>
                </c:pt>
                <c:pt idx="390">
                  <c:v>5/10/2021</c:v>
                </c:pt>
                <c:pt idx="391">
                  <c:v>5/11/2021</c:v>
                </c:pt>
                <c:pt idx="392">
                  <c:v>5/12/2021</c:v>
                </c:pt>
                <c:pt idx="393">
                  <c:v>5/13/2021</c:v>
                </c:pt>
                <c:pt idx="394">
                  <c:v>5/14/2021</c:v>
                </c:pt>
                <c:pt idx="395">
                  <c:v>5/17/2021</c:v>
                </c:pt>
                <c:pt idx="396">
                  <c:v>5/18/2021</c:v>
                </c:pt>
                <c:pt idx="397">
                  <c:v>5/19/2021</c:v>
                </c:pt>
                <c:pt idx="398">
                  <c:v>5/20/2021</c:v>
                </c:pt>
                <c:pt idx="399">
                  <c:v>5/21/2021</c:v>
                </c:pt>
                <c:pt idx="400">
                  <c:v>5/24/2021</c:v>
                </c:pt>
                <c:pt idx="401">
                  <c:v>5/25/2021</c:v>
                </c:pt>
                <c:pt idx="402">
                  <c:v>5/26/2021</c:v>
                </c:pt>
                <c:pt idx="403">
                  <c:v>5/27/2021</c:v>
                </c:pt>
                <c:pt idx="404">
                  <c:v>5/28/2021</c:v>
                </c:pt>
                <c:pt idx="405">
                  <c:v>5/31/2021</c:v>
                </c:pt>
                <c:pt idx="406">
                  <c:v>6/1/2021</c:v>
                </c:pt>
                <c:pt idx="407">
                  <c:v>6/2/2021</c:v>
                </c:pt>
                <c:pt idx="408">
                  <c:v>6/3/2021</c:v>
                </c:pt>
                <c:pt idx="409">
                  <c:v>6/4/2021</c:v>
                </c:pt>
                <c:pt idx="410">
                  <c:v>6/7/2021</c:v>
                </c:pt>
                <c:pt idx="411">
                  <c:v>6/8/2021</c:v>
                </c:pt>
                <c:pt idx="412">
                  <c:v>6/9/2021</c:v>
                </c:pt>
                <c:pt idx="413">
                  <c:v>6/10/2021</c:v>
                </c:pt>
                <c:pt idx="414">
                  <c:v>6/11/2021</c:v>
                </c:pt>
                <c:pt idx="415">
                  <c:v>6/14/2021</c:v>
                </c:pt>
                <c:pt idx="416">
                  <c:v>6/15/2021</c:v>
                </c:pt>
                <c:pt idx="417">
                  <c:v>6/16/2021</c:v>
                </c:pt>
                <c:pt idx="418">
                  <c:v>6/17/2021</c:v>
                </c:pt>
                <c:pt idx="419">
                  <c:v>6/18/2021</c:v>
                </c:pt>
                <c:pt idx="420">
                  <c:v>6/21/2021</c:v>
                </c:pt>
                <c:pt idx="421">
                  <c:v>6/22/2021</c:v>
                </c:pt>
                <c:pt idx="422">
                  <c:v>6/23/2021</c:v>
                </c:pt>
                <c:pt idx="423">
                  <c:v>6/24/2021</c:v>
                </c:pt>
                <c:pt idx="424">
                  <c:v>6/25/2021</c:v>
                </c:pt>
                <c:pt idx="425">
                  <c:v>6/28/2021</c:v>
                </c:pt>
                <c:pt idx="426">
                  <c:v>6/29/2021</c:v>
                </c:pt>
                <c:pt idx="427">
                  <c:v>6/30/2021</c:v>
                </c:pt>
                <c:pt idx="428">
                  <c:v>7/1/2021</c:v>
                </c:pt>
                <c:pt idx="429">
                  <c:v>7/2/2021</c:v>
                </c:pt>
                <c:pt idx="430">
                  <c:v>7/5/2021</c:v>
                </c:pt>
                <c:pt idx="431">
                  <c:v>7/6/2021</c:v>
                </c:pt>
                <c:pt idx="432">
                  <c:v>7/7/2021</c:v>
                </c:pt>
                <c:pt idx="433">
                  <c:v>7/8/2021</c:v>
                </c:pt>
                <c:pt idx="434">
                  <c:v>7/9/2021</c:v>
                </c:pt>
                <c:pt idx="435">
                  <c:v>7/12/2021</c:v>
                </c:pt>
                <c:pt idx="436">
                  <c:v>7/13/2021</c:v>
                </c:pt>
                <c:pt idx="437">
                  <c:v>7/14/2021</c:v>
                </c:pt>
                <c:pt idx="438">
                  <c:v>7/15/2021</c:v>
                </c:pt>
                <c:pt idx="439">
                  <c:v>7/16/2021</c:v>
                </c:pt>
                <c:pt idx="440">
                  <c:v>7/19/2021</c:v>
                </c:pt>
                <c:pt idx="441">
                  <c:v>7/20/2021</c:v>
                </c:pt>
                <c:pt idx="442">
                  <c:v>7/21/2021</c:v>
                </c:pt>
                <c:pt idx="443">
                  <c:v>7/22/2021</c:v>
                </c:pt>
                <c:pt idx="444">
                  <c:v>7/23/2021</c:v>
                </c:pt>
                <c:pt idx="445">
                  <c:v>7/26/2021</c:v>
                </c:pt>
                <c:pt idx="446">
                  <c:v>7/27/2021</c:v>
                </c:pt>
                <c:pt idx="447">
                  <c:v>7/28/2021</c:v>
                </c:pt>
                <c:pt idx="448">
                  <c:v>7/29/2021</c:v>
                </c:pt>
                <c:pt idx="449">
                  <c:v>7/30/2021</c:v>
                </c:pt>
                <c:pt idx="450">
                  <c:v>8/2/2021</c:v>
                </c:pt>
                <c:pt idx="451">
                  <c:v>8/3/2021</c:v>
                </c:pt>
                <c:pt idx="452">
                  <c:v>8/4/2021</c:v>
                </c:pt>
                <c:pt idx="453">
                  <c:v>8/5/2021</c:v>
                </c:pt>
                <c:pt idx="454">
                  <c:v>8/6/2021</c:v>
                </c:pt>
                <c:pt idx="455">
                  <c:v>8/9/2021</c:v>
                </c:pt>
                <c:pt idx="456">
                  <c:v>8/10/2021</c:v>
                </c:pt>
                <c:pt idx="457">
                  <c:v>8/11/2021</c:v>
                </c:pt>
                <c:pt idx="458">
                  <c:v>8/12/2021</c:v>
                </c:pt>
                <c:pt idx="459">
                  <c:v>8/13/2021</c:v>
                </c:pt>
                <c:pt idx="460">
                  <c:v>8/16/2021</c:v>
                </c:pt>
                <c:pt idx="461">
                  <c:v>8/17/2021</c:v>
                </c:pt>
                <c:pt idx="462">
                  <c:v>8/18/2021</c:v>
                </c:pt>
                <c:pt idx="463">
                  <c:v>8/19/2021</c:v>
                </c:pt>
                <c:pt idx="464">
                  <c:v>8/20/2021</c:v>
                </c:pt>
                <c:pt idx="465">
                  <c:v>8/23/2021</c:v>
                </c:pt>
                <c:pt idx="466">
                  <c:v>8/24/2021</c:v>
                </c:pt>
                <c:pt idx="467">
                  <c:v>8/25/2021</c:v>
                </c:pt>
                <c:pt idx="468">
                  <c:v>8/26/2021</c:v>
                </c:pt>
                <c:pt idx="469">
                  <c:v>8/27/2021</c:v>
                </c:pt>
                <c:pt idx="470">
                  <c:v>8/30/2021</c:v>
                </c:pt>
                <c:pt idx="471">
                  <c:v>8/31/2021</c:v>
                </c:pt>
                <c:pt idx="472">
                  <c:v>9/1/2021</c:v>
                </c:pt>
                <c:pt idx="473">
                  <c:v>9/2/2021</c:v>
                </c:pt>
                <c:pt idx="474">
                  <c:v>9/3/2021</c:v>
                </c:pt>
                <c:pt idx="475">
                  <c:v>9/6/2021</c:v>
                </c:pt>
                <c:pt idx="476">
                  <c:v>9/7/2021</c:v>
                </c:pt>
                <c:pt idx="477">
                  <c:v>9/8/2021</c:v>
                </c:pt>
                <c:pt idx="478">
                  <c:v>9/9/2021</c:v>
                </c:pt>
                <c:pt idx="479">
                  <c:v>9/10/2021</c:v>
                </c:pt>
                <c:pt idx="480">
                  <c:v>9/13/2021</c:v>
                </c:pt>
                <c:pt idx="481">
                  <c:v>9/14/2021</c:v>
                </c:pt>
                <c:pt idx="482">
                  <c:v>9/15/2021</c:v>
                </c:pt>
                <c:pt idx="483">
                  <c:v>9/16/2021</c:v>
                </c:pt>
                <c:pt idx="484">
                  <c:v>9/17/2021</c:v>
                </c:pt>
                <c:pt idx="485">
                  <c:v>9/20/2021</c:v>
                </c:pt>
                <c:pt idx="486">
                  <c:v>9/21/2021</c:v>
                </c:pt>
                <c:pt idx="487">
                  <c:v>9/22/2021</c:v>
                </c:pt>
                <c:pt idx="488">
                  <c:v>9/23/2021</c:v>
                </c:pt>
                <c:pt idx="489">
                  <c:v>9/24/2021</c:v>
                </c:pt>
                <c:pt idx="490">
                  <c:v>9/27/2021</c:v>
                </c:pt>
                <c:pt idx="491">
                  <c:v>9/28/2021</c:v>
                </c:pt>
                <c:pt idx="492">
                  <c:v>9/29/2021</c:v>
                </c:pt>
                <c:pt idx="493">
                  <c:v>9/30/2021</c:v>
                </c:pt>
                <c:pt idx="494">
                  <c:v>10/1/2021</c:v>
                </c:pt>
                <c:pt idx="495">
                  <c:v>10/4/2021</c:v>
                </c:pt>
                <c:pt idx="496">
                  <c:v>10/5/2021</c:v>
                </c:pt>
                <c:pt idx="497">
                  <c:v>10/6/2021</c:v>
                </c:pt>
                <c:pt idx="498">
                  <c:v>10/7/2021</c:v>
                </c:pt>
                <c:pt idx="499">
                  <c:v>10/8/2021</c:v>
                </c:pt>
                <c:pt idx="500">
                  <c:v>10/11/2021</c:v>
                </c:pt>
                <c:pt idx="501">
                  <c:v>10/12/2021</c:v>
                </c:pt>
                <c:pt idx="502">
                  <c:v>10/13/2021</c:v>
                </c:pt>
                <c:pt idx="503">
                  <c:v>10/14/2021</c:v>
                </c:pt>
                <c:pt idx="504">
                  <c:v>10/15/2021</c:v>
                </c:pt>
                <c:pt idx="505">
                  <c:v>10/18/2021</c:v>
                </c:pt>
                <c:pt idx="506">
                  <c:v>10/19/2021</c:v>
                </c:pt>
                <c:pt idx="507">
                  <c:v>10/20/2021</c:v>
                </c:pt>
                <c:pt idx="508">
                  <c:v>10/21/2021</c:v>
                </c:pt>
                <c:pt idx="509">
                  <c:v>10/22/2021</c:v>
                </c:pt>
                <c:pt idx="510">
                  <c:v>10/25/2021</c:v>
                </c:pt>
                <c:pt idx="511">
                  <c:v>10/26/2021</c:v>
                </c:pt>
                <c:pt idx="512">
                  <c:v>10/27/2021</c:v>
                </c:pt>
                <c:pt idx="513">
                  <c:v>10/28/2021</c:v>
                </c:pt>
                <c:pt idx="514">
                  <c:v>10/29/2021</c:v>
                </c:pt>
                <c:pt idx="515">
                  <c:v>11/1/2021</c:v>
                </c:pt>
                <c:pt idx="516">
                  <c:v>11/2/2021</c:v>
                </c:pt>
                <c:pt idx="517">
                  <c:v>11/3/2021</c:v>
                </c:pt>
                <c:pt idx="518">
                  <c:v>11/4/2021</c:v>
                </c:pt>
                <c:pt idx="519">
                  <c:v>11/5/2021</c:v>
                </c:pt>
                <c:pt idx="520">
                  <c:v>11/8/2021</c:v>
                </c:pt>
                <c:pt idx="521">
                  <c:v>11/9/2021</c:v>
                </c:pt>
                <c:pt idx="522">
                  <c:v>11/10/2021</c:v>
                </c:pt>
                <c:pt idx="523">
                  <c:v>11/11/2021</c:v>
                </c:pt>
                <c:pt idx="524">
                  <c:v>11/12/2021</c:v>
                </c:pt>
                <c:pt idx="525">
                  <c:v>11/15/2021</c:v>
                </c:pt>
                <c:pt idx="526">
                  <c:v>11/16/2021</c:v>
                </c:pt>
                <c:pt idx="527">
                  <c:v>11/17/2021</c:v>
                </c:pt>
                <c:pt idx="528">
                  <c:v>11/18/2021</c:v>
                </c:pt>
                <c:pt idx="529">
                  <c:v>11/19/2021</c:v>
                </c:pt>
                <c:pt idx="530">
                  <c:v>11/22/2021</c:v>
                </c:pt>
                <c:pt idx="531">
                  <c:v>11/23/2021</c:v>
                </c:pt>
                <c:pt idx="532">
                  <c:v>11/24/2021</c:v>
                </c:pt>
                <c:pt idx="533">
                  <c:v>11/25/2021</c:v>
                </c:pt>
                <c:pt idx="534">
                  <c:v>11/26/2021</c:v>
                </c:pt>
                <c:pt idx="535">
                  <c:v>11/29/2021</c:v>
                </c:pt>
                <c:pt idx="536">
                  <c:v>11/30/2021</c:v>
                </c:pt>
                <c:pt idx="537">
                  <c:v>12/1/2021</c:v>
                </c:pt>
                <c:pt idx="538">
                  <c:v>12/2/2021</c:v>
                </c:pt>
                <c:pt idx="539">
                  <c:v>12/3/2021</c:v>
                </c:pt>
                <c:pt idx="540">
                  <c:v>12/6/2021</c:v>
                </c:pt>
                <c:pt idx="541">
                  <c:v>12/7/2021</c:v>
                </c:pt>
                <c:pt idx="542">
                  <c:v>12/8/2021</c:v>
                </c:pt>
                <c:pt idx="543">
                  <c:v>12/9/2021</c:v>
                </c:pt>
                <c:pt idx="544">
                  <c:v>12/10/2021</c:v>
                </c:pt>
                <c:pt idx="545">
                  <c:v>12/13/2021</c:v>
                </c:pt>
                <c:pt idx="546">
                  <c:v>12/14/2021</c:v>
                </c:pt>
                <c:pt idx="547">
                  <c:v>12/15/2021</c:v>
                </c:pt>
                <c:pt idx="548">
                  <c:v>12/16/2021</c:v>
                </c:pt>
                <c:pt idx="549">
                  <c:v>12/17/2021</c:v>
                </c:pt>
                <c:pt idx="550">
                  <c:v>12/20/2021</c:v>
                </c:pt>
                <c:pt idx="551">
                  <c:v>12/21/2021</c:v>
                </c:pt>
                <c:pt idx="552">
                  <c:v>12/22/2021</c:v>
                </c:pt>
                <c:pt idx="553">
                  <c:v>12/23/2021</c:v>
                </c:pt>
                <c:pt idx="554">
                  <c:v>12/24/2021</c:v>
                </c:pt>
                <c:pt idx="555">
                  <c:v>12/27/2021</c:v>
                </c:pt>
                <c:pt idx="556">
                  <c:v>12/28/2021</c:v>
                </c:pt>
                <c:pt idx="557">
                  <c:v>12/29/2021</c:v>
                </c:pt>
                <c:pt idx="558">
                  <c:v>12/30/2021</c:v>
                </c:pt>
                <c:pt idx="559">
                  <c:v>12/31/2021</c:v>
                </c:pt>
                <c:pt idx="560">
                  <c:v>1/3/2022</c:v>
                </c:pt>
                <c:pt idx="561">
                  <c:v>1/4/2022</c:v>
                </c:pt>
                <c:pt idx="562">
                  <c:v>1/5/2022</c:v>
                </c:pt>
                <c:pt idx="563">
                  <c:v>1/6/2022</c:v>
                </c:pt>
                <c:pt idx="564">
                  <c:v>1/7/2022</c:v>
                </c:pt>
                <c:pt idx="565">
                  <c:v>1/10/2022</c:v>
                </c:pt>
                <c:pt idx="566">
                  <c:v>1/11/2022</c:v>
                </c:pt>
                <c:pt idx="567">
                  <c:v>1/12/2022</c:v>
                </c:pt>
                <c:pt idx="568">
                  <c:v>1/13/2022</c:v>
                </c:pt>
                <c:pt idx="569">
                  <c:v>1/14/2022</c:v>
                </c:pt>
                <c:pt idx="570">
                  <c:v>1/17/2022</c:v>
                </c:pt>
                <c:pt idx="571">
                  <c:v>1/18/2022</c:v>
                </c:pt>
                <c:pt idx="572">
                  <c:v>1/19/2022</c:v>
                </c:pt>
                <c:pt idx="573">
                  <c:v>1/20/2022</c:v>
                </c:pt>
                <c:pt idx="574">
                  <c:v>1/21/2022</c:v>
                </c:pt>
                <c:pt idx="575">
                  <c:v>1/24/2022</c:v>
                </c:pt>
                <c:pt idx="576">
                  <c:v>1/25/2022</c:v>
                </c:pt>
                <c:pt idx="577">
                  <c:v>1/26/2022</c:v>
                </c:pt>
                <c:pt idx="578">
                  <c:v>1/27/2022</c:v>
                </c:pt>
                <c:pt idx="579">
                  <c:v>1/28/2022</c:v>
                </c:pt>
                <c:pt idx="580">
                  <c:v>1/31/2022</c:v>
                </c:pt>
                <c:pt idx="581">
                  <c:v>2/1/2022</c:v>
                </c:pt>
                <c:pt idx="582">
                  <c:v>2/2/2022</c:v>
                </c:pt>
                <c:pt idx="583">
                  <c:v>2/3/2022</c:v>
                </c:pt>
                <c:pt idx="584">
                  <c:v>2/4/2022</c:v>
                </c:pt>
                <c:pt idx="585">
                  <c:v>2/7/2022</c:v>
                </c:pt>
                <c:pt idx="586">
                  <c:v>2/8/2022</c:v>
                </c:pt>
                <c:pt idx="587">
                  <c:v>2/9/2022</c:v>
                </c:pt>
                <c:pt idx="588">
                  <c:v>2/10/2022</c:v>
                </c:pt>
                <c:pt idx="589">
                  <c:v>2/11/2022</c:v>
                </c:pt>
                <c:pt idx="590">
                  <c:v>2/14/2022</c:v>
                </c:pt>
                <c:pt idx="591">
                  <c:v>2/15/2022</c:v>
                </c:pt>
                <c:pt idx="592">
                  <c:v>2/16/2022</c:v>
                </c:pt>
                <c:pt idx="593">
                  <c:v>2/17/2022</c:v>
                </c:pt>
                <c:pt idx="594">
                  <c:v>2/18/2022</c:v>
                </c:pt>
                <c:pt idx="595">
                  <c:v>2/21/2022</c:v>
                </c:pt>
                <c:pt idx="596">
                  <c:v>2/22/2022</c:v>
                </c:pt>
                <c:pt idx="597">
                  <c:v>2/23/2022</c:v>
                </c:pt>
                <c:pt idx="598">
                  <c:v>2/24/2022</c:v>
                </c:pt>
                <c:pt idx="599">
                  <c:v>2/25/2022</c:v>
                </c:pt>
                <c:pt idx="600">
                  <c:v>2/28/2022</c:v>
                </c:pt>
                <c:pt idx="601">
                  <c:v>3/1/2022</c:v>
                </c:pt>
                <c:pt idx="602">
                  <c:v>3/2/2022</c:v>
                </c:pt>
                <c:pt idx="603">
                  <c:v>3/3/2022</c:v>
                </c:pt>
                <c:pt idx="604">
                  <c:v>3/4/2022</c:v>
                </c:pt>
                <c:pt idx="605">
                  <c:v>3/7/2022</c:v>
                </c:pt>
                <c:pt idx="606">
                  <c:v>3/8/2022</c:v>
                </c:pt>
                <c:pt idx="607">
                  <c:v>3/9/2022</c:v>
                </c:pt>
                <c:pt idx="608">
                  <c:v>3/10/2022</c:v>
                </c:pt>
                <c:pt idx="609">
                  <c:v>3/11/2022</c:v>
                </c:pt>
                <c:pt idx="610">
                  <c:v>3/14/2022</c:v>
                </c:pt>
                <c:pt idx="611">
                  <c:v>3/15/2022</c:v>
                </c:pt>
                <c:pt idx="612">
                  <c:v>3/16/2022</c:v>
                </c:pt>
                <c:pt idx="613">
                  <c:v>3/17/2022</c:v>
                </c:pt>
                <c:pt idx="614">
                  <c:v>3/18/2022</c:v>
                </c:pt>
                <c:pt idx="615">
                  <c:v>3/21/2022</c:v>
                </c:pt>
                <c:pt idx="616">
                  <c:v>3/22/2022</c:v>
                </c:pt>
                <c:pt idx="617">
                  <c:v>3/23/2022</c:v>
                </c:pt>
                <c:pt idx="618">
                  <c:v>3/24/2022</c:v>
                </c:pt>
                <c:pt idx="619">
                  <c:v>3/25/2022</c:v>
                </c:pt>
                <c:pt idx="620">
                  <c:v>3/28/2022</c:v>
                </c:pt>
                <c:pt idx="621">
                  <c:v>3/29/2022</c:v>
                </c:pt>
                <c:pt idx="622">
                  <c:v>3/30/2022</c:v>
                </c:pt>
                <c:pt idx="623">
                  <c:v>3/31/2022</c:v>
                </c:pt>
                <c:pt idx="624">
                  <c:v>4/1/2022</c:v>
                </c:pt>
                <c:pt idx="625">
                  <c:v>4/4/2022</c:v>
                </c:pt>
                <c:pt idx="626">
                  <c:v>4/5/2022</c:v>
                </c:pt>
                <c:pt idx="627">
                  <c:v>4/6/2022</c:v>
                </c:pt>
                <c:pt idx="628">
                  <c:v>4/7/2022</c:v>
                </c:pt>
                <c:pt idx="629">
                  <c:v>4/8/2022</c:v>
                </c:pt>
                <c:pt idx="630">
                  <c:v>4/11/2022</c:v>
                </c:pt>
                <c:pt idx="631">
                  <c:v>4/12/2022</c:v>
                </c:pt>
                <c:pt idx="632">
                  <c:v>4/13/2022</c:v>
                </c:pt>
                <c:pt idx="633">
                  <c:v>4/14/2022</c:v>
                </c:pt>
                <c:pt idx="634">
                  <c:v>4/18/2022</c:v>
                </c:pt>
                <c:pt idx="635">
                  <c:v>4/19/2022</c:v>
                </c:pt>
                <c:pt idx="636">
                  <c:v>4/20/2022</c:v>
                </c:pt>
                <c:pt idx="637">
                  <c:v>4/21/2022</c:v>
                </c:pt>
                <c:pt idx="638">
                  <c:v>4/22/2022</c:v>
                </c:pt>
                <c:pt idx="639">
                  <c:v>4/25/2022</c:v>
                </c:pt>
                <c:pt idx="640">
                  <c:v>4/26/2022</c:v>
                </c:pt>
                <c:pt idx="641">
                  <c:v>4/27/2022</c:v>
                </c:pt>
                <c:pt idx="642">
                  <c:v>4/28/2022</c:v>
                </c:pt>
                <c:pt idx="643">
                  <c:v>4/29/2022</c:v>
                </c:pt>
                <c:pt idx="644">
                  <c:v>5/2/2022</c:v>
                </c:pt>
                <c:pt idx="645">
                  <c:v>5/3/2022</c:v>
                </c:pt>
                <c:pt idx="646">
                  <c:v>5/4/2022</c:v>
                </c:pt>
                <c:pt idx="647">
                  <c:v>5/5/2022</c:v>
                </c:pt>
                <c:pt idx="648">
                  <c:v>5/6/2022</c:v>
                </c:pt>
                <c:pt idx="649">
                  <c:v>5/9/2022</c:v>
                </c:pt>
                <c:pt idx="650">
                  <c:v>5/10/2022</c:v>
                </c:pt>
                <c:pt idx="651">
                  <c:v>5/11/2022</c:v>
                </c:pt>
                <c:pt idx="652">
                  <c:v>5/12/2022</c:v>
                </c:pt>
                <c:pt idx="653">
                  <c:v>5/13/2022</c:v>
                </c:pt>
                <c:pt idx="654">
                  <c:v>5/16/2022</c:v>
                </c:pt>
                <c:pt idx="655">
                  <c:v>5/17/2022</c:v>
                </c:pt>
                <c:pt idx="656">
                  <c:v>5/18/2022</c:v>
                </c:pt>
                <c:pt idx="657">
                  <c:v>5/19/2022</c:v>
                </c:pt>
                <c:pt idx="658">
                  <c:v>5/20/2022</c:v>
                </c:pt>
                <c:pt idx="659">
                  <c:v>5/23/2022</c:v>
                </c:pt>
                <c:pt idx="660">
                  <c:v>5/24/2022</c:v>
                </c:pt>
                <c:pt idx="661">
                  <c:v>5/25/2022</c:v>
                </c:pt>
                <c:pt idx="662">
                  <c:v>5/26/2022</c:v>
                </c:pt>
                <c:pt idx="663">
                  <c:v>5/27/2022</c:v>
                </c:pt>
                <c:pt idx="664">
                  <c:v>5/30/2022</c:v>
                </c:pt>
                <c:pt idx="665">
                  <c:v>5/31/2022</c:v>
                </c:pt>
                <c:pt idx="666">
                  <c:v>6/1/2022</c:v>
                </c:pt>
                <c:pt idx="667">
                  <c:v>6/2/2022</c:v>
                </c:pt>
                <c:pt idx="668">
                  <c:v>6/3/2022</c:v>
                </c:pt>
                <c:pt idx="669">
                  <c:v>6/6/2022</c:v>
                </c:pt>
                <c:pt idx="670">
                  <c:v>6/7/2022</c:v>
                </c:pt>
                <c:pt idx="671">
                  <c:v>6/8/2022</c:v>
                </c:pt>
                <c:pt idx="672">
                  <c:v>6/9/2022</c:v>
                </c:pt>
                <c:pt idx="673">
                  <c:v>6/10/2022</c:v>
                </c:pt>
                <c:pt idx="674">
                  <c:v>6/13/2022</c:v>
                </c:pt>
                <c:pt idx="675">
                  <c:v>6/14/2022</c:v>
                </c:pt>
                <c:pt idx="676">
                  <c:v>6/15/2022</c:v>
                </c:pt>
                <c:pt idx="677">
                  <c:v>6/16/2022</c:v>
                </c:pt>
                <c:pt idx="678">
                  <c:v>6/17/2022</c:v>
                </c:pt>
                <c:pt idx="679">
                  <c:v>6/21/2022</c:v>
                </c:pt>
                <c:pt idx="680">
                  <c:v>6/22/2022</c:v>
                </c:pt>
                <c:pt idx="681">
                  <c:v>6/23/2022</c:v>
                </c:pt>
                <c:pt idx="682">
                  <c:v>6/24/2022</c:v>
                </c:pt>
                <c:pt idx="683">
                  <c:v>6/27/2022</c:v>
                </c:pt>
              </c:strCache>
            </c:strRef>
          </c:cat>
          <c:val>
            <c:numRef>
              <c:f>CrudeOilNput!$C$2:$C$685</c:f>
              <c:numCache>
                <c:formatCode>"$"#,##0.00</c:formatCode>
                <c:ptCount val="684"/>
                <c:pt idx="0">
                  <c:v>60.52</c:v>
                </c:pt>
                <c:pt idx="1">
                  <c:v>60.19</c:v>
                </c:pt>
                <c:pt idx="2">
                  <c:v>62</c:v>
                </c:pt>
                <c:pt idx="3">
                  <c:v>62.57</c:v>
                </c:pt>
                <c:pt idx="4">
                  <c:v>62.39</c:v>
                </c:pt>
                <c:pt idx="5">
                  <c:v>62.32</c:v>
                </c:pt>
                <c:pt idx="6">
                  <c:v>61.98</c:v>
                </c:pt>
                <c:pt idx="7">
                  <c:v>62.26</c:v>
                </c:pt>
                <c:pt idx="8">
                  <c:v>62.82</c:v>
                </c:pt>
                <c:pt idx="9">
                  <c:v>62.48</c:v>
                </c:pt>
                <c:pt idx="10">
                  <c:v>63</c:v>
                </c:pt>
                <c:pt idx="11">
                  <c:v>63.12</c:v>
                </c:pt>
                <c:pt idx="12">
                  <c:v>63.44</c:v>
                </c:pt>
                <c:pt idx="13">
                  <c:v>62.51</c:v>
                </c:pt>
                <c:pt idx="14">
                  <c:v>62.22</c:v>
                </c:pt>
                <c:pt idx="15">
                  <c:v>63.68</c:v>
                </c:pt>
                <c:pt idx="16">
                  <c:v>64.56</c:v>
                </c:pt>
                <c:pt idx="17">
                  <c:v>64.209999999999994</c:v>
                </c:pt>
                <c:pt idx="18">
                  <c:v>63.92</c:v>
                </c:pt>
                <c:pt idx="19">
                  <c:v>64.400000000000006</c:v>
                </c:pt>
                <c:pt idx="20">
                  <c:v>63.94</c:v>
                </c:pt>
                <c:pt idx="21">
                  <c:v>63.83</c:v>
                </c:pt>
                <c:pt idx="22">
                  <c:v>62.5</c:v>
                </c:pt>
                <c:pt idx="23">
                  <c:v>62.57</c:v>
                </c:pt>
                <c:pt idx="24">
                  <c:v>63.39</c:v>
                </c:pt>
                <c:pt idx="25">
                  <c:v>64.81</c:v>
                </c:pt>
                <c:pt idx="26">
                  <c:v>65.239999999999995</c:v>
                </c:pt>
                <c:pt idx="27">
                  <c:v>65.569999999999993</c:v>
                </c:pt>
                <c:pt idx="28">
                  <c:v>65.66</c:v>
                </c:pt>
                <c:pt idx="29">
                  <c:v>65.38</c:v>
                </c:pt>
                <c:pt idx="30">
                  <c:v>65.81</c:v>
                </c:pt>
                <c:pt idx="31">
                  <c:v>66.760000000000005</c:v>
                </c:pt>
                <c:pt idx="32">
                  <c:v>67.22</c:v>
                </c:pt>
                <c:pt idx="33">
                  <c:v>67.48</c:v>
                </c:pt>
                <c:pt idx="34">
                  <c:v>67.77</c:v>
                </c:pt>
                <c:pt idx="35">
                  <c:v>67.930000000000007</c:v>
                </c:pt>
                <c:pt idx="36">
                  <c:v>68</c:v>
                </c:pt>
                <c:pt idx="37">
                  <c:v>67.58</c:v>
                </c:pt>
                <c:pt idx="38">
                  <c:v>67.989999999999995</c:v>
                </c:pt>
                <c:pt idx="39">
                  <c:v>68.48</c:v>
                </c:pt>
                <c:pt idx="40">
                  <c:v>69.069999999999993</c:v>
                </c:pt>
                <c:pt idx="41">
                  <c:v>68.89</c:v>
                </c:pt>
                <c:pt idx="42">
                  <c:v>67.959999999999994</c:v>
                </c:pt>
                <c:pt idx="43">
                  <c:v>67.12</c:v>
                </c:pt>
                <c:pt idx="44">
                  <c:v>69.38</c:v>
                </c:pt>
                <c:pt idx="45">
                  <c:v>70.87</c:v>
                </c:pt>
                <c:pt idx="46">
                  <c:v>69.599999999999994</c:v>
                </c:pt>
                <c:pt idx="47">
                  <c:v>69.58</c:v>
                </c:pt>
                <c:pt idx="48">
                  <c:v>67.239999999999995</c:v>
                </c:pt>
                <c:pt idx="49">
                  <c:v>67.02</c:v>
                </c:pt>
                <c:pt idx="50">
                  <c:v>66.069999999999993</c:v>
                </c:pt>
                <c:pt idx="51">
                  <c:v>65.63</c:v>
                </c:pt>
                <c:pt idx="52">
                  <c:v>65.319999999999993</c:v>
                </c:pt>
                <c:pt idx="53">
                  <c:v>65.62</c:v>
                </c:pt>
                <c:pt idx="54">
                  <c:v>65.58</c:v>
                </c:pt>
                <c:pt idx="55">
                  <c:v>66.11</c:v>
                </c:pt>
                <c:pt idx="56">
                  <c:v>65.260000000000005</c:v>
                </c:pt>
                <c:pt idx="57">
                  <c:v>64.66</c:v>
                </c:pt>
                <c:pt idx="58">
                  <c:v>63.26</c:v>
                </c:pt>
                <c:pt idx="59">
                  <c:v>62.52</c:v>
                </c:pt>
                <c:pt idx="60">
                  <c:v>61.98</c:v>
                </c:pt>
                <c:pt idx="61">
                  <c:v>60.67</c:v>
                </c:pt>
                <c:pt idx="62">
                  <c:v>61.04</c:v>
                </c:pt>
                <c:pt idx="63">
                  <c:v>58.8</c:v>
                </c:pt>
                <c:pt idx="64">
                  <c:v>58.94</c:v>
                </c:pt>
                <c:pt idx="65">
                  <c:v>55.53</c:v>
                </c:pt>
                <c:pt idx="66">
                  <c:v>54.68</c:v>
                </c:pt>
                <c:pt idx="67">
                  <c:v>55.01</c:v>
                </c:pt>
                <c:pt idx="68">
                  <c:v>55.74</c:v>
                </c:pt>
                <c:pt idx="69">
                  <c:v>55.13</c:v>
                </c:pt>
                <c:pt idx="70">
                  <c:v>54.21</c:v>
                </c:pt>
                <c:pt idx="71">
                  <c:v>54.2</c:v>
                </c:pt>
                <c:pt idx="72">
                  <c:v>55.59</c:v>
                </c:pt>
                <c:pt idx="73">
                  <c:v>55.9</c:v>
                </c:pt>
                <c:pt idx="74">
                  <c:v>56.77</c:v>
                </c:pt>
                <c:pt idx="75">
                  <c:v>57.28</c:v>
                </c:pt>
                <c:pt idx="76">
                  <c:v>56.72</c:v>
                </c:pt>
                <c:pt idx="77">
                  <c:v>58.39</c:v>
                </c:pt>
                <c:pt idx="78">
                  <c:v>58.98</c:v>
                </c:pt>
                <c:pt idx="79">
                  <c:v>58.21</c:v>
                </c:pt>
                <c:pt idx="80">
                  <c:v>56.14</c:v>
                </c:pt>
                <c:pt idx="81">
                  <c:v>55.91</c:v>
                </c:pt>
                <c:pt idx="82">
                  <c:v>54.04</c:v>
                </c:pt>
                <c:pt idx="83">
                  <c:v>51.92</c:v>
                </c:pt>
                <c:pt idx="84">
                  <c:v>50.19</c:v>
                </c:pt>
                <c:pt idx="85">
                  <c:v>51.68</c:v>
                </c:pt>
                <c:pt idx="86">
                  <c:v>52.66</c:v>
                </c:pt>
                <c:pt idx="87">
                  <c:v>52.01</c:v>
                </c:pt>
                <c:pt idx="88">
                  <c:v>51.75</c:v>
                </c:pt>
                <c:pt idx="89">
                  <c:v>48.35</c:v>
                </c:pt>
                <c:pt idx="90">
                  <c:v>34.72</c:v>
                </c:pt>
                <c:pt idx="91">
                  <c:v>35.729999999999997</c:v>
                </c:pt>
                <c:pt idx="92">
                  <c:v>35.56</c:v>
                </c:pt>
                <c:pt idx="93">
                  <c:v>33.270000000000003</c:v>
                </c:pt>
                <c:pt idx="94">
                  <c:v>34.14</c:v>
                </c:pt>
                <c:pt idx="95">
                  <c:v>30.63</c:v>
                </c:pt>
                <c:pt idx="96">
                  <c:v>30.36</c:v>
                </c:pt>
                <c:pt idx="97">
                  <c:v>27.31</c:v>
                </c:pt>
                <c:pt idx="98">
                  <c:v>26.73</c:v>
                </c:pt>
                <c:pt idx="99">
                  <c:v>28.57</c:v>
                </c:pt>
                <c:pt idx="100">
                  <c:v>24.72</c:v>
                </c:pt>
                <c:pt idx="101">
                  <c:v>26.53</c:v>
                </c:pt>
                <c:pt idx="102">
                  <c:v>26.94</c:v>
                </c:pt>
                <c:pt idx="103">
                  <c:v>26.04</c:v>
                </c:pt>
                <c:pt idx="104">
                  <c:v>24.26</c:v>
                </c:pt>
                <c:pt idx="105">
                  <c:v>21.66</c:v>
                </c:pt>
                <c:pt idx="106">
                  <c:v>22.61</c:v>
                </c:pt>
                <c:pt idx="107">
                  <c:v>16.850000000000001</c:v>
                </c:pt>
                <c:pt idx="108">
                  <c:v>18.91</c:v>
                </c:pt>
                <c:pt idx="109">
                  <c:v>23.01</c:v>
                </c:pt>
                <c:pt idx="110">
                  <c:v>23.48</c:v>
                </c:pt>
                <c:pt idx="111">
                  <c:v>22.67</c:v>
                </c:pt>
                <c:pt idx="112">
                  <c:v>21.19</c:v>
                </c:pt>
                <c:pt idx="113">
                  <c:v>21.77</c:v>
                </c:pt>
                <c:pt idx="114">
                  <c:v>21.18</c:v>
                </c:pt>
                <c:pt idx="115">
                  <c:v>19.7</c:v>
                </c:pt>
                <c:pt idx="116">
                  <c:v>17.510000000000002</c:v>
                </c:pt>
                <c:pt idx="117">
                  <c:v>17.73</c:v>
                </c:pt>
                <c:pt idx="118">
                  <c:v>18.170000000000002</c:v>
                </c:pt>
                <c:pt idx="119">
                  <c:v>14.19</c:v>
                </c:pt>
                <c:pt idx="120">
                  <c:v>14.63</c:v>
                </c:pt>
                <c:pt idx="121">
                  <c:v>12.22</c:v>
                </c:pt>
                <c:pt idx="122">
                  <c:v>15.23</c:v>
                </c:pt>
                <c:pt idx="123">
                  <c:v>14.31</c:v>
                </c:pt>
                <c:pt idx="124">
                  <c:v>13.3</c:v>
                </c:pt>
                <c:pt idx="125">
                  <c:v>12.41</c:v>
                </c:pt>
                <c:pt idx="126">
                  <c:v>14.36</c:v>
                </c:pt>
                <c:pt idx="127">
                  <c:v>18.05</c:v>
                </c:pt>
                <c:pt idx="128">
                  <c:v>16.52</c:v>
                </c:pt>
                <c:pt idx="129">
                  <c:v>18.36</c:v>
                </c:pt>
                <c:pt idx="130">
                  <c:v>21.43</c:v>
                </c:pt>
                <c:pt idx="131">
                  <c:v>22.4</c:v>
                </c:pt>
                <c:pt idx="132">
                  <c:v>22.91</c:v>
                </c:pt>
                <c:pt idx="133">
                  <c:v>22.21</c:v>
                </c:pt>
                <c:pt idx="134">
                  <c:v>22.71</c:v>
                </c:pt>
                <c:pt idx="135">
                  <c:v>22.83</c:v>
                </c:pt>
                <c:pt idx="136">
                  <c:v>23.25</c:v>
                </c:pt>
                <c:pt idx="137">
                  <c:v>24.93</c:v>
                </c:pt>
                <c:pt idx="138">
                  <c:v>26.54</c:v>
                </c:pt>
                <c:pt idx="139">
                  <c:v>28.21</c:v>
                </c:pt>
                <c:pt idx="140">
                  <c:v>28.43</c:v>
                </c:pt>
                <c:pt idx="141">
                  <c:v>28.68</c:v>
                </c:pt>
                <c:pt idx="142">
                  <c:v>29.7</c:v>
                </c:pt>
                <c:pt idx="143">
                  <c:v>28.06</c:v>
                </c:pt>
                <c:pt idx="144">
                  <c:v>29.75</c:v>
                </c:pt>
                <c:pt idx="145">
                  <c:v>29.03</c:v>
                </c:pt>
                <c:pt idx="146">
                  <c:v>28.45</c:v>
                </c:pt>
                <c:pt idx="147">
                  <c:v>29.01</c:v>
                </c:pt>
                <c:pt idx="148">
                  <c:v>33.69</c:v>
                </c:pt>
                <c:pt idx="149">
                  <c:v>34.96</c:v>
                </c:pt>
                <c:pt idx="150">
                  <c:v>35.47</c:v>
                </c:pt>
                <c:pt idx="151">
                  <c:v>34.85</c:v>
                </c:pt>
                <c:pt idx="152">
                  <c:v>36.840000000000003</c:v>
                </c:pt>
                <c:pt idx="153">
                  <c:v>38.89</c:v>
                </c:pt>
                <c:pt idx="154">
                  <c:v>37.1</c:v>
                </c:pt>
                <c:pt idx="155">
                  <c:v>37.46</c:v>
                </c:pt>
                <c:pt idx="156">
                  <c:v>36.56</c:v>
                </c:pt>
                <c:pt idx="157">
                  <c:v>35.06</c:v>
                </c:pt>
                <c:pt idx="158">
                  <c:v>35.090000000000003</c:v>
                </c:pt>
                <c:pt idx="159">
                  <c:v>36.75</c:v>
                </c:pt>
                <c:pt idx="160">
                  <c:v>37.590000000000003</c:v>
                </c:pt>
                <c:pt idx="161">
                  <c:v>37.700000000000003</c:v>
                </c:pt>
                <c:pt idx="162">
                  <c:v>39.450000000000003</c:v>
                </c:pt>
                <c:pt idx="163">
                  <c:v>38.96</c:v>
                </c:pt>
                <c:pt idx="164">
                  <c:v>39.85</c:v>
                </c:pt>
                <c:pt idx="165">
                  <c:v>38.17</c:v>
                </c:pt>
                <c:pt idx="166">
                  <c:v>37.18</c:v>
                </c:pt>
                <c:pt idx="167">
                  <c:v>37.99</c:v>
                </c:pt>
                <c:pt idx="168">
                  <c:v>37.340000000000003</c:v>
                </c:pt>
                <c:pt idx="169">
                  <c:v>38.22</c:v>
                </c:pt>
                <c:pt idx="170">
                  <c:v>42.69</c:v>
                </c:pt>
                <c:pt idx="171">
                  <c:v>42.93</c:v>
                </c:pt>
                <c:pt idx="172">
                  <c:v>42.96</c:v>
                </c:pt>
                <c:pt idx="173">
                  <c:v>43.57</c:v>
                </c:pt>
                <c:pt idx="174">
                  <c:v>43.15</c:v>
                </c:pt>
                <c:pt idx="175">
                  <c:v>43.44</c:v>
                </c:pt>
                <c:pt idx="176">
                  <c:v>43.31</c:v>
                </c:pt>
                <c:pt idx="177">
                  <c:v>43.47</c:v>
                </c:pt>
                <c:pt idx="178">
                  <c:v>43.38</c:v>
                </c:pt>
                <c:pt idx="179">
                  <c:v>43.02</c:v>
                </c:pt>
                <c:pt idx="180">
                  <c:v>44.12</c:v>
                </c:pt>
                <c:pt idx="181">
                  <c:v>43.8</c:v>
                </c:pt>
                <c:pt idx="182">
                  <c:v>43.22</c:v>
                </c:pt>
                <c:pt idx="183">
                  <c:v>43.03</c:v>
                </c:pt>
                <c:pt idx="184">
                  <c:v>44.29</c:v>
                </c:pt>
                <c:pt idx="185">
                  <c:v>44.24</c:v>
                </c:pt>
                <c:pt idx="186">
                  <c:v>44.62</c:v>
                </c:pt>
                <c:pt idx="187">
                  <c:v>43.38</c:v>
                </c:pt>
                <c:pt idx="188">
                  <c:v>43.14</c:v>
                </c:pt>
                <c:pt idx="189">
                  <c:v>43.4</c:v>
                </c:pt>
                <c:pt idx="190">
                  <c:v>43.59</c:v>
                </c:pt>
                <c:pt idx="191">
                  <c:v>42.99</c:v>
                </c:pt>
                <c:pt idx="192">
                  <c:v>43.02</c:v>
                </c:pt>
                <c:pt idx="193">
                  <c:v>44.02</c:v>
                </c:pt>
                <c:pt idx="194">
                  <c:v>44.27</c:v>
                </c:pt>
                <c:pt idx="195">
                  <c:v>45.34</c:v>
                </c:pt>
                <c:pt idx="196">
                  <c:v>45.17</c:v>
                </c:pt>
                <c:pt idx="197">
                  <c:v>44.87</c:v>
                </c:pt>
                <c:pt idx="198">
                  <c:v>45.01</c:v>
                </c:pt>
                <c:pt idx="199">
                  <c:v>45.21</c:v>
                </c:pt>
                <c:pt idx="200">
                  <c:v>45.08</c:v>
                </c:pt>
                <c:pt idx="201">
                  <c:v>45.34</c:v>
                </c:pt>
                <c:pt idx="202">
                  <c:v>44.62</c:v>
                </c:pt>
                <c:pt idx="203">
                  <c:v>44.94</c:v>
                </c:pt>
                <c:pt idx="204">
                  <c:v>45.49</c:v>
                </c:pt>
                <c:pt idx="205">
                  <c:v>45.19</c:v>
                </c:pt>
                <c:pt idx="206">
                  <c:v>45.05</c:v>
                </c:pt>
                <c:pt idx="207">
                  <c:v>44.92</c:v>
                </c:pt>
                <c:pt idx="208">
                  <c:v>45.19</c:v>
                </c:pt>
                <c:pt idx="209">
                  <c:v>45.87</c:v>
                </c:pt>
                <c:pt idx="210">
                  <c:v>46.05</c:v>
                </c:pt>
                <c:pt idx="211">
                  <c:v>45.81</c:v>
                </c:pt>
                <c:pt idx="212">
                  <c:v>45.33</c:v>
                </c:pt>
                <c:pt idx="213">
                  <c:v>46.27</c:v>
                </c:pt>
                <c:pt idx="214">
                  <c:v>45.3</c:v>
                </c:pt>
                <c:pt idx="215">
                  <c:v>45.02</c:v>
                </c:pt>
                <c:pt idx="216">
                  <c:v>43.36</c:v>
                </c:pt>
                <c:pt idx="217">
                  <c:v>43.42</c:v>
                </c:pt>
                <c:pt idx="218">
                  <c:v>41.64</c:v>
                </c:pt>
                <c:pt idx="219">
                  <c:v>40.29</c:v>
                </c:pt>
                <c:pt idx="220">
                  <c:v>39.82</c:v>
                </c:pt>
                <c:pt idx="221">
                  <c:v>39.83</c:v>
                </c:pt>
                <c:pt idx="222">
                  <c:v>39.369999999999997</c:v>
                </c:pt>
                <c:pt idx="223">
                  <c:v>38.96</c:v>
                </c:pt>
                <c:pt idx="224">
                  <c:v>39.35</c:v>
                </c:pt>
                <c:pt idx="225">
                  <c:v>41.29</c:v>
                </c:pt>
                <c:pt idx="226">
                  <c:v>42.07</c:v>
                </c:pt>
                <c:pt idx="227">
                  <c:v>42.98</c:v>
                </c:pt>
                <c:pt idx="228">
                  <c:v>41.49</c:v>
                </c:pt>
                <c:pt idx="229">
                  <c:v>41.32</c:v>
                </c:pt>
                <c:pt idx="230">
                  <c:v>41.4</c:v>
                </c:pt>
                <c:pt idx="231">
                  <c:v>41.22</c:v>
                </c:pt>
                <c:pt idx="232">
                  <c:v>41.93</c:v>
                </c:pt>
                <c:pt idx="233">
                  <c:v>41.61</c:v>
                </c:pt>
                <c:pt idx="234">
                  <c:v>41.46</c:v>
                </c:pt>
                <c:pt idx="235">
                  <c:v>40.65</c:v>
                </c:pt>
                <c:pt idx="236">
                  <c:v>39.94</c:v>
                </c:pt>
                <c:pt idx="237">
                  <c:v>38.090000000000003</c:v>
                </c:pt>
                <c:pt idx="238">
                  <c:v>39.07</c:v>
                </c:pt>
                <c:pt idx="239">
                  <c:v>40.33</c:v>
                </c:pt>
                <c:pt idx="240">
                  <c:v>40.450000000000003</c:v>
                </c:pt>
                <c:pt idx="241">
                  <c:v>41.06</c:v>
                </c:pt>
                <c:pt idx="242">
                  <c:v>41.61</c:v>
                </c:pt>
                <c:pt idx="243">
                  <c:v>40.57</c:v>
                </c:pt>
                <c:pt idx="244">
                  <c:v>40.68</c:v>
                </c:pt>
                <c:pt idx="245">
                  <c:v>41.2</c:v>
                </c:pt>
                <c:pt idx="246">
                  <c:v>41.29</c:v>
                </c:pt>
                <c:pt idx="247">
                  <c:v>41.37</c:v>
                </c:pt>
                <c:pt idx="248">
                  <c:v>41.38</c:v>
                </c:pt>
                <c:pt idx="249">
                  <c:v>41.04</c:v>
                </c:pt>
                <c:pt idx="250">
                  <c:v>40.880000000000003</c:v>
                </c:pt>
                <c:pt idx="251">
                  <c:v>40.909999999999997</c:v>
                </c:pt>
                <c:pt idx="252">
                  <c:v>41.05</c:v>
                </c:pt>
                <c:pt idx="253">
                  <c:v>39.22</c:v>
                </c:pt>
                <c:pt idx="254">
                  <c:v>39.53</c:v>
                </c:pt>
                <c:pt idx="255">
                  <c:v>38.42</c:v>
                </c:pt>
                <c:pt idx="256">
                  <c:v>37.119999999999997</c:v>
                </c:pt>
                <c:pt idx="257">
                  <c:v>36.5</c:v>
                </c:pt>
                <c:pt idx="258">
                  <c:v>35.89</c:v>
                </c:pt>
                <c:pt idx="259">
                  <c:v>38.44</c:v>
                </c:pt>
                <c:pt idx="260">
                  <c:v>39.090000000000003</c:v>
                </c:pt>
                <c:pt idx="261">
                  <c:v>39.79</c:v>
                </c:pt>
                <c:pt idx="262">
                  <c:v>39.22</c:v>
                </c:pt>
                <c:pt idx="263">
                  <c:v>39.97</c:v>
                </c:pt>
                <c:pt idx="264">
                  <c:v>41.72</c:v>
                </c:pt>
                <c:pt idx="265">
                  <c:v>43.42</c:v>
                </c:pt>
                <c:pt idx="266">
                  <c:v>42.97</c:v>
                </c:pt>
                <c:pt idx="267">
                  <c:v>42.05</c:v>
                </c:pt>
                <c:pt idx="268">
                  <c:v>42.93</c:v>
                </c:pt>
                <c:pt idx="269">
                  <c:v>42.76</c:v>
                </c:pt>
                <c:pt idx="270">
                  <c:v>43.05</c:v>
                </c:pt>
                <c:pt idx="271">
                  <c:v>43.12</c:v>
                </c:pt>
                <c:pt idx="272">
                  <c:v>43.38</c:v>
                </c:pt>
                <c:pt idx="273">
                  <c:v>44.75</c:v>
                </c:pt>
                <c:pt idx="274">
                  <c:v>45.51</c:v>
                </c:pt>
                <c:pt idx="275">
                  <c:v>46.91</c:v>
                </c:pt>
                <c:pt idx="276">
                  <c:v>46.66</c:v>
                </c:pt>
                <c:pt idx="277">
                  <c:v>46.79</c:v>
                </c:pt>
                <c:pt idx="278">
                  <c:v>46.43</c:v>
                </c:pt>
                <c:pt idx="279">
                  <c:v>46.73</c:v>
                </c:pt>
                <c:pt idx="280">
                  <c:v>46.69</c:v>
                </c:pt>
                <c:pt idx="281">
                  <c:v>47.46</c:v>
                </c:pt>
                <c:pt idx="282">
                  <c:v>48.35</c:v>
                </c:pt>
                <c:pt idx="283">
                  <c:v>47.77</c:v>
                </c:pt>
                <c:pt idx="284">
                  <c:v>47.79</c:v>
                </c:pt>
                <c:pt idx="285">
                  <c:v>48.31</c:v>
                </c:pt>
                <c:pt idx="286">
                  <c:v>48.87</c:v>
                </c:pt>
                <c:pt idx="287">
                  <c:v>49.58</c:v>
                </c:pt>
                <c:pt idx="288">
                  <c:v>49.65</c:v>
                </c:pt>
                <c:pt idx="289">
                  <c:v>49.61</c:v>
                </c:pt>
                <c:pt idx="290">
                  <c:v>50.12</c:v>
                </c:pt>
                <c:pt idx="291">
                  <c:v>50.78</c:v>
                </c:pt>
                <c:pt idx="292">
                  <c:v>50.69</c:v>
                </c:pt>
                <c:pt idx="293">
                  <c:v>49.57</c:v>
                </c:pt>
                <c:pt idx="294">
                  <c:v>49.22</c:v>
                </c:pt>
                <c:pt idx="295">
                  <c:v>49.46</c:v>
                </c:pt>
                <c:pt idx="296">
                  <c:v>50.31</c:v>
                </c:pt>
                <c:pt idx="297">
                  <c:v>50.1</c:v>
                </c:pt>
                <c:pt idx="298">
                  <c:v>50.16</c:v>
                </c:pt>
                <c:pt idx="299">
                  <c:v>50.22</c:v>
                </c:pt>
                <c:pt idx="300">
                  <c:v>50.24</c:v>
                </c:pt>
                <c:pt idx="301">
                  <c:v>51.35</c:v>
                </c:pt>
                <c:pt idx="302">
                  <c:v>50.75</c:v>
                </c:pt>
                <c:pt idx="303">
                  <c:v>53.29</c:v>
                </c:pt>
                <c:pt idx="304">
                  <c:v>53.84</c:v>
                </c:pt>
                <c:pt idx="305">
                  <c:v>54.39</c:v>
                </c:pt>
                <c:pt idx="306">
                  <c:v>54.76</c:v>
                </c:pt>
                <c:pt idx="307">
                  <c:v>55.41</c:v>
                </c:pt>
                <c:pt idx="308">
                  <c:v>55.81</c:v>
                </c:pt>
                <c:pt idx="309">
                  <c:v>55.19</c:v>
                </c:pt>
                <c:pt idx="310">
                  <c:v>54.68</c:v>
                </c:pt>
                <c:pt idx="311">
                  <c:v>53.92</c:v>
                </c:pt>
                <c:pt idx="312">
                  <c:v>54.85</c:v>
                </c:pt>
                <c:pt idx="313">
                  <c:v>55.75</c:v>
                </c:pt>
                <c:pt idx="314">
                  <c:v>55.14</c:v>
                </c:pt>
                <c:pt idx="315">
                  <c:v>54.69</c:v>
                </c:pt>
                <c:pt idx="316">
                  <c:v>54.85</c:v>
                </c:pt>
                <c:pt idx="317">
                  <c:v>54.87</c:v>
                </c:pt>
                <c:pt idx="318">
                  <c:v>55.31</c:v>
                </c:pt>
                <c:pt idx="319">
                  <c:v>54.36</c:v>
                </c:pt>
                <c:pt idx="320">
                  <c:v>54.41</c:v>
                </c:pt>
                <c:pt idx="321">
                  <c:v>55.14</c:v>
                </c:pt>
                <c:pt idx="322">
                  <c:v>56.82</c:v>
                </c:pt>
                <c:pt idx="323">
                  <c:v>57.74</c:v>
                </c:pt>
                <c:pt idx="324">
                  <c:v>58.26</c:v>
                </c:pt>
                <c:pt idx="325">
                  <c:v>58.94</c:v>
                </c:pt>
                <c:pt idx="326">
                  <c:v>59.59</c:v>
                </c:pt>
                <c:pt idx="327">
                  <c:v>60.3</c:v>
                </c:pt>
                <c:pt idx="328">
                  <c:v>60.47</c:v>
                </c:pt>
                <c:pt idx="329">
                  <c:v>60.55</c:v>
                </c:pt>
                <c:pt idx="330">
                  <c:v>60.79</c:v>
                </c:pt>
                <c:pt idx="331">
                  <c:v>62.61</c:v>
                </c:pt>
                <c:pt idx="332">
                  <c:v>62.49</c:v>
                </c:pt>
                <c:pt idx="333">
                  <c:v>63.06</c:v>
                </c:pt>
                <c:pt idx="334">
                  <c:v>63.44</c:v>
                </c:pt>
                <c:pt idx="335">
                  <c:v>61.32</c:v>
                </c:pt>
                <c:pt idx="336">
                  <c:v>62.01</c:v>
                </c:pt>
                <c:pt idx="337">
                  <c:v>63.73</c:v>
                </c:pt>
                <c:pt idx="338">
                  <c:v>64</c:v>
                </c:pt>
                <c:pt idx="339">
                  <c:v>65.42</c:v>
                </c:pt>
                <c:pt idx="340">
                  <c:v>64.37</c:v>
                </c:pt>
                <c:pt idx="341">
                  <c:v>64.209999999999994</c:v>
                </c:pt>
                <c:pt idx="342">
                  <c:v>61.94</c:v>
                </c:pt>
                <c:pt idx="343">
                  <c:v>62.12</c:v>
                </c:pt>
                <c:pt idx="344">
                  <c:v>64.23</c:v>
                </c:pt>
                <c:pt idx="345">
                  <c:v>67.03</c:v>
                </c:pt>
                <c:pt idx="346">
                  <c:v>68.17</c:v>
                </c:pt>
                <c:pt idx="347">
                  <c:v>66.38</c:v>
                </c:pt>
                <c:pt idx="348">
                  <c:v>65.599999999999994</c:v>
                </c:pt>
                <c:pt idx="349">
                  <c:v>67.39</c:v>
                </c:pt>
                <c:pt idx="350">
                  <c:v>68.14</c:v>
                </c:pt>
                <c:pt idx="351">
                  <c:v>68.180000000000007</c:v>
                </c:pt>
                <c:pt idx="352">
                  <c:v>66.89</c:v>
                </c:pt>
                <c:pt idx="353">
                  <c:v>66.760000000000005</c:v>
                </c:pt>
                <c:pt idx="354">
                  <c:v>64.790000000000006</c:v>
                </c:pt>
                <c:pt idx="355">
                  <c:v>62.47</c:v>
                </c:pt>
                <c:pt idx="356">
                  <c:v>63.22</c:v>
                </c:pt>
                <c:pt idx="357">
                  <c:v>62.27</c:v>
                </c:pt>
                <c:pt idx="358">
                  <c:v>61.61</c:v>
                </c:pt>
                <c:pt idx="359">
                  <c:v>61.63</c:v>
                </c:pt>
                <c:pt idx="360">
                  <c:v>62.56</c:v>
                </c:pt>
                <c:pt idx="361">
                  <c:v>62.86</c:v>
                </c:pt>
                <c:pt idx="362">
                  <c:v>63.37</c:v>
                </c:pt>
                <c:pt idx="363">
                  <c:v>63.07</c:v>
                </c:pt>
                <c:pt idx="364">
                  <c:v>61.75</c:v>
                </c:pt>
                <c:pt idx="365">
                  <c:v>61.68</c:v>
                </c:pt>
                <c:pt idx="366">
                  <c:v>61.31</c:v>
                </c:pt>
                <c:pt idx="367">
                  <c:v>60.67</c:v>
                </c:pt>
                <c:pt idx="368">
                  <c:v>61.2</c:v>
                </c:pt>
                <c:pt idx="369">
                  <c:v>61.12</c:v>
                </c:pt>
                <c:pt idx="370">
                  <c:v>61.44</c:v>
                </c:pt>
                <c:pt idx="371">
                  <c:v>61.85</c:v>
                </c:pt>
                <c:pt idx="372">
                  <c:v>63.39</c:v>
                </c:pt>
                <c:pt idx="373">
                  <c:v>64.48</c:v>
                </c:pt>
                <c:pt idx="374">
                  <c:v>65.209999999999994</c:v>
                </c:pt>
                <c:pt idx="375">
                  <c:v>65.099999999999994</c:v>
                </c:pt>
                <c:pt idx="376">
                  <c:v>65.36</c:v>
                </c:pt>
                <c:pt idx="377">
                  <c:v>64.02</c:v>
                </c:pt>
                <c:pt idx="378">
                  <c:v>63.06</c:v>
                </c:pt>
                <c:pt idx="379">
                  <c:v>63.63</c:v>
                </c:pt>
                <c:pt idx="380">
                  <c:v>63.22</c:v>
                </c:pt>
                <c:pt idx="381">
                  <c:v>63.91</c:v>
                </c:pt>
                <c:pt idx="382">
                  <c:v>64.53</c:v>
                </c:pt>
                <c:pt idx="383">
                  <c:v>65.709999999999994</c:v>
                </c:pt>
                <c:pt idx="384">
                  <c:v>65.42</c:v>
                </c:pt>
                <c:pt idx="385">
                  <c:v>65.09</c:v>
                </c:pt>
                <c:pt idx="386">
                  <c:v>66.67</c:v>
                </c:pt>
                <c:pt idx="387">
                  <c:v>68.2</c:v>
                </c:pt>
                <c:pt idx="388">
                  <c:v>67.489999999999995</c:v>
                </c:pt>
                <c:pt idx="389">
                  <c:v>66.569999999999993</c:v>
                </c:pt>
                <c:pt idx="390">
                  <c:v>67.099999999999994</c:v>
                </c:pt>
                <c:pt idx="391">
                  <c:v>66.39</c:v>
                </c:pt>
                <c:pt idx="392">
                  <c:v>67.459999999999994</c:v>
                </c:pt>
                <c:pt idx="393">
                  <c:v>66.78</c:v>
                </c:pt>
                <c:pt idx="394">
                  <c:v>66.16</c:v>
                </c:pt>
                <c:pt idx="395">
                  <c:v>67.52</c:v>
                </c:pt>
                <c:pt idx="396">
                  <c:v>68.39</c:v>
                </c:pt>
                <c:pt idx="397">
                  <c:v>65.95</c:v>
                </c:pt>
                <c:pt idx="398">
                  <c:v>65.290000000000006</c:v>
                </c:pt>
                <c:pt idx="399">
                  <c:v>64.180000000000007</c:v>
                </c:pt>
                <c:pt idx="400">
                  <c:v>66.930000000000007</c:v>
                </c:pt>
                <c:pt idx="401">
                  <c:v>67.41</c:v>
                </c:pt>
                <c:pt idx="402">
                  <c:v>67.47</c:v>
                </c:pt>
                <c:pt idx="403">
                  <c:v>67.319999999999993</c:v>
                </c:pt>
                <c:pt idx="404">
                  <c:v>68.2</c:v>
                </c:pt>
                <c:pt idx="405">
                  <c:v>68.53</c:v>
                </c:pt>
                <c:pt idx="406">
                  <c:v>69.03</c:v>
                </c:pt>
                <c:pt idx="407">
                  <c:v>69.39</c:v>
                </c:pt>
                <c:pt idx="408">
                  <c:v>69.91</c:v>
                </c:pt>
                <c:pt idx="409">
                  <c:v>70.23</c:v>
                </c:pt>
                <c:pt idx="410">
                  <c:v>70.150000000000006</c:v>
                </c:pt>
                <c:pt idx="411">
                  <c:v>69.83</c:v>
                </c:pt>
                <c:pt idx="412">
                  <c:v>71.209999999999994</c:v>
                </c:pt>
                <c:pt idx="413">
                  <c:v>70.900000000000006</c:v>
                </c:pt>
                <c:pt idx="414">
                  <c:v>71.31</c:v>
                </c:pt>
                <c:pt idx="415">
                  <c:v>71.989999999999995</c:v>
                </c:pt>
                <c:pt idx="416">
                  <c:v>72.05</c:v>
                </c:pt>
                <c:pt idx="417">
                  <c:v>73.16</c:v>
                </c:pt>
                <c:pt idx="418">
                  <c:v>72.290000000000006</c:v>
                </c:pt>
                <c:pt idx="419">
                  <c:v>71.56</c:v>
                </c:pt>
                <c:pt idx="420">
                  <c:v>72.45</c:v>
                </c:pt>
                <c:pt idx="421">
                  <c:v>73.13</c:v>
                </c:pt>
                <c:pt idx="422">
                  <c:v>74.010000000000005</c:v>
                </c:pt>
                <c:pt idx="423">
                  <c:v>74.09</c:v>
                </c:pt>
                <c:pt idx="424">
                  <c:v>74.19</c:v>
                </c:pt>
                <c:pt idx="425">
                  <c:v>73.84</c:v>
                </c:pt>
                <c:pt idx="426">
                  <c:v>73.34</c:v>
                </c:pt>
                <c:pt idx="427">
                  <c:v>73.599999999999994</c:v>
                </c:pt>
                <c:pt idx="428">
                  <c:v>74.87</c:v>
                </c:pt>
                <c:pt idx="429">
                  <c:v>75.209999999999994</c:v>
                </c:pt>
                <c:pt idx="430">
                  <c:v>75.709999999999994</c:v>
                </c:pt>
                <c:pt idx="431">
                  <c:v>75.94</c:v>
                </c:pt>
                <c:pt idx="432">
                  <c:v>73.58</c:v>
                </c:pt>
                <c:pt idx="433">
                  <c:v>71.97</c:v>
                </c:pt>
                <c:pt idx="434">
                  <c:v>74.180000000000007</c:v>
                </c:pt>
                <c:pt idx="435">
                  <c:v>74.33</c:v>
                </c:pt>
                <c:pt idx="436">
                  <c:v>75.13</c:v>
                </c:pt>
                <c:pt idx="437">
                  <c:v>75.290000000000006</c:v>
                </c:pt>
                <c:pt idx="438">
                  <c:v>73.150000000000006</c:v>
                </c:pt>
                <c:pt idx="439">
                  <c:v>72.84</c:v>
                </c:pt>
                <c:pt idx="440">
                  <c:v>70.540000000000006</c:v>
                </c:pt>
                <c:pt idx="441">
                  <c:v>70.5</c:v>
                </c:pt>
                <c:pt idx="442">
                  <c:v>69.930000000000007</c:v>
                </c:pt>
                <c:pt idx="443">
                  <c:v>72.09</c:v>
                </c:pt>
                <c:pt idx="444">
                  <c:v>73.03</c:v>
                </c:pt>
                <c:pt idx="445">
                  <c:v>72.680000000000007</c:v>
                </c:pt>
                <c:pt idx="446">
                  <c:v>73.62</c:v>
                </c:pt>
                <c:pt idx="447">
                  <c:v>73.569999999999993</c:v>
                </c:pt>
                <c:pt idx="448">
                  <c:v>74.42</c:v>
                </c:pt>
                <c:pt idx="449">
                  <c:v>74.98</c:v>
                </c:pt>
                <c:pt idx="450">
                  <c:v>73.89</c:v>
                </c:pt>
                <c:pt idx="451">
                  <c:v>72.709999999999994</c:v>
                </c:pt>
                <c:pt idx="452">
                  <c:v>71.83</c:v>
                </c:pt>
                <c:pt idx="453">
                  <c:v>70.34</c:v>
                </c:pt>
                <c:pt idx="454">
                  <c:v>71.3</c:v>
                </c:pt>
                <c:pt idx="455">
                  <c:v>70.66</c:v>
                </c:pt>
                <c:pt idx="456">
                  <c:v>70.13</c:v>
                </c:pt>
                <c:pt idx="457">
                  <c:v>70.52</c:v>
                </c:pt>
                <c:pt idx="458">
                  <c:v>71.319999999999993</c:v>
                </c:pt>
                <c:pt idx="459">
                  <c:v>70.900000000000006</c:v>
                </c:pt>
                <c:pt idx="460">
                  <c:v>69.650000000000006</c:v>
                </c:pt>
                <c:pt idx="461">
                  <c:v>69.400000000000006</c:v>
                </c:pt>
                <c:pt idx="462">
                  <c:v>69.319999999999993</c:v>
                </c:pt>
                <c:pt idx="463">
                  <c:v>66.08</c:v>
                </c:pt>
                <c:pt idx="464">
                  <c:v>66.13</c:v>
                </c:pt>
                <c:pt idx="465">
                  <c:v>67.33</c:v>
                </c:pt>
                <c:pt idx="466">
                  <c:v>69.709999999999994</c:v>
                </c:pt>
                <c:pt idx="467">
                  <c:v>70.59</c:v>
                </c:pt>
                <c:pt idx="468">
                  <c:v>70.75</c:v>
                </c:pt>
                <c:pt idx="469">
                  <c:v>71.48</c:v>
                </c:pt>
                <c:pt idx="470">
                  <c:v>71.88</c:v>
                </c:pt>
                <c:pt idx="471">
                  <c:v>71.430000000000007</c:v>
                </c:pt>
                <c:pt idx="472">
                  <c:v>71.25</c:v>
                </c:pt>
                <c:pt idx="473">
                  <c:v>71.63</c:v>
                </c:pt>
                <c:pt idx="474">
                  <c:v>72.56</c:v>
                </c:pt>
                <c:pt idx="475">
                  <c:v>71.290000000000006</c:v>
                </c:pt>
                <c:pt idx="476">
                  <c:v>71.34</c:v>
                </c:pt>
                <c:pt idx="477">
                  <c:v>71.17</c:v>
                </c:pt>
                <c:pt idx="478">
                  <c:v>71.819999999999993</c:v>
                </c:pt>
                <c:pt idx="479">
                  <c:v>71.98</c:v>
                </c:pt>
                <c:pt idx="480">
                  <c:v>72.77</c:v>
                </c:pt>
                <c:pt idx="481">
                  <c:v>73.290000000000006</c:v>
                </c:pt>
                <c:pt idx="482">
                  <c:v>73.78</c:v>
                </c:pt>
                <c:pt idx="483">
                  <c:v>74.17</c:v>
                </c:pt>
                <c:pt idx="484">
                  <c:v>74.14</c:v>
                </c:pt>
                <c:pt idx="485">
                  <c:v>73.47</c:v>
                </c:pt>
                <c:pt idx="486">
                  <c:v>73.680000000000007</c:v>
                </c:pt>
                <c:pt idx="487">
                  <c:v>74.459999999999994</c:v>
                </c:pt>
                <c:pt idx="488">
                  <c:v>75.44</c:v>
                </c:pt>
                <c:pt idx="489">
                  <c:v>76.209999999999994</c:v>
                </c:pt>
                <c:pt idx="490">
                  <c:v>77.73</c:v>
                </c:pt>
                <c:pt idx="491">
                  <c:v>78.37</c:v>
                </c:pt>
                <c:pt idx="492">
                  <c:v>77.13</c:v>
                </c:pt>
                <c:pt idx="493">
                  <c:v>77.72</c:v>
                </c:pt>
                <c:pt idx="494">
                  <c:v>76.36</c:v>
                </c:pt>
                <c:pt idx="495">
                  <c:v>78.260000000000005</c:v>
                </c:pt>
                <c:pt idx="496">
                  <c:v>80.44</c:v>
                </c:pt>
                <c:pt idx="497">
                  <c:v>80.63</c:v>
                </c:pt>
                <c:pt idx="498">
                  <c:v>78.58</c:v>
                </c:pt>
                <c:pt idx="499">
                  <c:v>81.540000000000006</c:v>
                </c:pt>
                <c:pt idx="500">
                  <c:v>82.53</c:v>
                </c:pt>
                <c:pt idx="501">
                  <c:v>82.37</c:v>
                </c:pt>
                <c:pt idx="502">
                  <c:v>81.790000000000006</c:v>
                </c:pt>
                <c:pt idx="503">
                  <c:v>82.5</c:v>
                </c:pt>
                <c:pt idx="504">
                  <c:v>83.54</c:v>
                </c:pt>
                <c:pt idx="505">
                  <c:v>84.04</c:v>
                </c:pt>
                <c:pt idx="506">
                  <c:v>83.48</c:v>
                </c:pt>
                <c:pt idx="507">
                  <c:v>83.3</c:v>
                </c:pt>
                <c:pt idx="508">
                  <c:v>83.36</c:v>
                </c:pt>
                <c:pt idx="509">
                  <c:v>83.4</c:v>
                </c:pt>
                <c:pt idx="510">
                  <c:v>84.66</c:v>
                </c:pt>
                <c:pt idx="511">
                  <c:v>84.52</c:v>
                </c:pt>
                <c:pt idx="512">
                  <c:v>83.72</c:v>
                </c:pt>
                <c:pt idx="513">
                  <c:v>82.41</c:v>
                </c:pt>
                <c:pt idx="514">
                  <c:v>82.87</c:v>
                </c:pt>
                <c:pt idx="515">
                  <c:v>82.55</c:v>
                </c:pt>
                <c:pt idx="516">
                  <c:v>83.43</c:v>
                </c:pt>
                <c:pt idx="517">
                  <c:v>81.64</c:v>
                </c:pt>
                <c:pt idx="518">
                  <c:v>81.48</c:v>
                </c:pt>
                <c:pt idx="519">
                  <c:v>80.16</c:v>
                </c:pt>
                <c:pt idx="520">
                  <c:v>82.39</c:v>
                </c:pt>
                <c:pt idx="521">
                  <c:v>82.7</c:v>
                </c:pt>
                <c:pt idx="522">
                  <c:v>83.75</c:v>
                </c:pt>
                <c:pt idx="523">
                  <c:v>81.99</c:v>
                </c:pt>
                <c:pt idx="524">
                  <c:v>81.7</c:v>
                </c:pt>
                <c:pt idx="525">
                  <c:v>80.900000000000006</c:v>
                </c:pt>
                <c:pt idx="526">
                  <c:v>82.01</c:v>
                </c:pt>
                <c:pt idx="527">
                  <c:v>81.099999999999994</c:v>
                </c:pt>
                <c:pt idx="528">
                  <c:v>79.37</c:v>
                </c:pt>
                <c:pt idx="529">
                  <c:v>80.319999999999993</c:v>
                </c:pt>
                <c:pt idx="530">
                  <c:v>78.900000000000006</c:v>
                </c:pt>
                <c:pt idx="531">
                  <c:v>79.400000000000006</c:v>
                </c:pt>
                <c:pt idx="532">
                  <c:v>81.75</c:v>
                </c:pt>
                <c:pt idx="533">
                  <c:v>81.31</c:v>
                </c:pt>
                <c:pt idx="534">
                  <c:v>76.09</c:v>
                </c:pt>
                <c:pt idx="535">
                  <c:v>74.2</c:v>
                </c:pt>
                <c:pt idx="536">
                  <c:v>71.010000000000005</c:v>
                </c:pt>
                <c:pt idx="537">
                  <c:v>71.67</c:v>
                </c:pt>
                <c:pt idx="538">
                  <c:v>70.069999999999993</c:v>
                </c:pt>
                <c:pt idx="539">
                  <c:v>71.650000000000006</c:v>
                </c:pt>
                <c:pt idx="540">
                  <c:v>71.45</c:v>
                </c:pt>
                <c:pt idx="541">
                  <c:v>74.650000000000006</c:v>
                </c:pt>
                <c:pt idx="542">
                  <c:v>75.13</c:v>
                </c:pt>
                <c:pt idx="543">
                  <c:v>75.41</c:v>
                </c:pt>
                <c:pt idx="544">
                  <c:v>74.069999999999993</c:v>
                </c:pt>
                <c:pt idx="545">
                  <c:v>75.040000000000006</c:v>
                </c:pt>
                <c:pt idx="546">
                  <c:v>74.28</c:v>
                </c:pt>
                <c:pt idx="547">
                  <c:v>73.12</c:v>
                </c:pt>
                <c:pt idx="548">
                  <c:v>74.66</c:v>
                </c:pt>
                <c:pt idx="549">
                  <c:v>74.23</c:v>
                </c:pt>
                <c:pt idx="550">
                  <c:v>70.94</c:v>
                </c:pt>
                <c:pt idx="551">
                  <c:v>72.180000000000007</c:v>
                </c:pt>
                <c:pt idx="552">
                  <c:v>73.989999999999995</c:v>
                </c:pt>
                <c:pt idx="553">
                  <c:v>75.16</c:v>
                </c:pt>
                <c:pt idx="554">
                  <c:v>75.5</c:v>
                </c:pt>
                <c:pt idx="555">
                  <c:v>75.63</c:v>
                </c:pt>
                <c:pt idx="556">
                  <c:v>77.39</c:v>
                </c:pt>
                <c:pt idx="557">
                  <c:v>78.17</c:v>
                </c:pt>
                <c:pt idx="558">
                  <c:v>78.33</c:v>
                </c:pt>
                <c:pt idx="559">
                  <c:v>77.97</c:v>
                </c:pt>
                <c:pt idx="560">
                  <c:v>77.86</c:v>
                </c:pt>
                <c:pt idx="561">
                  <c:v>78.78</c:v>
                </c:pt>
                <c:pt idx="562">
                  <c:v>79.92</c:v>
                </c:pt>
                <c:pt idx="563">
                  <c:v>80.650000000000006</c:v>
                </c:pt>
                <c:pt idx="564">
                  <c:v>82</c:v>
                </c:pt>
                <c:pt idx="565">
                  <c:v>81.599999999999994</c:v>
                </c:pt>
                <c:pt idx="566">
                  <c:v>81.97</c:v>
                </c:pt>
                <c:pt idx="567">
                  <c:v>84.19</c:v>
                </c:pt>
                <c:pt idx="568">
                  <c:v>84.56</c:v>
                </c:pt>
                <c:pt idx="569">
                  <c:v>85.3</c:v>
                </c:pt>
                <c:pt idx="570">
                  <c:v>86.38</c:v>
                </c:pt>
                <c:pt idx="571">
                  <c:v>87.93</c:v>
                </c:pt>
                <c:pt idx="572">
                  <c:v>88.33</c:v>
                </c:pt>
                <c:pt idx="573">
                  <c:v>88.39</c:v>
                </c:pt>
                <c:pt idx="574">
                  <c:v>87.3</c:v>
                </c:pt>
                <c:pt idx="575">
                  <c:v>87.83</c:v>
                </c:pt>
                <c:pt idx="576">
                  <c:v>87.19</c:v>
                </c:pt>
                <c:pt idx="577">
                  <c:v>89.18</c:v>
                </c:pt>
                <c:pt idx="578">
                  <c:v>90.04</c:v>
                </c:pt>
                <c:pt idx="579">
                  <c:v>89.97</c:v>
                </c:pt>
                <c:pt idx="580">
                  <c:v>90.73</c:v>
                </c:pt>
                <c:pt idx="581">
                  <c:v>90.22</c:v>
                </c:pt>
                <c:pt idx="582">
                  <c:v>89.94</c:v>
                </c:pt>
                <c:pt idx="583">
                  <c:v>89.73</c:v>
                </c:pt>
                <c:pt idx="584">
                  <c:v>92.59</c:v>
                </c:pt>
                <c:pt idx="585">
                  <c:v>93.18</c:v>
                </c:pt>
                <c:pt idx="586">
                  <c:v>91.92</c:v>
                </c:pt>
                <c:pt idx="587">
                  <c:v>91.59</c:v>
                </c:pt>
                <c:pt idx="588">
                  <c:v>92.62</c:v>
                </c:pt>
                <c:pt idx="589">
                  <c:v>92.61</c:v>
                </c:pt>
                <c:pt idx="590">
                  <c:v>94.92</c:v>
                </c:pt>
                <c:pt idx="591">
                  <c:v>94.48</c:v>
                </c:pt>
                <c:pt idx="592">
                  <c:v>95.07</c:v>
                </c:pt>
                <c:pt idx="593">
                  <c:v>93.78</c:v>
                </c:pt>
                <c:pt idx="594">
                  <c:v>92.55</c:v>
                </c:pt>
                <c:pt idx="595">
                  <c:v>94.04</c:v>
                </c:pt>
                <c:pt idx="596">
                  <c:v>97.68</c:v>
                </c:pt>
                <c:pt idx="597">
                  <c:v>95.84</c:v>
                </c:pt>
                <c:pt idx="598">
                  <c:v>100.95</c:v>
                </c:pt>
                <c:pt idx="599">
                  <c:v>96.41</c:v>
                </c:pt>
                <c:pt idx="600">
                  <c:v>98.96</c:v>
                </c:pt>
                <c:pt idx="601">
                  <c:v>103.7</c:v>
                </c:pt>
                <c:pt idx="602">
                  <c:v>112.01</c:v>
                </c:pt>
                <c:pt idx="603">
                  <c:v>116.87</c:v>
                </c:pt>
                <c:pt idx="604">
                  <c:v>112.96</c:v>
                </c:pt>
                <c:pt idx="605">
                  <c:v>126.32</c:v>
                </c:pt>
                <c:pt idx="606">
                  <c:v>127.74</c:v>
                </c:pt>
                <c:pt idx="607">
                  <c:v>128.27000000000001</c:v>
                </c:pt>
                <c:pt idx="608">
                  <c:v>117.04</c:v>
                </c:pt>
                <c:pt idx="609">
                  <c:v>113.1</c:v>
                </c:pt>
                <c:pt idx="610">
                  <c:v>110.48</c:v>
                </c:pt>
                <c:pt idx="611">
                  <c:v>102.67</c:v>
                </c:pt>
                <c:pt idx="612">
                  <c:v>103.87</c:v>
                </c:pt>
                <c:pt idx="613">
                  <c:v>104.77</c:v>
                </c:pt>
                <c:pt idx="614">
                  <c:v>108.93</c:v>
                </c:pt>
                <c:pt idx="615">
                  <c:v>113.65</c:v>
                </c:pt>
                <c:pt idx="616">
                  <c:v>114.44</c:v>
                </c:pt>
                <c:pt idx="617">
                  <c:v>116.79</c:v>
                </c:pt>
                <c:pt idx="618">
                  <c:v>118.72</c:v>
                </c:pt>
                <c:pt idx="619">
                  <c:v>115.99</c:v>
                </c:pt>
                <c:pt idx="620">
                  <c:v>113.39</c:v>
                </c:pt>
                <c:pt idx="621">
                  <c:v>110.05</c:v>
                </c:pt>
                <c:pt idx="622">
                  <c:v>110.46</c:v>
                </c:pt>
                <c:pt idx="623">
                  <c:v>107.74</c:v>
                </c:pt>
                <c:pt idx="624">
                  <c:v>104.93</c:v>
                </c:pt>
                <c:pt idx="625">
                  <c:v>106.26</c:v>
                </c:pt>
                <c:pt idx="626">
                  <c:v>108.08</c:v>
                </c:pt>
                <c:pt idx="627">
                  <c:v>106.17</c:v>
                </c:pt>
                <c:pt idx="628">
                  <c:v>100.16</c:v>
                </c:pt>
                <c:pt idx="629">
                  <c:v>101.06</c:v>
                </c:pt>
                <c:pt idx="630">
                  <c:v>100.08</c:v>
                </c:pt>
                <c:pt idx="631">
                  <c:v>102.41</c:v>
                </c:pt>
                <c:pt idx="632">
                  <c:v>106.07</c:v>
                </c:pt>
                <c:pt idx="633">
                  <c:v>108.52</c:v>
                </c:pt>
                <c:pt idx="634">
                  <c:v>110.54</c:v>
                </c:pt>
                <c:pt idx="635">
                  <c:v>110.52</c:v>
                </c:pt>
                <c:pt idx="636">
                  <c:v>107.97</c:v>
                </c:pt>
                <c:pt idx="637">
                  <c:v>108.81</c:v>
                </c:pt>
                <c:pt idx="638">
                  <c:v>107.66</c:v>
                </c:pt>
                <c:pt idx="639">
                  <c:v>101.93</c:v>
                </c:pt>
                <c:pt idx="640">
                  <c:v>102.94</c:v>
                </c:pt>
                <c:pt idx="641">
                  <c:v>105.33</c:v>
                </c:pt>
                <c:pt idx="642">
                  <c:v>105.3</c:v>
                </c:pt>
                <c:pt idx="643">
                  <c:v>107.99</c:v>
                </c:pt>
                <c:pt idx="644">
                  <c:v>110.09</c:v>
                </c:pt>
                <c:pt idx="645">
                  <c:v>109.7</c:v>
                </c:pt>
                <c:pt idx="646">
                  <c:v>110.73</c:v>
                </c:pt>
                <c:pt idx="647">
                  <c:v>112.94</c:v>
                </c:pt>
                <c:pt idx="648">
                  <c:v>114.27</c:v>
                </c:pt>
                <c:pt idx="649">
                  <c:v>112.38</c:v>
                </c:pt>
                <c:pt idx="650">
                  <c:v>108.08</c:v>
                </c:pt>
                <c:pt idx="651">
                  <c:v>108.92</c:v>
                </c:pt>
                <c:pt idx="652">
                  <c:v>109.2</c:v>
                </c:pt>
                <c:pt idx="653">
                  <c:v>112.27</c:v>
                </c:pt>
                <c:pt idx="654">
                  <c:v>112.98</c:v>
                </c:pt>
                <c:pt idx="655">
                  <c:v>117.1</c:v>
                </c:pt>
                <c:pt idx="656">
                  <c:v>114.84</c:v>
                </c:pt>
                <c:pt idx="657">
                  <c:v>111.94</c:v>
                </c:pt>
                <c:pt idx="658">
                  <c:v>114.69</c:v>
                </c:pt>
                <c:pt idx="659">
                  <c:v>115.95</c:v>
                </c:pt>
                <c:pt idx="660">
                  <c:v>114.96</c:v>
                </c:pt>
                <c:pt idx="661">
                  <c:v>115.83</c:v>
                </c:pt>
                <c:pt idx="662">
                  <c:v>116.5</c:v>
                </c:pt>
                <c:pt idx="663">
                  <c:v>118.84</c:v>
                </c:pt>
                <c:pt idx="664">
                  <c:v>120.01</c:v>
                </c:pt>
                <c:pt idx="665">
                  <c:v>122.94</c:v>
                </c:pt>
                <c:pt idx="666">
                  <c:v>117.07</c:v>
                </c:pt>
                <c:pt idx="667">
                  <c:v>114.62</c:v>
                </c:pt>
                <c:pt idx="668">
                  <c:v>117.15</c:v>
                </c:pt>
                <c:pt idx="669">
                  <c:v>119.85</c:v>
                </c:pt>
                <c:pt idx="670">
                  <c:v>120.16</c:v>
                </c:pt>
                <c:pt idx="671">
                  <c:v>121.54</c:v>
                </c:pt>
                <c:pt idx="672">
                  <c:v>123.21</c:v>
                </c:pt>
                <c:pt idx="673">
                  <c:v>123.19</c:v>
                </c:pt>
                <c:pt idx="674">
                  <c:v>120.66</c:v>
                </c:pt>
                <c:pt idx="675">
                  <c:v>123.73</c:v>
                </c:pt>
                <c:pt idx="676">
                  <c:v>121.07</c:v>
                </c:pt>
                <c:pt idx="677">
                  <c:v>119.24</c:v>
                </c:pt>
                <c:pt idx="678">
                  <c:v>118.97</c:v>
                </c:pt>
                <c:pt idx="679">
                  <c:v>115.97</c:v>
                </c:pt>
                <c:pt idx="680">
                  <c:v>113.39</c:v>
                </c:pt>
                <c:pt idx="681">
                  <c:v>115.07</c:v>
                </c:pt>
                <c:pt idx="682">
                  <c:v>111</c:v>
                </c:pt>
                <c:pt idx="683">
                  <c:v>114.88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957-4899-982E-72B148ECB1BA}"/>
            </c:ext>
          </c:extLst>
        </c:ser>
        <c:ser>
          <c:idx val="2"/>
          <c:order val="2"/>
          <c:tx>
            <c:strRef>
              <c:f>CrudeOilNput!$D$1</c:f>
              <c:strCache>
                <c:ptCount val="1"/>
                <c:pt idx="0">
                  <c:v>Brent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CrudeOilNput!$A$2:$A$685</c:f>
              <c:strCache>
                <c:ptCount val="684"/>
                <c:pt idx="0">
                  <c:v>10/31/2019</c:v>
                </c:pt>
                <c:pt idx="1">
                  <c:v>11/1/2019</c:v>
                </c:pt>
                <c:pt idx="2">
                  <c:v>11/4/2019</c:v>
                </c:pt>
                <c:pt idx="3">
                  <c:v>11/5/2019</c:v>
                </c:pt>
                <c:pt idx="4">
                  <c:v>11/6/2019</c:v>
                </c:pt>
                <c:pt idx="5">
                  <c:v>11/7/2019</c:v>
                </c:pt>
                <c:pt idx="6">
                  <c:v>11/8/2019</c:v>
                </c:pt>
                <c:pt idx="7">
                  <c:v>11/11/2019</c:v>
                </c:pt>
                <c:pt idx="8">
                  <c:v>11/12/2019</c:v>
                </c:pt>
                <c:pt idx="9">
                  <c:v>11/13/2019</c:v>
                </c:pt>
                <c:pt idx="10">
                  <c:v>11/14/2019</c:v>
                </c:pt>
                <c:pt idx="11">
                  <c:v>11/15/2019</c:v>
                </c:pt>
                <c:pt idx="12">
                  <c:v>11/18/2019</c:v>
                </c:pt>
                <c:pt idx="13">
                  <c:v>11/19/2019</c:v>
                </c:pt>
                <c:pt idx="14">
                  <c:v>11/20/2019</c:v>
                </c:pt>
                <c:pt idx="15">
                  <c:v>11/21/2019</c:v>
                </c:pt>
                <c:pt idx="16">
                  <c:v>11/22/2019</c:v>
                </c:pt>
                <c:pt idx="17">
                  <c:v>11/25/2019</c:v>
                </c:pt>
                <c:pt idx="18">
                  <c:v>11/26/2019</c:v>
                </c:pt>
                <c:pt idx="19">
                  <c:v>11/27/2019</c:v>
                </c:pt>
                <c:pt idx="20">
                  <c:v>11/28/2019</c:v>
                </c:pt>
                <c:pt idx="21">
                  <c:v>11/29/2019</c:v>
                </c:pt>
                <c:pt idx="22">
                  <c:v>12/2/2019</c:v>
                </c:pt>
                <c:pt idx="23">
                  <c:v>12/3/2019</c:v>
                </c:pt>
                <c:pt idx="24">
                  <c:v>12/4/2019</c:v>
                </c:pt>
                <c:pt idx="25">
                  <c:v>12/5/2019</c:v>
                </c:pt>
                <c:pt idx="26">
                  <c:v>12/6/2019</c:v>
                </c:pt>
                <c:pt idx="27">
                  <c:v>12/9/2019</c:v>
                </c:pt>
                <c:pt idx="28">
                  <c:v>12/10/2019</c:v>
                </c:pt>
                <c:pt idx="29">
                  <c:v>12/11/2019</c:v>
                </c:pt>
                <c:pt idx="30">
                  <c:v>12/12/2019</c:v>
                </c:pt>
                <c:pt idx="31">
                  <c:v>12/13/2019</c:v>
                </c:pt>
                <c:pt idx="32">
                  <c:v>12/16/2019</c:v>
                </c:pt>
                <c:pt idx="33">
                  <c:v>12/17/2019</c:v>
                </c:pt>
                <c:pt idx="34">
                  <c:v>12/18/2019</c:v>
                </c:pt>
                <c:pt idx="35">
                  <c:v>12/19/2019</c:v>
                </c:pt>
                <c:pt idx="36">
                  <c:v>12/20/2019</c:v>
                </c:pt>
                <c:pt idx="37">
                  <c:v>12/23/2019</c:v>
                </c:pt>
                <c:pt idx="38">
                  <c:v>12/24/2019</c:v>
                </c:pt>
                <c:pt idx="39">
                  <c:v>12/26/2019</c:v>
                </c:pt>
                <c:pt idx="40">
                  <c:v>12/27/2019</c:v>
                </c:pt>
                <c:pt idx="41">
                  <c:v>12/30/2019</c:v>
                </c:pt>
                <c:pt idx="42">
                  <c:v>12/31/2019</c:v>
                </c:pt>
                <c:pt idx="43">
                  <c:v>1/2/2020</c:v>
                </c:pt>
                <c:pt idx="44">
                  <c:v>1/3/2020</c:v>
                </c:pt>
                <c:pt idx="45">
                  <c:v>1/6/2020</c:v>
                </c:pt>
                <c:pt idx="46">
                  <c:v>1/7/2020</c:v>
                </c:pt>
                <c:pt idx="47">
                  <c:v>1/8/2020</c:v>
                </c:pt>
                <c:pt idx="48">
                  <c:v>1/9/2020</c:v>
                </c:pt>
                <c:pt idx="49">
                  <c:v>1/10/2020</c:v>
                </c:pt>
                <c:pt idx="50">
                  <c:v>1/13/2020</c:v>
                </c:pt>
                <c:pt idx="51">
                  <c:v>1/14/2020</c:v>
                </c:pt>
                <c:pt idx="52">
                  <c:v>1/15/2020</c:v>
                </c:pt>
                <c:pt idx="53">
                  <c:v>1/16/2020</c:v>
                </c:pt>
                <c:pt idx="54">
                  <c:v>1/17/2020</c:v>
                </c:pt>
                <c:pt idx="55">
                  <c:v>1/20/2020</c:v>
                </c:pt>
                <c:pt idx="56">
                  <c:v>1/21/2020</c:v>
                </c:pt>
                <c:pt idx="57">
                  <c:v>1/22/2020</c:v>
                </c:pt>
                <c:pt idx="58">
                  <c:v>1/23/2020</c:v>
                </c:pt>
                <c:pt idx="59">
                  <c:v>1/24/2020</c:v>
                </c:pt>
                <c:pt idx="60">
                  <c:v>1/27/2020</c:v>
                </c:pt>
                <c:pt idx="61">
                  <c:v>1/28/2020</c:v>
                </c:pt>
                <c:pt idx="62">
                  <c:v>1/29/2020</c:v>
                </c:pt>
                <c:pt idx="63">
                  <c:v>1/30/2020</c:v>
                </c:pt>
                <c:pt idx="64">
                  <c:v>1/31/2020</c:v>
                </c:pt>
                <c:pt idx="65">
                  <c:v>2/3/2020</c:v>
                </c:pt>
                <c:pt idx="66">
                  <c:v>2/4/2020</c:v>
                </c:pt>
                <c:pt idx="67">
                  <c:v>2/5/2020</c:v>
                </c:pt>
                <c:pt idx="68">
                  <c:v>2/6/2020</c:v>
                </c:pt>
                <c:pt idx="69">
                  <c:v>2/7/2020</c:v>
                </c:pt>
                <c:pt idx="70">
                  <c:v>2/10/2020</c:v>
                </c:pt>
                <c:pt idx="71">
                  <c:v>2/11/2020</c:v>
                </c:pt>
                <c:pt idx="72">
                  <c:v>2/12/2020</c:v>
                </c:pt>
                <c:pt idx="73">
                  <c:v>2/13/2020</c:v>
                </c:pt>
                <c:pt idx="74">
                  <c:v>2/14/2020</c:v>
                </c:pt>
                <c:pt idx="75">
                  <c:v>2/17/2020</c:v>
                </c:pt>
                <c:pt idx="76">
                  <c:v>2/18/2020</c:v>
                </c:pt>
                <c:pt idx="77">
                  <c:v>2/19/2020</c:v>
                </c:pt>
                <c:pt idx="78">
                  <c:v>2/20/2020</c:v>
                </c:pt>
                <c:pt idx="79">
                  <c:v>2/21/2020</c:v>
                </c:pt>
                <c:pt idx="80">
                  <c:v>2/24/2020</c:v>
                </c:pt>
                <c:pt idx="81">
                  <c:v>2/25/2020</c:v>
                </c:pt>
                <c:pt idx="82">
                  <c:v>2/26/2020</c:v>
                </c:pt>
                <c:pt idx="83">
                  <c:v>2/27/2020</c:v>
                </c:pt>
                <c:pt idx="84">
                  <c:v>2/28/2020</c:v>
                </c:pt>
                <c:pt idx="85">
                  <c:v>3/2/2020</c:v>
                </c:pt>
                <c:pt idx="86">
                  <c:v>3/3/2020</c:v>
                </c:pt>
                <c:pt idx="87">
                  <c:v>3/4/2020</c:v>
                </c:pt>
                <c:pt idx="88">
                  <c:v>3/5/2020</c:v>
                </c:pt>
                <c:pt idx="89">
                  <c:v>3/6/2020</c:v>
                </c:pt>
                <c:pt idx="90">
                  <c:v>3/9/2020</c:v>
                </c:pt>
                <c:pt idx="91">
                  <c:v>3/10/2020</c:v>
                </c:pt>
                <c:pt idx="92">
                  <c:v>3/11/2020</c:v>
                </c:pt>
                <c:pt idx="93">
                  <c:v>3/12/2020</c:v>
                </c:pt>
                <c:pt idx="94">
                  <c:v>3/13/2020</c:v>
                </c:pt>
                <c:pt idx="95">
                  <c:v>3/16/2020</c:v>
                </c:pt>
                <c:pt idx="96">
                  <c:v>3/17/2020</c:v>
                </c:pt>
                <c:pt idx="97">
                  <c:v>3/18/2020</c:v>
                </c:pt>
                <c:pt idx="98">
                  <c:v>3/19/2020</c:v>
                </c:pt>
                <c:pt idx="99">
                  <c:v>3/20/2020</c:v>
                </c:pt>
                <c:pt idx="100">
                  <c:v>3/23/2020</c:v>
                </c:pt>
                <c:pt idx="101">
                  <c:v>3/24/2020</c:v>
                </c:pt>
                <c:pt idx="102">
                  <c:v>3/25/2020</c:v>
                </c:pt>
                <c:pt idx="103">
                  <c:v>3/26/2020</c:v>
                </c:pt>
                <c:pt idx="104">
                  <c:v>3/27/2020</c:v>
                </c:pt>
                <c:pt idx="105">
                  <c:v>3/30/2020</c:v>
                </c:pt>
                <c:pt idx="106">
                  <c:v>3/31/2020</c:v>
                </c:pt>
                <c:pt idx="107">
                  <c:v>4/1/2020</c:v>
                </c:pt>
                <c:pt idx="108">
                  <c:v>4/2/2020</c:v>
                </c:pt>
                <c:pt idx="109">
                  <c:v>4/3/2020</c:v>
                </c:pt>
                <c:pt idx="110">
                  <c:v>4/6/2020</c:v>
                </c:pt>
                <c:pt idx="111">
                  <c:v>4/7/2020</c:v>
                </c:pt>
                <c:pt idx="112">
                  <c:v>4/8/2020</c:v>
                </c:pt>
                <c:pt idx="113">
                  <c:v>4/9/2020</c:v>
                </c:pt>
                <c:pt idx="114">
                  <c:v>4/13/2020</c:v>
                </c:pt>
                <c:pt idx="115">
                  <c:v>4/14/2020</c:v>
                </c:pt>
                <c:pt idx="116">
                  <c:v>4/15/2020</c:v>
                </c:pt>
                <c:pt idx="117">
                  <c:v>4/16/2020</c:v>
                </c:pt>
                <c:pt idx="118">
                  <c:v>4/17/2020</c:v>
                </c:pt>
                <c:pt idx="119">
                  <c:v>4/20/2020</c:v>
                </c:pt>
                <c:pt idx="120">
                  <c:v>4/21/2020</c:v>
                </c:pt>
                <c:pt idx="121">
                  <c:v>4/22/2020</c:v>
                </c:pt>
                <c:pt idx="122">
                  <c:v>4/23/2020</c:v>
                </c:pt>
                <c:pt idx="123">
                  <c:v>4/24/2020</c:v>
                </c:pt>
                <c:pt idx="124">
                  <c:v>4/27/2020</c:v>
                </c:pt>
                <c:pt idx="125">
                  <c:v>4/28/2020</c:v>
                </c:pt>
                <c:pt idx="126">
                  <c:v>4/29/2020</c:v>
                </c:pt>
                <c:pt idx="127">
                  <c:v>4/30/2020</c:v>
                </c:pt>
                <c:pt idx="128">
                  <c:v>5/1/2020</c:v>
                </c:pt>
                <c:pt idx="129">
                  <c:v>5/4/2020</c:v>
                </c:pt>
                <c:pt idx="130">
                  <c:v>5/5/2020</c:v>
                </c:pt>
                <c:pt idx="131">
                  <c:v>5/6/2020</c:v>
                </c:pt>
                <c:pt idx="132">
                  <c:v>5/7/2020</c:v>
                </c:pt>
                <c:pt idx="133">
                  <c:v>5/8/2020</c:v>
                </c:pt>
                <c:pt idx="134">
                  <c:v>5/11/2020</c:v>
                </c:pt>
                <c:pt idx="135">
                  <c:v>5/12/2020</c:v>
                </c:pt>
                <c:pt idx="136">
                  <c:v>5/13/2020</c:v>
                </c:pt>
                <c:pt idx="137">
                  <c:v>5/14/2020</c:v>
                </c:pt>
                <c:pt idx="138">
                  <c:v>5/15/2020</c:v>
                </c:pt>
                <c:pt idx="139">
                  <c:v>5/18/2020</c:v>
                </c:pt>
                <c:pt idx="140">
                  <c:v>5/19/2020</c:v>
                </c:pt>
                <c:pt idx="141">
                  <c:v>5/20/2020</c:v>
                </c:pt>
                <c:pt idx="142">
                  <c:v>5/21/2020</c:v>
                </c:pt>
                <c:pt idx="143">
                  <c:v>5/22/2020</c:v>
                </c:pt>
                <c:pt idx="144">
                  <c:v>5/26/2020</c:v>
                </c:pt>
                <c:pt idx="145">
                  <c:v>5/27/2020</c:v>
                </c:pt>
                <c:pt idx="146">
                  <c:v>5/28/2020</c:v>
                </c:pt>
                <c:pt idx="147">
                  <c:v>5/29/2020</c:v>
                </c:pt>
                <c:pt idx="148">
                  <c:v>6/1/2020</c:v>
                </c:pt>
                <c:pt idx="149">
                  <c:v>6/2/2020</c:v>
                </c:pt>
                <c:pt idx="150">
                  <c:v>6/3/2020</c:v>
                </c:pt>
                <c:pt idx="151">
                  <c:v>6/4/2020</c:v>
                </c:pt>
                <c:pt idx="152">
                  <c:v>6/5/2020</c:v>
                </c:pt>
                <c:pt idx="153">
                  <c:v>6/8/2020</c:v>
                </c:pt>
                <c:pt idx="154">
                  <c:v>6/9/2020</c:v>
                </c:pt>
                <c:pt idx="155">
                  <c:v>6/10/2020</c:v>
                </c:pt>
                <c:pt idx="156">
                  <c:v>6/11/2020</c:v>
                </c:pt>
                <c:pt idx="157">
                  <c:v>6/12/2020</c:v>
                </c:pt>
                <c:pt idx="158">
                  <c:v>6/15/2020</c:v>
                </c:pt>
                <c:pt idx="159">
                  <c:v>6/16/2020</c:v>
                </c:pt>
                <c:pt idx="160">
                  <c:v>6/17/2020</c:v>
                </c:pt>
                <c:pt idx="161">
                  <c:v>6/18/2020</c:v>
                </c:pt>
                <c:pt idx="162">
                  <c:v>6/19/2020</c:v>
                </c:pt>
                <c:pt idx="163">
                  <c:v>6/22/2020</c:v>
                </c:pt>
                <c:pt idx="164">
                  <c:v>6/23/2020</c:v>
                </c:pt>
                <c:pt idx="165">
                  <c:v>6/24/2020</c:v>
                </c:pt>
                <c:pt idx="166">
                  <c:v>6/25/2020</c:v>
                </c:pt>
                <c:pt idx="167">
                  <c:v>6/26/2020</c:v>
                </c:pt>
                <c:pt idx="168">
                  <c:v>6/29/2020</c:v>
                </c:pt>
                <c:pt idx="169">
                  <c:v>6/30/2020</c:v>
                </c:pt>
                <c:pt idx="170">
                  <c:v>7/1/2020</c:v>
                </c:pt>
                <c:pt idx="171">
                  <c:v>7/2/2020</c:v>
                </c:pt>
                <c:pt idx="172">
                  <c:v>7/3/2020</c:v>
                </c:pt>
                <c:pt idx="173">
                  <c:v>7/6/2020</c:v>
                </c:pt>
                <c:pt idx="174">
                  <c:v>7/7/2020</c:v>
                </c:pt>
                <c:pt idx="175">
                  <c:v>7/8/2020</c:v>
                </c:pt>
                <c:pt idx="176">
                  <c:v>7/9/2020</c:v>
                </c:pt>
                <c:pt idx="177">
                  <c:v>7/10/2020</c:v>
                </c:pt>
                <c:pt idx="178">
                  <c:v>7/13/2020</c:v>
                </c:pt>
                <c:pt idx="179">
                  <c:v>7/14/2020</c:v>
                </c:pt>
                <c:pt idx="180">
                  <c:v>7/15/2020</c:v>
                </c:pt>
                <c:pt idx="181">
                  <c:v>7/16/2020</c:v>
                </c:pt>
                <c:pt idx="182">
                  <c:v>7/17/2020</c:v>
                </c:pt>
                <c:pt idx="183">
                  <c:v>7/20/2020</c:v>
                </c:pt>
                <c:pt idx="184">
                  <c:v>7/21/2020</c:v>
                </c:pt>
                <c:pt idx="185">
                  <c:v>7/22/2020</c:v>
                </c:pt>
                <c:pt idx="186">
                  <c:v>7/23/2020</c:v>
                </c:pt>
                <c:pt idx="187">
                  <c:v>7/24/2020</c:v>
                </c:pt>
                <c:pt idx="188">
                  <c:v>7/27/2020</c:v>
                </c:pt>
                <c:pt idx="189">
                  <c:v>7/28/2020</c:v>
                </c:pt>
                <c:pt idx="190">
                  <c:v>7/29/2020</c:v>
                </c:pt>
                <c:pt idx="191">
                  <c:v>7/30/2020</c:v>
                </c:pt>
                <c:pt idx="192">
                  <c:v>7/31/2020</c:v>
                </c:pt>
                <c:pt idx="193">
                  <c:v>8/3/2020</c:v>
                </c:pt>
                <c:pt idx="194">
                  <c:v>8/4/2020</c:v>
                </c:pt>
                <c:pt idx="195">
                  <c:v>8/5/2020</c:v>
                </c:pt>
                <c:pt idx="196">
                  <c:v>8/6/2020</c:v>
                </c:pt>
                <c:pt idx="197">
                  <c:v>8/7/2020</c:v>
                </c:pt>
                <c:pt idx="198">
                  <c:v>8/10/2020</c:v>
                </c:pt>
                <c:pt idx="199">
                  <c:v>8/11/2020</c:v>
                </c:pt>
                <c:pt idx="200">
                  <c:v>8/12/2020</c:v>
                </c:pt>
                <c:pt idx="201">
                  <c:v>8/13/2020</c:v>
                </c:pt>
                <c:pt idx="202">
                  <c:v>8/14/2020</c:v>
                </c:pt>
                <c:pt idx="203">
                  <c:v>8/17/2020</c:v>
                </c:pt>
                <c:pt idx="204">
                  <c:v>8/18/2020</c:v>
                </c:pt>
                <c:pt idx="205">
                  <c:v>8/19/2020</c:v>
                </c:pt>
                <c:pt idx="206">
                  <c:v>8/20/2020</c:v>
                </c:pt>
                <c:pt idx="207">
                  <c:v>8/21/2020</c:v>
                </c:pt>
                <c:pt idx="208">
                  <c:v>8/24/2020</c:v>
                </c:pt>
                <c:pt idx="209">
                  <c:v>8/25/2020</c:v>
                </c:pt>
                <c:pt idx="210">
                  <c:v>8/26/2020</c:v>
                </c:pt>
                <c:pt idx="211">
                  <c:v>8/27/2020</c:v>
                </c:pt>
                <c:pt idx="212">
                  <c:v>8/28/2020</c:v>
                </c:pt>
                <c:pt idx="213">
                  <c:v>8/31/2020</c:v>
                </c:pt>
                <c:pt idx="214">
                  <c:v>9/1/2020</c:v>
                </c:pt>
                <c:pt idx="215">
                  <c:v>9/2/2020</c:v>
                </c:pt>
                <c:pt idx="216">
                  <c:v>9/3/2020</c:v>
                </c:pt>
                <c:pt idx="217">
                  <c:v>9/4/2020</c:v>
                </c:pt>
                <c:pt idx="218">
                  <c:v>9/7/2020</c:v>
                </c:pt>
                <c:pt idx="219">
                  <c:v>9/8/2020</c:v>
                </c:pt>
                <c:pt idx="220">
                  <c:v>9/9/2020</c:v>
                </c:pt>
                <c:pt idx="221">
                  <c:v>9/10/2020</c:v>
                </c:pt>
                <c:pt idx="222">
                  <c:v>9/11/2020</c:v>
                </c:pt>
                <c:pt idx="223">
                  <c:v>9/14/2020</c:v>
                </c:pt>
                <c:pt idx="224">
                  <c:v>9/15/2020</c:v>
                </c:pt>
                <c:pt idx="225">
                  <c:v>9/16/2020</c:v>
                </c:pt>
                <c:pt idx="226">
                  <c:v>9/17/2020</c:v>
                </c:pt>
                <c:pt idx="227">
                  <c:v>9/18/2020</c:v>
                </c:pt>
                <c:pt idx="228">
                  <c:v>9/21/2020</c:v>
                </c:pt>
                <c:pt idx="229">
                  <c:v>9/22/2020</c:v>
                </c:pt>
                <c:pt idx="230">
                  <c:v>9/23/2020</c:v>
                </c:pt>
                <c:pt idx="231">
                  <c:v>9/24/2020</c:v>
                </c:pt>
                <c:pt idx="232">
                  <c:v>9/25/2020</c:v>
                </c:pt>
                <c:pt idx="233">
                  <c:v>9/28/2020</c:v>
                </c:pt>
                <c:pt idx="234">
                  <c:v>9/29/2020</c:v>
                </c:pt>
                <c:pt idx="235">
                  <c:v>9/30/2020</c:v>
                </c:pt>
                <c:pt idx="236">
                  <c:v>10/1/2020</c:v>
                </c:pt>
                <c:pt idx="237">
                  <c:v>10/2/2020</c:v>
                </c:pt>
                <c:pt idx="238">
                  <c:v>10/5/2020</c:v>
                </c:pt>
                <c:pt idx="239">
                  <c:v>10/6/2020</c:v>
                </c:pt>
                <c:pt idx="240">
                  <c:v>10/7/2020</c:v>
                </c:pt>
                <c:pt idx="241">
                  <c:v>10/8/2020</c:v>
                </c:pt>
                <c:pt idx="242">
                  <c:v>10/9/2020</c:v>
                </c:pt>
                <c:pt idx="243">
                  <c:v>10/12/2020</c:v>
                </c:pt>
                <c:pt idx="244">
                  <c:v>10/13/2020</c:v>
                </c:pt>
                <c:pt idx="245">
                  <c:v>10/14/2020</c:v>
                </c:pt>
                <c:pt idx="246">
                  <c:v>10/15/2020</c:v>
                </c:pt>
                <c:pt idx="247">
                  <c:v>10/16/2020</c:v>
                </c:pt>
                <c:pt idx="248">
                  <c:v>10/19/2020</c:v>
                </c:pt>
                <c:pt idx="249">
                  <c:v>10/20/2020</c:v>
                </c:pt>
                <c:pt idx="250">
                  <c:v>10/21/2020</c:v>
                </c:pt>
                <c:pt idx="251">
                  <c:v>10/22/2020</c:v>
                </c:pt>
                <c:pt idx="252">
                  <c:v>10/23/2020</c:v>
                </c:pt>
                <c:pt idx="253">
                  <c:v>10/26/2020</c:v>
                </c:pt>
                <c:pt idx="254">
                  <c:v>10/27/2020</c:v>
                </c:pt>
                <c:pt idx="255">
                  <c:v>10/28/2020</c:v>
                </c:pt>
                <c:pt idx="256">
                  <c:v>10/29/2020</c:v>
                </c:pt>
                <c:pt idx="257">
                  <c:v>10/30/2020</c:v>
                </c:pt>
                <c:pt idx="258">
                  <c:v>11/2/2020</c:v>
                </c:pt>
                <c:pt idx="259">
                  <c:v>11/3/2020</c:v>
                </c:pt>
                <c:pt idx="260">
                  <c:v>11/4/2020</c:v>
                </c:pt>
                <c:pt idx="261">
                  <c:v>11/5/2020</c:v>
                </c:pt>
                <c:pt idx="262">
                  <c:v>11/6/2020</c:v>
                </c:pt>
                <c:pt idx="263">
                  <c:v>11/9/2020</c:v>
                </c:pt>
                <c:pt idx="264">
                  <c:v>11/10/2020</c:v>
                </c:pt>
                <c:pt idx="265">
                  <c:v>11/11/2020</c:v>
                </c:pt>
                <c:pt idx="266">
                  <c:v>11/12/2020</c:v>
                </c:pt>
                <c:pt idx="267">
                  <c:v>11/13/2020</c:v>
                </c:pt>
                <c:pt idx="268">
                  <c:v>11/16/2020</c:v>
                </c:pt>
                <c:pt idx="269">
                  <c:v>11/17/2020</c:v>
                </c:pt>
                <c:pt idx="270">
                  <c:v>11/18/2020</c:v>
                </c:pt>
                <c:pt idx="271">
                  <c:v>11/19/2020</c:v>
                </c:pt>
                <c:pt idx="272">
                  <c:v>11/20/2020</c:v>
                </c:pt>
                <c:pt idx="273">
                  <c:v>11/23/2020</c:v>
                </c:pt>
                <c:pt idx="274">
                  <c:v>11/24/2020</c:v>
                </c:pt>
                <c:pt idx="275">
                  <c:v>11/25/2020</c:v>
                </c:pt>
                <c:pt idx="276">
                  <c:v>11/26/2020</c:v>
                </c:pt>
                <c:pt idx="277">
                  <c:v>11/27/2020</c:v>
                </c:pt>
                <c:pt idx="278">
                  <c:v>11/30/2020</c:v>
                </c:pt>
                <c:pt idx="279">
                  <c:v>12/1/2020</c:v>
                </c:pt>
                <c:pt idx="280">
                  <c:v>12/2/2020</c:v>
                </c:pt>
                <c:pt idx="281">
                  <c:v>12/3/2020</c:v>
                </c:pt>
                <c:pt idx="282">
                  <c:v>12/4/2020</c:v>
                </c:pt>
                <c:pt idx="283">
                  <c:v>12/7/2020</c:v>
                </c:pt>
                <c:pt idx="284">
                  <c:v>12/8/2020</c:v>
                </c:pt>
                <c:pt idx="285">
                  <c:v>12/9/2020</c:v>
                </c:pt>
                <c:pt idx="286">
                  <c:v>12/10/2020</c:v>
                </c:pt>
                <c:pt idx="287">
                  <c:v>12/11/2020</c:v>
                </c:pt>
                <c:pt idx="288">
                  <c:v>12/14/2020</c:v>
                </c:pt>
                <c:pt idx="289">
                  <c:v>12/15/2020</c:v>
                </c:pt>
                <c:pt idx="290">
                  <c:v>12/16/2020</c:v>
                </c:pt>
                <c:pt idx="291">
                  <c:v>12/17/2020</c:v>
                </c:pt>
                <c:pt idx="292">
                  <c:v>12/18/2020</c:v>
                </c:pt>
                <c:pt idx="293">
                  <c:v>12/21/2020</c:v>
                </c:pt>
                <c:pt idx="294">
                  <c:v>12/22/2020</c:v>
                </c:pt>
                <c:pt idx="295">
                  <c:v>12/23/2020</c:v>
                </c:pt>
                <c:pt idx="296">
                  <c:v>12/24/2020</c:v>
                </c:pt>
                <c:pt idx="297">
                  <c:v>12/28/2020</c:v>
                </c:pt>
                <c:pt idx="298">
                  <c:v>12/29/2020</c:v>
                </c:pt>
                <c:pt idx="299">
                  <c:v>12/30/2020</c:v>
                </c:pt>
                <c:pt idx="300">
                  <c:v>12/31/2020</c:v>
                </c:pt>
                <c:pt idx="301">
                  <c:v>1/4/2021</c:v>
                </c:pt>
                <c:pt idx="302">
                  <c:v>1/5/2021</c:v>
                </c:pt>
                <c:pt idx="303">
                  <c:v>1/6/2021</c:v>
                </c:pt>
                <c:pt idx="304">
                  <c:v>1/7/2021</c:v>
                </c:pt>
                <c:pt idx="305">
                  <c:v>1/8/2021</c:v>
                </c:pt>
                <c:pt idx="306">
                  <c:v>1/11/2021</c:v>
                </c:pt>
                <c:pt idx="307">
                  <c:v>1/12/2021</c:v>
                </c:pt>
                <c:pt idx="308">
                  <c:v>1/13/2021</c:v>
                </c:pt>
                <c:pt idx="309">
                  <c:v>1/14/2021</c:v>
                </c:pt>
                <c:pt idx="310">
                  <c:v>1/15/2021</c:v>
                </c:pt>
                <c:pt idx="311">
                  <c:v>1/18/2021</c:v>
                </c:pt>
                <c:pt idx="312">
                  <c:v>1/19/2021</c:v>
                </c:pt>
                <c:pt idx="313">
                  <c:v>1/20/2021</c:v>
                </c:pt>
                <c:pt idx="314">
                  <c:v>1/21/2021</c:v>
                </c:pt>
                <c:pt idx="315">
                  <c:v>1/22/2021</c:v>
                </c:pt>
                <c:pt idx="316">
                  <c:v>1/25/2021</c:v>
                </c:pt>
                <c:pt idx="317">
                  <c:v>1/26/2021</c:v>
                </c:pt>
                <c:pt idx="318">
                  <c:v>1/27/2021</c:v>
                </c:pt>
                <c:pt idx="319">
                  <c:v>1/28/2021</c:v>
                </c:pt>
                <c:pt idx="320">
                  <c:v>1/29/2021</c:v>
                </c:pt>
                <c:pt idx="321">
                  <c:v>2/1/2021</c:v>
                </c:pt>
                <c:pt idx="322">
                  <c:v>2/2/2021</c:v>
                </c:pt>
                <c:pt idx="323">
                  <c:v>2/3/2021</c:v>
                </c:pt>
                <c:pt idx="324">
                  <c:v>2/4/2021</c:v>
                </c:pt>
                <c:pt idx="325">
                  <c:v>2/5/2021</c:v>
                </c:pt>
                <c:pt idx="326">
                  <c:v>2/8/2021</c:v>
                </c:pt>
                <c:pt idx="327">
                  <c:v>2/9/2021</c:v>
                </c:pt>
                <c:pt idx="328">
                  <c:v>2/10/2021</c:v>
                </c:pt>
                <c:pt idx="329">
                  <c:v>2/11/2021</c:v>
                </c:pt>
                <c:pt idx="330">
                  <c:v>2/12/2021</c:v>
                </c:pt>
                <c:pt idx="331">
                  <c:v>2/15/2021</c:v>
                </c:pt>
                <c:pt idx="332">
                  <c:v>2/16/2021</c:v>
                </c:pt>
                <c:pt idx="333">
                  <c:v>2/17/2021</c:v>
                </c:pt>
                <c:pt idx="334">
                  <c:v>2/18/2021</c:v>
                </c:pt>
                <c:pt idx="335">
                  <c:v>2/19/2021</c:v>
                </c:pt>
                <c:pt idx="336">
                  <c:v>2/22/2021</c:v>
                </c:pt>
                <c:pt idx="337">
                  <c:v>2/23/2021</c:v>
                </c:pt>
                <c:pt idx="338">
                  <c:v>2/24/2021</c:v>
                </c:pt>
                <c:pt idx="339">
                  <c:v>2/25/2021</c:v>
                </c:pt>
                <c:pt idx="340">
                  <c:v>2/26/2021</c:v>
                </c:pt>
                <c:pt idx="341">
                  <c:v>3/1/2021</c:v>
                </c:pt>
                <c:pt idx="342">
                  <c:v>3/2/2021</c:v>
                </c:pt>
                <c:pt idx="343">
                  <c:v>3/3/2021</c:v>
                </c:pt>
                <c:pt idx="344">
                  <c:v>3/4/2021</c:v>
                </c:pt>
                <c:pt idx="345">
                  <c:v>3/5/2021</c:v>
                </c:pt>
                <c:pt idx="346">
                  <c:v>3/8/2021</c:v>
                </c:pt>
                <c:pt idx="347">
                  <c:v>3/9/2021</c:v>
                </c:pt>
                <c:pt idx="348">
                  <c:v>3/10/2021</c:v>
                </c:pt>
                <c:pt idx="349">
                  <c:v>3/11/2021</c:v>
                </c:pt>
                <c:pt idx="350">
                  <c:v>3/12/2021</c:v>
                </c:pt>
                <c:pt idx="351">
                  <c:v>3/15/2021</c:v>
                </c:pt>
                <c:pt idx="352">
                  <c:v>3/16/2021</c:v>
                </c:pt>
                <c:pt idx="353">
                  <c:v>3/17/2021</c:v>
                </c:pt>
                <c:pt idx="354">
                  <c:v>3/18/2021</c:v>
                </c:pt>
                <c:pt idx="355">
                  <c:v>3/19/2021</c:v>
                </c:pt>
                <c:pt idx="356">
                  <c:v>3/22/2021</c:v>
                </c:pt>
                <c:pt idx="357">
                  <c:v>3/23/2021</c:v>
                </c:pt>
                <c:pt idx="358">
                  <c:v>3/24/2021</c:v>
                </c:pt>
                <c:pt idx="359">
                  <c:v>3/25/2021</c:v>
                </c:pt>
                <c:pt idx="360">
                  <c:v>3/26/2021</c:v>
                </c:pt>
                <c:pt idx="361">
                  <c:v>3/29/2021</c:v>
                </c:pt>
                <c:pt idx="362">
                  <c:v>3/30/2021</c:v>
                </c:pt>
                <c:pt idx="363">
                  <c:v>3/31/2021</c:v>
                </c:pt>
                <c:pt idx="364">
                  <c:v>4/1/2021</c:v>
                </c:pt>
                <c:pt idx="365">
                  <c:v>4/5/2021</c:v>
                </c:pt>
                <c:pt idx="366">
                  <c:v>4/6/2021</c:v>
                </c:pt>
                <c:pt idx="367">
                  <c:v>4/7/2021</c:v>
                </c:pt>
                <c:pt idx="368">
                  <c:v>4/8/2021</c:v>
                </c:pt>
                <c:pt idx="369">
                  <c:v>4/9/2021</c:v>
                </c:pt>
                <c:pt idx="370">
                  <c:v>4/12/2021</c:v>
                </c:pt>
                <c:pt idx="371">
                  <c:v>4/13/2021</c:v>
                </c:pt>
                <c:pt idx="372">
                  <c:v>4/14/2021</c:v>
                </c:pt>
                <c:pt idx="373">
                  <c:v>4/15/2021</c:v>
                </c:pt>
                <c:pt idx="374">
                  <c:v>4/16/2021</c:v>
                </c:pt>
                <c:pt idx="375">
                  <c:v>4/19/2021</c:v>
                </c:pt>
                <c:pt idx="376">
                  <c:v>4/20/2021</c:v>
                </c:pt>
                <c:pt idx="377">
                  <c:v>4/21/2021</c:v>
                </c:pt>
                <c:pt idx="378">
                  <c:v>4/22/2021</c:v>
                </c:pt>
                <c:pt idx="379">
                  <c:v>4/23/2021</c:v>
                </c:pt>
                <c:pt idx="380">
                  <c:v>4/26/2021</c:v>
                </c:pt>
                <c:pt idx="381">
                  <c:v>4/27/2021</c:v>
                </c:pt>
                <c:pt idx="382">
                  <c:v>4/28/2021</c:v>
                </c:pt>
                <c:pt idx="383">
                  <c:v>4/29/2021</c:v>
                </c:pt>
                <c:pt idx="384">
                  <c:v>4/30/2021</c:v>
                </c:pt>
                <c:pt idx="385">
                  <c:v>5/3/2021</c:v>
                </c:pt>
                <c:pt idx="386">
                  <c:v>5/4/2021</c:v>
                </c:pt>
                <c:pt idx="387">
                  <c:v>5/5/2021</c:v>
                </c:pt>
                <c:pt idx="388">
                  <c:v>5/6/2021</c:v>
                </c:pt>
                <c:pt idx="389">
                  <c:v>5/7/2021</c:v>
                </c:pt>
                <c:pt idx="390">
                  <c:v>5/10/2021</c:v>
                </c:pt>
                <c:pt idx="391">
                  <c:v>5/11/2021</c:v>
                </c:pt>
                <c:pt idx="392">
                  <c:v>5/12/2021</c:v>
                </c:pt>
                <c:pt idx="393">
                  <c:v>5/13/2021</c:v>
                </c:pt>
                <c:pt idx="394">
                  <c:v>5/14/2021</c:v>
                </c:pt>
                <c:pt idx="395">
                  <c:v>5/17/2021</c:v>
                </c:pt>
                <c:pt idx="396">
                  <c:v>5/18/2021</c:v>
                </c:pt>
                <c:pt idx="397">
                  <c:v>5/19/2021</c:v>
                </c:pt>
                <c:pt idx="398">
                  <c:v>5/20/2021</c:v>
                </c:pt>
                <c:pt idx="399">
                  <c:v>5/21/2021</c:v>
                </c:pt>
                <c:pt idx="400">
                  <c:v>5/24/2021</c:v>
                </c:pt>
                <c:pt idx="401">
                  <c:v>5/25/2021</c:v>
                </c:pt>
                <c:pt idx="402">
                  <c:v>5/26/2021</c:v>
                </c:pt>
                <c:pt idx="403">
                  <c:v>5/27/2021</c:v>
                </c:pt>
                <c:pt idx="404">
                  <c:v>5/28/2021</c:v>
                </c:pt>
                <c:pt idx="405">
                  <c:v>5/31/2021</c:v>
                </c:pt>
                <c:pt idx="406">
                  <c:v>6/1/2021</c:v>
                </c:pt>
                <c:pt idx="407">
                  <c:v>6/2/2021</c:v>
                </c:pt>
                <c:pt idx="408">
                  <c:v>6/3/2021</c:v>
                </c:pt>
                <c:pt idx="409">
                  <c:v>6/4/2021</c:v>
                </c:pt>
                <c:pt idx="410">
                  <c:v>6/7/2021</c:v>
                </c:pt>
                <c:pt idx="411">
                  <c:v>6/8/2021</c:v>
                </c:pt>
                <c:pt idx="412">
                  <c:v>6/9/2021</c:v>
                </c:pt>
                <c:pt idx="413">
                  <c:v>6/10/2021</c:v>
                </c:pt>
                <c:pt idx="414">
                  <c:v>6/11/2021</c:v>
                </c:pt>
                <c:pt idx="415">
                  <c:v>6/14/2021</c:v>
                </c:pt>
                <c:pt idx="416">
                  <c:v>6/15/2021</c:v>
                </c:pt>
                <c:pt idx="417">
                  <c:v>6/16/2021</c:v>
                </c:pt>
                <c:pt idx="418">
                  <c:v>6/17/2021</c:v>
                </c:pt>
                <c:pt idx="419">
                  <c:v>6/18/2021</c:v>
                </c:pt>
                <c:pt idx="420">
                  <c:v>6/21/2021</c:v>
                </c:pt>
                <c:pt idx="421">
                  <c:v>6/22/2021</c:v>
                </c:pt>
                <c:pt idx="422">
                  <c:v>6/23/2021</c:v>
                </c:pt>
                <c:pt idx="423">
                  <c:v>6/24/2021</c:v>
                </c:pt>
                <c:pt idx="424">
                  <c:v>6/25/2021</c:v>
                </c:pt>
                <c:pt idx="425">
                  <c:v>6/28/2021</c:v>
                </c:pt>
                <c:pt idx="426">
                  <c:v>6/29/2021</c:v>
                </c:pt>
                <c:pt idx="427">
                  <c:v>6/30/2021</c:v>
                </c:pt>
                <c:pt idx="428">
                  <c:v>7/1/2021</c:v>
                </c:pt>
                <c:pt idx="429">
                  <c:v>7/2/2021</c:v>
                </c:pt>
                <c:pt idx="430">
                  <c:v>7/5/2021</c:v>
                </c:pt>
                <c:pt idx="431">
                  <c:v>7/6/2021</c:v>
                </c:pt>
                <c:pt idx="432">
                  <c:v>7/7/2021</c:v>
                </c:pt>
                <c:pt idx="433">
                  <c:v>7/8/2021</c:v>
                </c:pt>
                <c:pt idx="434">
                  <c:v>7/9/2021</c:v>
                </c:pt>
                <c:pt idx="435">
                  <c:v>7/12/2021</c:v>
                </c:pt>
                <c:pt idx="436">
                  <c:v>7/13/2021</c:v>
                </c:pt>
                <c:pt idx="437">
                  <c:v>7/14/2021</c:v>
                </c:pt>
                <c:pt idx="438">
                  <c:v>7/15/2021</c:v>
                </c:pt>
                <c:pt idx="439">
                  <c:v>7/16/2021</c:v>
                </c:pt>
                <c:pt idx="440">
                  <c:v>7/19/2021</c:v>
                </c:pt>
                <c:pt idx="441">
                  <c:v>7/20/2021</c:v>
                </c:pt>
                <c:pt idx="442">
                  <c:v>7/21/2021</c:v>
                </c:pt>
                <c:pt idx="443">
                  <c:v>7/22/2021</c:v>
                </c:pt>
                <c:pt idx="444">
                  <c:v>7/23/2021</c:v>
                </c:pt>
                <c:pt idx="445">
                  <c:v>7/26/2021</c:v>
                </c:pt>
                <c:pt idx="446">
                  <c:v>7/27/2021</c:v>
                </c:pt>
                <c:pt idx="447">
                  <c:v>7/28/2021</c:v>
                </c:pt>
                <c:pt idx="448">
                  <c:v>7/29/2021</c:v>
                </c:pt>
                <c:pt idx="449">
                  <c:v>7/30/2021</c:v>
                </c:pt>
                <c:pt idx="450">
                  <c:v>8/2/2021</c:v>
                </c:pt>
                <c:pt idx="451">
                  <c:v>8/3/2021</c:v>
                </c:pt>
                <c:pt idx="452">
                  <c:v>8/4/2021</c:v>
                </c:pt>
                <c:pt idx="453">
                  <c:v>8/5/2021</c:v>
                </c:pt>
                <c:pt idx="454">
                  <c:v>8/6/2021</c:v>
                </c:pt>
                <c:pt idx="455">
                  <c:v>8/9/2021</c:v>
                </c:pt>
                <c:pt idx="456">
                  <c:v>8/10/2021</c:v>
                </c:pt>
                <c:pt idx="457">
                  <c:v>8/11/2021</c:v>
                </c:pt>
                <c:pt idx="458">
                  <c:v>8/12/2021</c:v>
                </c:pt>
                <c:pt idx="459">
                  <c:v>8/13/2021</c:v>
                </c:pt>
                <c:pt idx="460">
                  <c:v>8/16/2021</c:v>
                </c:pt>
                <c:pt idx="461">
                  <c:v>8/17/2021</c:v>
                </c:pt>
                <c:pt idx="462">
                  <c:v>8/18/2021</c:v>
                </c:pt>
                <c:pt idx="463">
                  <c:v>8/19/2021</c:v>
                </c:pt>
                <c:pt idx="464">
                  <c:v>8/20/2021</c:v>
                </c:pt>
                <c:pt idx="465">
                  <c:v>8/23/2021</c:v>
                </c:pt>
                <c:pt idx="466">
                  <c:v>8/24/2021</c:v>
                </c:pt>
                <c:pt idx="467">
                  <c:v>8/25/2021</c:v>
                </c:pt>
                <c:pt idx="468">
                  <c:v>8/26/2021</c:v>
                </c:pt>
                <c:pt idx="469">
                  <c:v>8/27/2021</c:v>
                </c:pt>
                <c:pt idx="470">
                  <c:v>8/30/2021</c:v>
                </c:pt>
                <c:pt idx="471">
                  <c:v>8/31/2021</c:v>
                </c:pt>
                <c:pt idx="472">
                  <c:v>9/1/2021</c:v>
                </c:pt>
                <c:pt idx="473">
                  <c:v>9/2/2021</c:v>
                </c:pt>
                <c:pt idx="474">
                  <c:v>9/3/2021</c:v>
                </c:pt>
                <c:pt idx="475">
                  <c:v>9/6/2021</c:v>
                </c:pt>
                <c:pt idx="476">
                  <c:v>9/7/2021</c:v>
                </c:pt>
                <c:pt idx="477">
                  <c:v>9/8/2021</c:v>
                </c:pt>
                <c:pt idx="478">
                  <c:v>9/9/2021</c:v>
                </c:pt>
                <c:pt idx="479">
                  <c:v>9/10/2021</c:v>
                </c:pt>
                <c:pt idx="480">
                  <c:v>9/13/2021</c:v>
                </c:pt>
                <c:pt idx="481">
                  <c:v>9/14/2021</c:v>
                </c:pt>
                <c:pt idx="482">
                  <c:v>9/15/2021</c:v>
                </c:pt>
                <c:pt idx="483">
                  <c:v>9/16/2021</c:v>
                </c:pt>
                <c:pt idx="484">
                  <c:v>9/17/2021</c:v>
                </c:pt>
                <c:pt idx="485">
                  <c:v>9/20/2021</c:v>
                </c:pt>
                <c:pt idx="486">
                  <c:v>9/21/2021</c:v>
                </c:pt>
                <c:pt idx="487">
                  <c:v>9/22/2021</c:v>
                </c:pt>
                <c:pt idx="488">
                  <c:v>9/23/2021</c:v>
                </c:pt>
                <c:pt idx="489">
                  <c:v>9/24/2021</c:v>
                </c:pt>
                <c:pt idx="490">
                  <c:v>9/27/2021</c:v>
                </c:pt>
                <c:pt idx="491">
                  <c:v>9/28/2021</c:v>
                </c:pt>
                <c:pt idx="492">
                  <c:v>9/29/2021</c:v>
                </c:pt>
                <c:pt idx="493">
                  <c:v>9/30/2021</c:v>
                </c:pt>
                <c:pt idx="494">
                  <c:v>10/1/2021</c:v>
                </c:pt>
                <c:pt idx="495">
                  <c:v>10/4/2021</c:v>
                </c:pt>
                <c:pt idx="496">
                  <c:v>10/5/2021</c:v>
                </c:pt>
                <c:pt idx="497">
                  <c:v>10/6/2021</c:v>
                </c:pt>
                <c:pt idx="498">
                  <c:v>10/7/2021</c:v>
                </c:pt>
                <c:pt idx="499">
                  <c:v>10/8/2021</c:v>
                </c:pt>
                <c:pt idx="500">
                  <c:v>10/11/2021</c:v>
                </c:pt>
                <c:pt idx="501">
                  <c:v>10/12/2021</c:v>
                </c:pt>
                <c:pt idx="502">
                  <c:v>10/13/2021</c:v>
                </c:pt>
                <c:pt idx="503">
                  <c:v>10/14/2021</c:v>
                </c:pt>
                <c:pt idx="504">
                  <c:v>10/15/2021</c:v>
                </c:pt>
                <c:pt idx="505">
                  <c:v>10/18/2021</c:v>
                </c:pt>
                <c:pt idx="506">
                  <c:v>10/19/2021</c:v>
                </c:pt>
                <c:pt idx="507">
                  <c:v>10/20/2021</c:v>
                </c:pt>
                <c:pt idx="508">
                  <c:v>10/21/2021</c:v>
                </c:pt>
                <c:pt idx="509">
                  <c:v>10/22/2021</c:v>
                </c:pt>
                <c:pt idx="510">
                  <c:v>10/25/2021</c:v>
                </c:pt>
                <c:pt idx="511">
                  <c:v>10/26/2021</c:v>
                </c:pt>
                <c:pt idx="512">
                  <c:v>10/27/2021</c:v>
                </c:pt>
                <c:pt idx="513">
                  <c:v>10/28/2021</c:v>
                </c:pt>
                <c:pt idx="514">
                  <c:v>10/29/2021</c:v>
                </c:pt>
                <c:pt idx="515">
                  <c:v>11/1/2021</c:v>
                </c:pt>
                <c:pt idx="516">
                  <c:v>11/2/2021</c:v>
                </c:pt>
                <c:pt idx="517">
                  <c:v>11/3/2021</c:v>
                </c:pt>
                <c:pt idx="518">
                  <c:v>11/4/2021</c:v>
                </c:pt>
                <c:pt idx="519">
                  <c:v>11/5/2021</c:v>
                </c:pt>
                <c:pt idx="520">
                  <c:v>11/8/2021</c:v>
                </c:pt>
                <c:pt idx="521">
                  <c:v>11/9/2021</c:v>
                </c:pt>
                <c:pt idx="522">
                  <c:v>11/10/2021</c:v>
                </c:pt>
                <c:pt idx="523">
                  <c:v>11/11/2021</c:v>
                </c:pt>
                <c:pt idx="524">
                  <c:v>11/12/2021</c:v>
                </c:pt>
                <c:pt idx="525">
                  <c:v>11/15/2021</c:v>
                </c:pt>
                <c:pt idx="526">
                  <c:v>11/16/2021</c:v>
                </c:pt>
                <c:pt idx="527">
                  <c:v>11/17/2021</c:v>
                </c:pt>
                <c:pt idx="528">
                  <c:v>11/18/2021</c:v>
                </c:pt>
                <c:pt idx="529">
                  <c:v>11/19/2021</c:v>
                </c:pt>
                <c:pt idx="530">
                  <c:v>11/22/2021</c:v>
                </c:pt>
                <c:pt idx="531">
                  <c:v>11/23/2021</c:v>
                </c:pt>
                <c:pt idx="532">
                  <c:v>11/24/2021</c:v>
                </c:pt>
                <c:pt idx="533">
                  <c:v>11/25/2021</c:v>
                </c:pt>
                <c:pt idx="534">
                  <c:v>11/26/2021</c:v>
                </c:pt>
                <c:pt idx="535">
                  <c:v>11/29/2021</c:v>
                </c:pt>
                <c:pt idx="536">
                  <c:v>11/30/2021</c:v>
                </c:pt>
                <c:pt idx="537">
                  <c:v>12/1/2021</c:v>
                </c:pt>
                <c:pt idx="538">
                  <c:v>12/2/2021</c:v>
                </c:pt>
                <c:pt idx="539">
                  <c:v>12/3/2021</c:v>
                </c:pt>
                <c:pt idx="540">
                  <c:v>12/6/2021</c:v>
                </c:pt>
                <c:pt idx="541">
                  <c:v>12/7/2021</c:v>
                </c:pt>
                <c:pt idx="542">
                  <c:v>12/8/2021</c:v>
                </c:pt>
                <c:pt idx="543">
                  <c:v>12/9/2021</c:v>
                </c:pt>
                <c:pt idx="544">
                  <c:v>12/10/2021</c:v>
                </c:pt>
                <c:pt idx="545">
                  <c:v>12/13/2021</c:v>
                </c:pt>
                <c:pt idx="546">
                  <c:v>12/14/2021</c:v>
                </c:pt>
                <c:pt idx="547">
                  <c:v>12/15/2021</c:v>
                </c:pt>
                <c:pt idx="548">
                  <c:v>12/16/2021</c:v>
                </c:pt>
                <c:pt idx="549">
                  <c:v>12/17/2021</c:v>
                </c:pt>
                <c:pt idx="550">
                  <c:v>12/20/2021</c:v>
                </c:pt>
                <c:pt idx="551">
                  <c:v>12/21/2021</c:v>
                </c:pt>
                <c:pt idx="552">
                  <c:v>12/22/2021</c:v>
                </c:pt>
                <c:pt idx="553">
                  <c:v>12/23/2021</c:v>
                </c:pt>
                <c:pt idx="554">
                  <c:v>12/24/2021</c:v>
                </c:pt>
                <c:pt idx="555">
                  <c:v>12/27/2021</c:v>
                </c:pt>
                <c:pt idx="556">
                  <c:v>12/28/2021</c:v>
                </c:pt>
                <c:pt idx="557">
                  <c:v>12/29/2021</c:v>
                </c:pt>
                <c:pt idx="558">
                  <c:v>12/30/2021</c:v>
                </c:pt>
                <c:pt idx="559">
                  <c:v>12/31/2021</c:v>
                </c:pt>
                <c:pt idx="560">
                  <c:v>1/3/2022</c:v>
                </c:pt>
                <c:pt idx="561">
                  <c:v>1/4/2022</c:v>
                </c:pt>
                <c:pt idx="562">
                  <c:v>1/5/2022</c:v>
                </c:pt>
                <c:pt idx="563">
                  <c:v>1/6/2022</c:v>
                </c:pt>
                <c:pt idx="564">
                  <c:v>1/7/2022</c:v>
                </c:pt>
                <c:pt idx="565">
                  <c:v>1/10/2022</c:v>
                </c:pt>
                <c:pt idx="566">
                  <c:v>1/11/2022</c:v>
                </c:pt>
                <c:pt idx="567">
                  <c:v>1/12/2022</c:v>
                </c:pt>
                <c:pt idx="568">
                  <c:v>1/13/2022</c:v>
                </c:pt>
                <c:pt idx="569">
                  <c:v>1/14/2022</c:v>
                </c:pt>
                <c:pt idx="570">
                  <c:v>1/17/2022</c:v>
                </c:pt>
                <c:pt idx="571">
                  <c:v>1/18/2022</c:v>
                </c:pt>
                <c:pt idx="572">
                  <c:v>1/19/2022</c:v>
                </c:pt>
                <c:pt idx="573">
                  <c:v>1/20/2022</c:v>
                </c:pt>
                <c:pt idx="574">
                  <c:v>1/21/2022</c:v>
                </c:pt>
                <c:pt idx="575">
                  <c:v>1/24/2022</c:v>
                </c:pt>
                <c:pt idx="576">
                  <c:v>1/25/2022</c:v>
                </c:pt>
                <c:pt idx="577">
                  <c:v>1/26/2022</c:v>
                </c:pt>
                <c:pt idx="578">
                  <c:v>1/27/2022</c:v>
                </c:pt>
                <c:pt idx="579">
                  <c:v>1/28/2022</c:v>
                </c:pt>
                <c:pt idx="580">
                  <c:v>1/31/2022</c:v>
                </c:pt>
                <c:pt idx="581">
                  <c:v>2/1/2022</c:v>
                </c:pt>
                <c:pt idx="582">
                  <c:v>2/2/2022</c:v>
                </c:pt>
                <c:pt idx="583">
                  <c:v>2/3/2022</c:v>
                </c:pt>
                <c:pt idx="584">
                  <c:v>2/4/2022</c:v>
                </c:pt>
                <c:pt idx="585">
                  <c:v>2/7/2022</c:v>
                </c:pt>
                <c:pt idx="586">
                  <c:v>2/8/2022</c:v>
                </c:pt>
                <c:pt idx="587">
                  <c:v>2/9/2022</c:v>
                </c:pt>
                <c:pt idx="588">
                  <c:v>2/10/2022</c:v>
                </c:pt>
                <c:pt idx="589">
                  <c:v>2/11/2022</c:v>
                </c:pt>
                <c:pt idx="590">
                  <c:v>2/14/2022</c:v>
                </c:pt>
                <c:pt idx="591">
                  <c:v>2/15/2022</c:v>
                </c:pt>
                <c:pt idx="592">
                  <c:v>2/16/2022</c:v>
                </c:pt>
                <c:pt idx="593">
                  <c:v>2/17/2022</c:v>
                </c:pt>
                <c:pt idx="594">
                  <c:v>2/18/2022</c:v>
                </c:pt>
                <c:pt idx="595">
                  <c:v>2/21/2022</c:v>
                </c:pt>
                <c:pt idx="596">
                  <c:v>2/22/2022</c:v>
                </c:pt>
                <c:pt idx="597">
                  <c:v>2/23/2022</c:v>
                </c:pt>
                <c:pt idx="598">
                  <c:v>2/24/2022</c:v>
                </c:pt>
                <c:pt idx="599">
                  <c:v>2/25/2022</c:v>
                </c:pt>
                <c:pt idx="600">
                  <c:v>2/28/2022</c:v>
                </c:pt>
                <c:pt idx="601">
                  <c:v>3/1/2022</c:v>
                </c:pt>
                <c:pt idx="602">
                  <c:v>3/2/2022</c:v>
                </c:pt>
                <c:pt idx="603">
                  <c:v>3/3/2022</c:v>
                </c:pt>
                <c:pt idx="604">
                  <c:v>3/4/2022</c:v>
                </c:pt>
                <c:pt idx="605">
                  <c:v>3/7/2022</c:v>
                </c:pt>
                <c:pt idx="606">
                  <c:v>3/8/2022</c:v>
                </c:pt>
                <c:pt idx="607">
                  <c:v>3/9/2022</c:v>
                </c:pt>
                <c:pt idx="608">
                  <c:v>3/10/2022</c:v>
                </c:pt>
                <c:pt idx="609">
                  <c:v>3/11/2022</c:v>
                </c:pt>
                <c:pt idx="610">
                  <c:v>3/14/2022</c:v>
                </c:pt>
                <c:pt idx="611">
                  <c:v>3/15/2022</c:v>
                </c:pt>
                <c:pt idx="612">
                  <c:v>3/16/2022</c:v>
                </c:pt>
                <c:pt idx="613">
                  <c:v>3/17/2022</c:v>
                </c:pt>
                <c:pt idx="614">
                  <c:v>3/18/2022</c:v>
                </c:pt>
                <c:pt idx="615">
                  <c:v>3/21/2022</c:v>
                </c:pt>
                <c:pt idx="616">
                  <c:v>3/22/2022</c:v>
                </c:pt>
                <c:pt idx="617">
                  <c:v>3/23/2022</c:v>
                </c:pt>
                <c:pt idx="618">
                  <c:v>3/24/2022</c:v>
                </c:pt>
                <c:pt idx="619">
                  <c:v>3/25/2022</c:v>
                </c:pt>
                <c:pt idx="620">
                  <c:v>3/28/2022</c:v>
                </c:pt>
                <c:pt idx="621">
                  <c:v>3/29/2022</c:v>
                </c:pt>
                <c:pt idx="622">
                  <c:v>3/30/2022</c:v>
                </c:pt>
                <c:pt idx="623">
                  <c:v>3/31/2022</c:v>
                </c:pt>
                <c:pt idx="624">
                  <c:v>4/1/2022</c:v>
                </c:pt>
                <c:pt idx="625">
                  <c:v>4/4/2022</c:v>
                </c:pt>
                <c:pt idx="626">
                  <c:v>4/5/2022</c:v>
                </c:pt>
                <c:pt idx="627">
                  <c:v>4/6/2022</c:v>
                </c:pt>
                <c:pt idx="628">
                  <c:v>4/7/2022</c:v>
                </c:pt>
                <c:pt idx="629">
                  <c:v>4/8/2022</c:v>
                </c:pt>
                <c:pt idx="630">
                  <c:v>4/11/2022</c:v>
                </c:pt>
                <c:pt idx="631">
                  <c:v>4/12/2022</c:v>
                </c:pt>
                <c:pt idx="632">
                  <c:v>4/13/2022</c:v>
                </c:pt>
                <c:pt idx="633">
                  <c:v>4/14/2022</c:v>
                </c:pt>
                <c:pt idx="634">
                  <c:v>4/18/2022</c:v>
                </c:pt>
                <c:pt idx="635">
                  <c:v>4/19/2022</c:v>
                </c:pt>
                <c:pt idx="636">
                  <c:v>4/20/2022</c:v>
                </c:pt>
                <c:pt idx="637">
                  <c:v>4/21/2022</c:v>
                </c:pt>
                <c:pt idx="638">
                  <c:v>4/22/2022</c:v>
                </c:pt>
                <c:pt idx="639">
                  <c:v>4/25/2022</c:v>
                </c:pt>
                <c:pt idx="640">
                  <c:v>4/26/2022</c:v>
                </c:pt>
                <c:pt idx="641">
                  <c:v>4/27/2022</c:v>
                </c:pt>
                <c:pt idx="642">
                  <c:v>4/28/2022</c:v>
                </c:pt>
                <c:pt idx="643">
                  <c:v>4/29/2022</c:v>
                </c:pt>
                <c:pt idx="644">
                  <c:v>5/2/2022</c:v>
                </c:pt>
                <c:pt idx="645">
                  <c:v>5/3/2022</c:v>
                </c:pt>
                <c:pt idx="646">
                  <c:v>5/4/2022</c:v>
                </c:pt>
                <c:pt idx="647">
                  <c:v>5/5/2022</c:v>
                </c:pt>
                <c:pt idx="648">
                  <c:v>5/6/2022</c:v>
                </c:pt>
                <c:pt idx="649">
                  <c:v>5/9/2022</c:v>
                </c:pt>
                <c:pt idx="650">
                  <c:v>5/10/2022</c:v>
                </c:pt>
                <c:pt idx="651">
                  <c:v>5/11/2022</c:v>
                </c:pt>
                <c:pt idx="652">
                  <c:v>5/12/2022</c:v>
                </c:pt>
                <c:pt idx="653">
                  <c:v>5/13/2022</c:v>
                </c:pt>
                <c:pt idx="654">
                  <c:v>5/16/2022</c:v>
                </c:pt>
                <c:pt idx="655">
                  <c:v>5/17/2022</c:v>
                </c:pt>
                <c:pt idx="656">
                  <c:v>5/18/2022</c:v>
                </c:pt>
                <c:pt idx="657">
                  <c:v>5/19/2022</c:v>
                </c:pt>
                <c:pt idx="658">
                  <c:v>5/20/2022</c:v>
                </c:pt>
                <c:pt idx="659">
                  <c:v>5/23/2022</c:v>
                </c:pt>
                <c:pt idx="660">
                  <c:v>5/24/2022</c:v>
                </c:pt>
                <c:pt idx="661">
                  <c:v>5/25/2022</c:v>
                </c:pt>
                <c:pt idx="662">
                  <c:v>5/26/2022</c:v>
                </c:pt>
                <c:pt idx="663">
                  <c:v>5/27/2022</c:v>
                </c:pt>
                <c:pt idx="664">
                  <c:v>5/30/2022</c:v>
                </c:pt>
                <c:pt idx="665">
                  <c:v>5/31/2022</c:v>
                </c:pt>
                <c:pt idx="666">
                  <c:v>6/1/2022</c:v>
                </c:pt>
                <c:pt idx="667">
                  <c:v>6/2/2022</c:v>
                </c:pt>
                <c:pt idx="668">
                  <c:v>6/3/2022</c:v>
                </c:pt>
                <c:pt idx="669">
                  <c:v>6/6/2022</c:v>
                </c:pt>
                <c:pt idx="670">
                  <c:v>6/7/2022</c:v>
                </c:pt>
                <c:pt idx="671">
                  <c:v>6/8/2022</c:v>
                </c:pt>
                <c:pt idx="672">
                  <c:v>6/9/2022</c:v>
                </c:pt>
                <c:pt idx="673">
                  <c:v>6/10/2022</c:v>
                </c:pt>
                <c:pt idx="674">
                  <c:v>6/13/2022</c:v>
                </c:pt>
                <c:pt idx="675">
                  <c:v>6/14/2022</c:v>
                </c:pt>
                <c:pt idx="676">
                  <c:v>6/15/2022</c:v>
                </c:pt>
                <c:pt idx="677">
                  <c:v>6/16/2022</c:v>
                </c:pt>
                <c:pt idx="678">
                  <c:v>6/17/2022</c:v>
                </c:pt>
                <c:pt idx="679">
                  <c:v>6/21/2022</c:v>
                </c:pt>
                <c:pt idx="680">
                  <c:v>6/22/2022</c:v>
                </c:pt>
                <c:pt idx="681">
                  <c:v>6/23/2022</c:v>
                </c:pt>
                <c:pt idx="682">
                  <c:v>6/24/2022</c:v>
                </c:pt>
                <c:pt idx="683">
                  <c:v>6/27/2022</c:v>
                </c:pt>
              </c:strCache>
            </c:strRef>
          </c:cat>
          <c:val>
            <c:numRef>
              <c:f>CrudeOilNput!$D$2:$D$685</c:f>
              <c:numCache>
                <c:formatCode>"$"#,##0.00</c:formatCode>
                <c:ptCount val="684"/>
                <c:pt idx="0">
                  <c:v>58.32</c:v>
                </c:pt>
                <c:pt idx="1">
                  <c:v>59.1</c:v>
                </c:pt>
                <c:pt idx="2">
                  <c:v>60.51</c:v>
                </c:pt>
                <c:pt idx="3">
                  <c:v>59.35</c:v>
                </c:pt>
                <c:pt idx="4">
                  <c:v>58.74</c:v>
                </c:pt>
                <c:pt idx="5">
                  <c:v>59.42</c:v>
                </c:pt>
                <c:pt idx="6">
                  <c:v>59.91</c:v>
                </c:pt>
                <c:pt idx="7">
                  <c:v>59.42</c:v>
                </c:pt>
                <c:pt idx="8">
                  <c:v>58.96</c:v>
                </c:pt>
                <c:pt idx="9">
                  <c:v>59.7</c:v>
                </c:pt>
                <c:pt idx="10">
                  <c:v>61.17</c:v>
                </c:pt>
                <c:pt idx="11">
                  <c:v>61.67</c:v>
                </c:pt>
                <c:pt idx="12">
                  <c:v>62.02</c:v>
                </c:pt>
                <c:pt idx="13">
                  <c:v>61.57</c:v>
                </c:pt>
                <c:pt idx="14">
                  <c:v>61.59</c:v>
                </c:pt>
                <c:pt idx="15">
                  <c:v>60.61</c:v>
                </c:pt>
                <c:pt idx="16">
                  <c:v>60.23</c:v>
                </c:pt>
                <c:pt idx="17">
                  <c:v>61.69</c:v>
                </c:pt>
                <c:pt idx="18">
                  <c:v>62.13</c:v>
                </c:pt>
                <c:pt idx="19">
                  <c:v>62.96</c:v>
                </c:pt>
                <c:pt idx="20">
                  <c:v>61.74</c:v>
                </c:pt>
                <c:pt idx="21">
                  <c:v>62.29</c:v>
                </c:pt>
                <c:pt idx="22">
                  <c:v>62.51</c:v>
                </c:pt>
                <c:pt idx="23">
                  <c:v>62.18</c:v>
                </c:pt>
                <c:pt idx="24">
                  <c:v>62.06</c:v>
                </c:pt>
                <c:pt idx="25">
                  <c:v>62.37</c:v>
                </c:pt>
                <c:pt idx="26">
                  <c:v>62.28</c:v>
                </c:pt>
                <c:pt idx="27">
                  <c:v>63.3</c:v>
                </c:pt>
                <c:pt idx="28">
                  <c:v>62.44</c:v>
                </c:pt>
                <c:pt idx="29">
                  <c:v>60.91</c:v>
                </c:pt>
                <c:pt idx="30">
                  <c:v>62.4</c:v>
                </c:pt>
                <c:pt idx="31">
                  <c:v>63.97</c:v>
                </c:pt>
                <c:pt idx="32">
                  <c:v>63.39</c:v>
                </c:pt>
                <c:pt idx="33">
                  <c:v>63.65</c:v>
                </c:pt>
                <c:pt idx="34">
                  <c:v>64.27</c:v>
                </c:pt>
                <c:pt idx="35">
                  <c:v>64.06</c:v>
                </c:pt>
                <c:pt idx="36">
                  <c:v>62.43</c:v>
                </c:pt>
                <c:pt idx="37">
                  <c:v>60.92</c:v>
                </c:pt>
                <c:pt idx="38">
                  <c:v>60.82</c:v>
                </c:pt>
                <c:pt idx="39">
                  <c:v>63</c:v>
                </c:pt>
                <c:pt idx="40">
                  <c:v>63.39</c:v>
                </c:pt>
                <c:pt idx="41">
                  <c:v>64.39</c:v>
                </c:pt>
                <c:pt idx="42">
                  <c:v>64.25</c:v>
                </c:pt>
                <c:pt idx="43">
                  <c:v>64.34</c:v>
                </c:pt>
                <c:pt idx="44">
                  <c:v>63.72</c:v>
                </c:pt>
                <c:pt idx="45">
                  <c:v>64.2</c:v>
                </c:pt>
                <c:pt idx="46">
                  <c:v>65.22</c:v>
                </c:pt>
                <c:pt idx="47">
                  <c:v>65.34</c:v>
                </c:pt>
                <c:pt idx="48">
                  <c:v>66.099999999999994</c:v>
                </c:pt>
                <c:pt idx="49">
                  <c:v>66.17</c:v>
                </c:pt>
                <c:pt idx="50">
                  <c:v>66.540000000000006</c:v>
                </c:pt>
                <c:pt idx="51">
                  <c:v>66.14</c:v>
                </c:pt>
                <c:pt idx="52">
                  <c:v>66.39</c:v>
                </c:pt>
                <c:pt idx="53">
                  <c:v>67.2</c:v>
                </c:pt>
                <c:pt idx="54">
                  <c:v>67.92</c:v>
                </c:pt>
                <c:pt idx="55">
                  <c:v>68.16</c:v>
                </c:pt>
                <c:pt idx="56">
                  <c:v>68.44</c:v>
                </c:pt>
                <c:pt idx="57">
                  <c:v>66</c:v>
                </c:pt>
                <c:pt idx="58">
                  <c:v>66.25</c:v>
                </c:pt>
                <c:pt idx="59">
                  <c:v>68.599999999999994</c:v>
                </c:pt>
                <c:pt idx="60">
                  <c:v>68.91</c:v>
                </c:pt>
                <c:pt idx="61">
                  <c:v>68.27</c:v>
                </c:pt>
                <c:pt idx="62">
                  <c:v>65.44</c:v>
                </c:pt>
                <c:pt idx="63">
                  <c:v>65.37</c:v>
                </c:pt>
                <c:pt idx="64">
                  <c:v>64.98</c:v>
                </c:pt>
                <c:pt idx="65">
                  <c:v>64.2</c:v>
                </c:pt>
                <c:pt idx="66">
                  <c:v>64.489999999999995</c:v>
                </c:pt>
                <c:pt idx="67">
                  <c:v>64</c:v>
                </c:pt>
                <c:pt idx="68">
                  <c:v>64.62</c:v>
                </c:pt>
                <c:pt idx="69">
                  <c:v>64.849999999999994</c:v>
                </c:pt>
                <c:pt idx="70">
                  <c:v>64.59</c:v>
                </c:pt>
                <c:pt idx="71">
                  <c:v>63.21</c:v>
                </c:pt>
                <c:pt idx="72">
                  <c:v>62.04</c:v>
                </c:pt>
                <c:pt idx="73">
                  <c:v>60.69</c:v>
                </c:pt>
                <c:pt idx="74">
                  <c:v>59.32</c:v>
                </c:pt>
                <c:pt idx="75">
                  <c:v>59.51</c:v>
                </c:pt>
                <c:pt idx="76">
                  <c:v>59.81</c:v>
                </c:pt>
                <c:pt idx="77">
                  <c:v>58.29</c:v>
                </c:pt>
                <c:pt idx="78">
                  <c:v>58.16</c:v>
                </c:pt>
                <c:pt idx="79">
                  <c:v>54.45</c:v>
                </c:pt>
                <c:pt idx="80">
                  <c:v>53.96</c:v>
                </c:pt>
                <c:pt idx="81">
                  <c:v>55.28</c:v>
                </c:pt>
                <c:pt idx="82">
                  <c:v>54.93</c:v>
                </c:pt>
                <c:pt idx="83">
                  <c:v>54.47</c:v>
                </c:pt>
                <c:pt idx="84">
                  <c:v>53.27</c:v>
                </c:pt>
                <c:pt idx="85">
                  <c:v>54.01</c:v>
                </c:pt>
                <c:pt idx="86">
                  <c:v>55.79</c:v>
                </c:pt>
                <c:pt idx="87">
                  <c:v>56.34</c:v>
                </c:pt>
                <c:pt idx="88">
                  <c:v>57.32</c:v>
                </c:pt>
                <c:pt idx="89">
                  <c:v>57.75</c:v>
                </c:pt>
                <c:pt idx="90">
                  <c:v>59.12</c:v>
                </c:pt>
                <c:pt idx="91">
                  <c:v>59.31</c:v>
                </c:pt>
                <c:pt idx="92">
                  <c:v>58.5</c:v>
                </c:pt>
                <c:pt idx="93">
                  <c:v>56.3</c:v>
                </c:pt>
                <c:pt idx="94">
                  <c:v>54.95</c:v>
                </c:pt>
                <c:pt idx="95">
                  <c:v>53.43</c:v>
                </c:pt>
                <c:pt idx="96">
                  <c:v>52.18</c:v>
                </c:pt>
                <c:pt idx="97">
                  <c:v>50.52</c:v>
                </c:pt>
                <c:pt idx="98">
                  <c:v>51.9</c:v>
                </c:pt>
                <c:pt idx="99">
                  <c:v>51.86</c:v>
                </c:pt>
                <c:pt idx="100">
                  <c:v>51.13</c:v>
                </c:pt>
                <c:pt idx="101">
                  <c:v>49.99</c:v>
                </c:pt>
                <c:pt idx="102">
                  <c:v>45.27</c:v>
                </c:pt>
                <c:pt idx="103">
                  <c:v>34.36</c:v>
                </c:pt>
                <c:pt idx="104">
                  <c:v>37.22</c:v>
                </c:pt>
                <c:pt idx="105">
                  <c:v>35.79</c:v>
                </c:pt>
                <c:pt idx="106">
                  <c:v>33.22</c:v>
                </c:pt>
                <c:pt idx="107">
                  <c:v>33.85</c:v>
                </c:pt>
                <c:pt idx="108">
                  <c:v>30.05</c:v>
                </c:pt>
                <c:pt idx="109">
                  <c:v>28.73</c:v>
                </c:pt>
                <c:pt idx="110">
                  <c:v>24.88</c:v>
                </c:pt>
                <c:pt idx="111">
                  <c:v>28.47</c:v>
                </c:pt>
                <c:pt idx="112">
                  <c:v>26.98</c:v>
                </c:pt>
                <c:pt idx="113">
                  <c:v>27.03</c:v>
                </c:pt>
                <c:pt idx="114">
                  <c:v>27.15</c:v>
                </c:pt>
                <c:pt idx="115">
                  <c:v>27.39</c:v>
                </c:pt>
                <c:pt idx="116">
                  <c:v>26.34</c:v>
                </c:pt>
                <c:pt idx="117">
                  <c:v>24.93</c:v>
                </c:pt>
                <c:pt idx="118">
                  <c:v>22.76</c:v>
                </c:pt>
                <c:pt idx="119">
                  <c:v>26.35</c:v>
                </c:pt>
                <c:pt idx="120">
                  <c:v>24.74</c:v>
                </c:pt>
                <c:pt idx="121">
                  <c:v>29.94</c:v>
                </c:pt>
                <c:pt idx="122">
                  <c:v>34.11</c:v>
                </c:pt>
                <c:pt idx="123">
                  <c:v>33.049999999999997</c:v>
                </c:pt>
                <c:pt idx="124">
                  <c:v>31.87</c:v>
                </c:pt>
                <c:pt idx="125">
                  <c:v>32.840000000000003</c:v>
                </c:pt>
                <c:pt idx="126">
                  <c:v>31.48</c:v>
                </c:pt>
                <c:pt idx="127">
                  <c:v>31.74</c:v>
                </c:pt>
                <c:pt idx="128">
                  <c:v>29.6</c:v>
                </c:pt>
                <c:pt idx="129">
                  <c:v>27.69</c:v>
                </c:pt>
                <c:pt idx="130">
                  <c:v>27.82</c:v>
                </c:pt>
                <c:pt idx="131">
                  <c:v>28.08</c:v>
                </c:pt>
                <c:pt idx="132">
                  <c:v>25.57</c:v>
                </c:pt>
                <c:pt idx="133">
                  <c:v>19.329999999999998</c:v>
                </c:pt>
                <c:pt idx="134">
                  <c:v>20.37</c:v>
                </c:pt>
                <c:pt idx="135">
                  <c:v>21.33</c:v>
                </c:pt>
                <c:pt idx="136">
                  <c:v>21.44</c:v>
                </c:pt>
                <c:pt idx="137">
                  <c:v>19.989999999999998</c:v>
                </c:pt>
                <c:pt idx="138">
                  <c:v>20.46</c:v>
                </c:pt>
                <c:pt idx="139">
                  <c:v>22.54</c:v>
                </c:pt>
                <c:pt idx="140">
                  <c:v>25.27</c:v>
                </c:pt>
                <c:pt idx="141">
                  <c:v>26.44</c:v>
                </c:pt>
                <c:pt idx="142">
                  <c:v>27.2</c:v>
                </c:pt>
                <c:pt idx="143">
                  <c:v>30.97</c:v>
                </c:pt>
                <c:pt idx="144">
                  <c:v>29.72</c:v>
                </c:pt>
                <c:pt idx="145">
                  <c:v>29.46</c:v>
                </c:pt>
                <c:pt idx="146">
                  <c:v>30.97</c:v>
                </c:pt>
                <c:pt idx="147">
                  <c:v>29.63</c:v>
                </c:pt>
                <c:pt idx="148">
                  <c:v>29.98</c:v>
                </c:pt>
                <c:pt idx="149">
                  <c:v>29.19</c:v>
                </c:pt>
                <c:pt idx="150">
                  <c:v>31.13</c:v>
                </c:pt>
                <c:pt idx="151">
                  <c:v>32.5</c:v>
                </c:pt>
                <c:pt idx="152">
                  <c:v>34.81</c:v>
                </c:pt>
                <c:pt idx="153">
                  <c:v>34.65</c:v>
                </c:pt>
                <c:pt idx="154">
                  <c:v>35.75</c:v>
                </c:pt>
                <c:pt idx="155">
                  <c:v>36.06</c:v>
                </c:pt>
                <c:pt idx="156">
                  <c:v>35.130000000000003</c:v>
                </c:pt>
                <c:pt idx="157">
                  <c:v>36.17</c:v>
                </c:pt>
                <c:pt idx="158">
                  <c:v>34.74</c:v>
                </c:pt>
                <c:pt idx="159">
                  <c:v>35.29</c:v>
                </c:pt>
                <c:pt idx="160">
                  <c:v>35.33</c:v>
                </c:pt>
                <c:pt idx="161">
                  <c:v>38.32</c:v>
                </c:pt>
                <c:pt idx="162">
                  <c:v>39.57</c:v>
                </c:pt>
                <c:pt idx="163">
                  <c:v>39.79</c:v>
                </c:pt>
                <c:pt idx="164">
                  <c:v>39.99</c:v>
                </c:pt>
                <c:pt idx="165">
                  <c:v>42.3</c:v>
                </c:pt>
                <c:pt idx="166">
                  <c:v>40.799999999999997</c:v>
                </c:pt>
                <c:pt idx="167">
                  <c:v>41.18</c:v>
                </c:pt>
                <c:pt idx="168">
                  <c:v>41.73</c:v>
                </c:pt>
                <c:pt idx="169">
                  <c:v>38.549999999999997</c:v>
                </c:pt>
                <c:pt idx="170">
                  <c:v>38.729999999999997</c:v>
                </c:pt>
                <c:pt idx="171">
                  <c:v>39.72</c:v>
                </c:pt>
                <c:pt idx="172">
                  <c:v>40.96</c:v>
                </c:pt>
                <c:pt idx="173">
                  <c:v>40.71</c:v>
                </c:pt>
                <c:pt idx="174">
                  <c:v>41.51</c:v>
                </c:pt>
                <c:pt idx="175">
                  <c:v>42.19</c:v>
                </c:pt>
                <c:pt idx="176">
                  <c:v>43.08</c:v>
                </c:pt>
                <c:pt idx="177">
                  <c:v>42.63</c:v>
                </c:pt>
                <c:pt idx="178">
                  <c:v>40.31</c:v>
                </c:pt>
                <c:pt idx="179">
                  <c:v>41.05</c:v>
                </c:pt>
                <c:pt idx="180">
                  <c:v>41.02</c:v>
                </c:pt>
                <c:pt idx="181">
                  <c:v>41.71</c:v>
                </c:pt>
                <c:pt idx="182">
                  <c:v>41.15</c:v>
                </c:pt>
                <c:pt idx="183">
                  <c:v>42.03</c:v>
                </c:pt>
                <c:pt idx="184">
                  <c:v>43.14</c:v>
                </c:pt>
                <c:pt idx="185">
                  <c:v>43.1</c:v>
                </c:pt>
                <c:pt idx="186">
                  <c:v>43.08</c:v>
                </c:pt>
                <c:pt idx="187">
                  <c:v>43.29</c:v>
                </c:pt>
                <c:pt idx="188">
                  <c:v>42.35</c:v>
                </c:pt>
                <c:pt idx="189">
                  <c:v>43.24</c:v>
                </c:pt>
                <c:pt idx="190">
                  <c:v>42.72</c:v>
                </c:pt>
                <c:pt idx="191">
                  <c:v>42.9</c:v>
                </c:pt>
                <c:pt idx="192">
                  <c:v>43.79</c:v>
                </c:pt>
                <c:pt idx="193">
                  <c:v>43.37</c:v>
                </c:pt>
                <c:pt idx="194">
                  <c:v>43.14</c:v>
                </c:pt>
                <c:pt idx="195">
                  <c:v>43.28</c:v>
                </c:pt>
                <c:pt idx="196">
                  <c:v>44.32</c:v>
                </c:pt>
                <c:pt idx="197">
                  <c:v>44.29</c:v>
                </c:pt>
                <c:pt idx="198">
                  <c:v>43.31</c:v>
                </c:pt>
                <c:pt idx="199">
                  <c:v>43.34</c:v>
                </c:pt>
                <c:pt idx="200">
                  <c:v>43.41</c:v>
                </c:pt>
                <c:pt idx="201">
                  <c:v>43.22</c:v>
                </c:pt>
                <c:pt idx="202">
                  <c:v>43.75</c:v>
                </c:pt>
                <c:pt idx="203">
                  <c:v>42.94</c:v>
                </c:pt>
                <c:pt idx="204">
                  <c:v>43.3</c:v>
                </c:pt>
                <c:pt idx="205">
                  <c:v>44.15</c:v>
                </c:pt>
                <c:pt idx="206">
                  <c:v>44.43</c:v>
                </c:pt>
                <c:pt idx="207">
                  <c:v>45.17</c:v>
                </c:pt>
                <c:pt idx="208">
                  <c:v>45.09</c:v>
                </c:pt>
                <c:pt idx="209">
                  <c:v>44.4</c:v>
                </c:pt>
                <c:pt idx="210">
                  <c:v>44.99</c:v>
                </c:pt>
                <c:pt idx="211">
                  <c:v>44.5</c:v>
                </c:pt>
                <c:pt idx="212">
                  <c:v>45.43</c:v>
                </c:pt>
                <c:pt idx="213">
                  <c:v>44.96</c:v>
                </c:pt>
                <c:pt idx="214">
                  <c:v>44.8</c:v>
                </c:pt>
                <c:pt idx="215">
                  <c:v>45.37</c:v>
                </c:pt>
                <c:pt idx="216">
                  <c:v>45.46</c:v>
                </c:pt>
                <c:pt idx="217">
                  <c:v>45.37</c:v>
                </c:pt>
                <c:pt idx="218">
                  <c:v>44.9</c:v>
                </c:pt>
                <c:pt idx="219">
                  <c:v>44.35</c:v>
                </c:pt>
                <c:pt idx="220">
                  <c:v>45.13</c:v>
                </c:pt>
                <c:pt idx="221">
                  <c:v>45.86</c:v>
                </c:pt>
                <c:pt idx="222">
                  <c:v>45.64</c:v>
                </c:pt>
                <c:pt idx="223">
                  <c:v>45.09</c:v>
                </c:pt>
                <c:pt idx="224">
                  <c:v>45.81</c:v>
                </c:pt>
                <c:pt idx="225">
                  <c:v>45.28</c:v>
                </c:pt>
                <c:pt idx="226">
                  <c:v>45.58</c:v>
                </c:pt>
                <c:pt idx="227">
                  <c:v>44.43</c:v>
                </c:pt>
                <c:pt idx="228">
                  <c:v>44.07</c:v>
                </c:pt>
                <c:pt idx="229">
                  <c:v>42.66</c:v>
                </c:pt>
                <c:pt idx="230">
                  <c:v>39.78</c:v>
                </c:pt>
                <c:pt idx="231">
                  <c:v>40.79</c:v>
                </c:pt>
                <c:pt idx="232">
                  <c:v>40.06</c:v>
                </c:pt>
                <c:pt idx="233">
                  <c:v>39.83</c:v>
                </c:pt>
                <c:pt idx="234">
                  <c:v>39.61</c:v>
                </c:pt>
                <c:pt idx="235">
                  <c:v>40.53</c:v>
                </c:pt>
                <c:pt idx="236">
                  <c:v>42.22</c:v>
                </c:pt>
                <c:pt idx="237">
                  <c:v>43.3</c:v>
                </c:pt>
                <c:pt idx="238">
                  <c:v>43.15</c:v>
                </c:pt>
                <c:pt idx="239">
                  <c:v>41.44</c:v>
                </c:pt>
                <c:pt idx="240">
                  <c:v>41.72</c:v>
                </c:pt>
                <c:pt idx="241">
                  <c:v>41.77</c:v>
                </c:pt>
                <c:pt idx="242">
                  <c:v>41.94</c:v>
                </c:pt>
                <c:pt idx="243">
                  <c:v>41.92</c:v>
                </c:pt>
                <c:pt idx="244">
                  <c:v>42.43</c:v>
                </c:pt>
                <c:pt idx="245">
                  <c:v>41.03</c:v>
                </c:pt>
                <c:pt idx="246">
                  <c:v>40.950000000000003</c:v>
                </c:pt>
                <c:pt idx="247">
                  <c:v>40.93</c:v>
                </c:pt>
                <c:pt idx="248">
                  <c:v>39.270000000000003</c:v>
                </c:pt>
                <c:pt idx="249">
                  <c:v>41.29</c:v>
                </c:pt>
                <c:pt idx="250">
                  <c:v>42.65</c:v>
                </c:pt>
                <c:pt idx="251">
                  <c:v>41.99</c:v>
                </c:pt>
                <c:pt idx="252">
                  <c:v>43.34</c:v>
                </c:pt>
                <c:pt idx="253">
                  <c:v>42.85</c:v>
                </c:pt>
                <c:pt idx="254">
                  <c:v>41.72</c:v>
                </c:pt>
                <c:pt idx="255">
                  <c:v>42.45</c:v>
                </c:pt>
                <c:pt idx="256">
                  <c:v>43.32</c:v>
                </c:pt>
                <c:pt idx="257">
                  <c:v>43.16</c:v>
                </c:pt>
                <c:pt idx="258">
                  <c:v>42.93</c:v>
                </c:pt>
                <c:pt idx="259">
                  <c:v>42.62</c:v>
                </c:pt>
                <c:pt idx="260">
                  <c:v>43.16</c:v>
                </c:pt>
                <c:pt idx="261">
                  <c:v>41.73</c:v>
                </c:pt>
                <c:pt idx="262">
                  <c:v>42.46</c:v>
                </c:pt>
                <c:pt idx="263">
                  <c:v>41.77</c:v>
                </c:pt>
                <c:pt idx="264">
                  <c:v>40.46</c:v>
                </c:pt>
                <c:pt idx="265">
                  <c:v>41.2</c:v>
                </c:pt>
                <c:pt idx="266">
                  <c:v>39.119999999999997</c:v>
                </c:pt>
                <c:pt idx="267">
                  <c:v>37.65</c:v>
                </c:pt>
                <c:pt idx="268">
                  <c:v>37.46</c:v>
                </c:pt>
                <c:pt idx="269">
                  <c:v>38.97</c:v>
                </c:pt>
                <c:pt idx="270">
                  <c:v>39.71</c:v>
                </c:pt>
                <c:pt idx="271">
                  <c:v>41.23</c:v>
                </c:pt>
                <c:pt idx="272">
                  <c:v>40.93</c:v>
                </c:pt>
                <c:pt idx="273">
                  <c:v>39.450000000000003</c:v>
                </c:pt>
                <c:pt idx="274">
                  <c:v>42.4</c:v>
                </c:pt>
                <c:pt idx="275">
                  <c:v>43.61</c:v>
                </c:pt>
                <c:pt idx="276">
                  <c:v>43.8</c:v>
                </c:pt>
                <c:pt idx="277">
                  <c:v>43.53</c:v>
                </c:pt>
                <c:pt idx="278">
                  <c:v>42.78</c:v>
                </c:pt>
                <c:pt idx="279">
                  <c:v>43.82</c:v>
                </c:pt>
                <c:pt idx="280">
                  <c:v>43.75</c:v>
                </c:pt>
                <c:pt idx="281">
                  <c:v>44.34</c:v>
                </c:pt>
                <c:pt idx="282">
                  <c:v>44.2</c:v>
                </c:pt>
                <c:pt idx="283">
                  <c:v>44.96</c:v>
                </c:pt>
                <c:pt idx="284">
                  <c:v>46.06</c:v>
                </c:pt>
                <c:pt idx="285">
                  <c:v>47.86</c:v>
                </c:pt>
                <c:pt idx="286">
                  <c:v>48.61</c:v>
                </c:pt>
                <c:pt idx="287">
                  <c:v>48.18</c:v>
                </c:pt>
                <c:pt idx="288">
                  <c:v>47.59</c:v>
                </c:pt>
                <c:pt idx="289">
                  <c:v>47.42</c:v>
                </c:pt>
                <c:pt idx="290">
                  <c:v>48.25</c:v>
                </c:pt>
                <c:pt idx="291">
                  <c:v>48.71</c:v>
                </c:pt>
                <c:pt idx="292">
                  <c:v>49.25</c:v>
                </c:pt>
                <c:pt idx="293">
                  <c:v>48.79</c:v>
                </c:pt>
                <c:pt idx="294">
                  <c:v>48.84</c:v>
                </c:pt>
                <c:pt idx="295">
                  <c:v>48.86</c:v>
                </c:pt>
                <c:pt idx="296">
                  <c:v>50.25</c:v>
                </c:pt>
                <c:pt idx="297">
                  <c:v>49.97</c:v>
                </c:pt>
                <c:pt idx="298">
                  <c:v>50.29</c:v>
                </c:pt>
                <c:pt idx="299">
                  <c:v>50.76</c:v>
                </c:pt>
                <c:pt idx="300">
                  <c:v>51.08</c:v>
                </c:pt>
                <c:pt idx="301">
                  <c:v>51.5</c:v>
                </c:pt>
                <c:pt idx="302">
                  <c:v>52.26</c:v>
                </c:pt>
                <c:pt idx="303">
                  <c:v>50.91</c:v>
                </c:pt>
                <c:pt idx="304">
                  <c:v>50.08</c:v>
                </c:pt>
                <c:pt idx="305">
                  <c:v>51.2</c:v>
                </c:pt>
                <c:pt idx="306">
                  <c:v>51.29</c:v>
                </c:pt>
                <c:pt idx="307">
                  <c:v>50.86</c:v>
                </c:pt>
                <c:pt idx="308">
                  <c:v>51.09</c:v>
                </c:pt>
                <c:pt idx="309">
                  <c:v>51.34</c:v>
                </c:pt>
                <c:pt idx="310">
                  <c:v>51.8</c:v>
                </c:pt>
                <c:pt idx="311">
                  <c:v>51.09</c:v>
                </c:pt>
                <c:pt idx="312">
                  <c:v>53.6</c:v>
                </c:pt>
                <c:pt idx="313">
                  <c:v>54.3</c:v>
                </c:pt>
                <c:pt idx="314">
                  <c:v>54.38</c:v>
                </c:pt>
                <c:pt idx="315">
                  <c:v>55.99</c:v>
                </c:pt>
                <c:pt idx="316">
                  <c:v>55.66</c:v>
                </c:pt>
                <c:pt idx="317">
                  <c:v>56.58</c:v>
                </c:pt>
                <c:pt idx="318">
                  <c:v>56.06</c:v>
                </c:pt>
                <c:pt idx="319">
                  <c:v>56.42</c:v>
                </c:pt>
                <c:pt idx="320">
                  <c:v>55.1</c:v>
                </c:pt>
                <c:pt idx="321">
                  <c:v>55.9</c:v>
                </c:pt>
                <c:pt idx="322">
                  <c:v>56.08</c:v>
                </c:pt>
                <c:pt idx="323">
                  <c:v>56.1</c:v>
                </c:pt>
                <c:pt idx="324">
                  <c:v>55.41</c:v>
                </c:pt>
                <c:pt idx="325">
                  <c:v>55.88</c:v>
                </c:pt>
                <c:pt idx="326">
                  <c:v>55.91</c:v>
                </c:pt>
                <c:pt idx="327">
                  <c:v>55.81</c:v>
                </c:pt>
                <c:pt idx="328">
                  <c:v>55.53</c:v>
                </c:pt>
                <c:pt idx="329">
                  <c:v>55.88</c:v>
                </c:pt>
                <c:pt idx="330">
                  <c:v>56.35</c:v>
                </c:pt>
                <c:pt idx="331">
                  <c:v>57.46</c:v>
                </c:pt>
                <c:pt idx="332">
                  <c:v>58.46</c:v>
                </c:pt>
                <c:pt idx="333">
                  <c:v>58.84</c:v>
                </c:pt>
                <c:pt idx="334">
                  <c:v>59.34</c:v>
                </c:pt>
                <c:pt idx="335">
                  <c:v>60.56</c:v>
                </c:pt>
                <c:pt idx="336">
                  <c:v>61.09</c:v>
                </c:pt>
                <c:pt idx="337">
                  <c:v>61.47</c:v>
                </c:pt>
                <c:pt idx="338">
                  <c:v>61.14</c:v>
                </c:pt>
                <c:pt idx="339">
                  <c:v>62.43</c:v>
                </c:pt>
                <c:pt idx="340">
                  <c:v>63.35</c:v>
                </c:pt>
                <c:pt idx="341">
                  <c:v>64.34</c:v>
                </c:pt>
                <c:pt idx="342">
                  <c:v>63.93</c:v>
                </c:pt>
                <c:pt idx="343">
                  <c:v>62.91</c:v>
                </c:pt>
                <c:pt idx="344">
                  <c:v>65.239999999999995</c:v>
                </c:pt>
                <c:pt idx="345">
                  <c:v>65.37</c:v>
                </c:pt>
                <c:pt idx="346">
                  <c:v>67.040000000000006</c:v>
                </c:pt>
                <c:pt idx="347">
                  <c:v>66.88</c:v>
                </c:pt>
                <c:pt idx="348">
                  <c:v>66.13</c:v>
                </c:pt>
                <c:pt idx="349">
                  <c:v>63.69</c:v>
                </c:pt>
                <c:pt idx="350">
                  <c:v>62.7</c:v>
                </c:pt>
                <c:pt idx="351">
                  <c:v>64.069999999999993</c:v>
                </c:pt>
                <c:pt idx="352">
                  <c:v>66.739999999999995</c:v>
                </c:pt>
                <c:pt idx="353">
                  <c:v>69.36</c:v>
                </c:pt>
                <c:pt idx="354">
                  <c:v>68.239999999999995</c:v>
                </c:pt>
                <c:pt idx="355">
                  <c:v>67.52</c:v>
                </c:pt>
                <c:pt idx="356">
                  <c:v>67.900000000000006</c:v>
                </c:pt>
                <c:pt idx="357">
                  <c:v>69.63</c:v>
                </c:pt>
                <c:pt idx="358">
                  <c:v>69.22</c:v>
                </c:pt>
                <c:pt idx="359">
                  <c:v>68.88</c:v>
                </c:pt>
                <c:pt idx="360">
                  <c:v>68.39</c:v>
                </c:pt>
                <c:pt idx="361">
                  <c:v>68</c:v>
                </c:pt>
                <c:pt idx="362">
                  <c:v>63.28</c:v>
                </c:pt>
                <c:pt idx="363">
                  <c:v>64.53</c:v>
                </c:pt>
                <c:pt idx="364">
                  <c:v>64.62</c:v>
                </c:pt>
                <c:pt idx="365">
                  <c:v>60.79</c:v>
                </c:pt>
                <c:pt idx="366">
                  <c:v>64.41</c:v>
                </c:pt>
                <c:pt idx="367">
                  <c:v>61.95</c:v>
                </c:pt>
                <c:pt idx="368">
                  <c:v>64.569999999999993</c:v>
                </c:pt>
                <c:pt idx="369">
                  <c:v>64.98</c:v>
                </c:pt>
                <c:pt idx="370">
                  <c:v>64.14</c:v>
                </c:pt>
                <c:pt idx="371">
                  <c:v>63.54</c:v>
                </c:pt>
                <c:pt idx="372">
                  <c:v>64.86</c:v>
                </c:pt>
                <c:pt idx="373">
                  <c:v>62.15</c:v>
                </c:pt>
                <c:pt idx="374">
                  <c:v>62.74</c:v>
                </c:pt>
                <c:pt idx="375">
                  <c:v>63.16</c:v>
                </c:pt>
                <c:pt idx="376">
                  <c:v>63.2</c:v>
                </c:pt>
                <c:pt idx="377">
                  <c:v>62.95</c:v>
                </c:pt>
                <c:pt idx="378">
                  <c:v>63.28</c:v>
                </c:pt>
                <c:pt idx="379">
                  <c:v>63.67</c:v>
                </c:pt>
                <c:pt idx="380">
                  <c:v>66.58</c:v>
                </c:pt>
                <c:pt idx="381">
                  <c:v>66.94</c:v>
                </c:pt>
                <c:pt idx="382">
                  <c:v>66.77</c:v>
                </c:pt>
                <c:pt idx="383">
                  <c:v>67.05</c:v>
                </c:pt>
                <c:pt idx="384">
                  <c:v>66.569999999999993</c:v>
                </c:pt>
                <c:pt idx="385">
                  <c:v>65.319999999999993</c:v>
                </c:pt>
                <c:pt idx="386">
                  <c:v>65.400000000000006</c:v>
                </c:pt>
                <c:pt idx="387">
                  <c:v>66.11</c:v>
                </c:pt>
                <c:pt idx="388">
                  <c:v>65.650000000000006</c:v>
                </c:pt>
                <c:pt idx="389">
                  <c:v>66.42</c:v>
                </c:pt>
                <c:pt idx="390">
                  <c:v>67.27</c:v>
                </c:pt>
                <c:pt idx="391">
                  <c:v>68.56</c:v>
                </c:pt>
                <c:pt idx="392">
                  <c:v>67.25</c:v>
                </c:pt>
                <c:pt idx="393">
                  <c:v>67.56</c:v>
                </c:pt>
                <c:pt idx="394">
                  <c:v>68.88</c:v>
                </c:pt>
                <c:pt idx="395">
                  <c:v>68.959999999999994</c:v>
                </c:pt>
                <c:pt idx="396">
                  <c:v>68.09</c:v>
                </c:pt>
                <c:pt idx="397">
                  <c:v>68.28</c:v>
                </c:pt>
                <c:pt idx="398">
                  <c:v>68.319999999999993</c:v>
                </c:pt>
                <c:pt idx="399">
                  <c:v>68.55</c:v>
                </c:pt>
                <c:pt idx="400">
                  <c:v>69.319999999999993</c:v>
                </c:pt>
                <c:pt idx="401">
                  <c:v>67.05</c:v>
                </c:pt>
                <c:pt idx="402">
                  <c:v>68.709999999999994</c:v>
                </c:pt>
                <c:pt idx="403">
                  <c:v>69.459999999999994</c:v>
                </c:pt>
                <c:pt idx="404">
                  <c:v>68.709999999999994</c:v>
                </c:pt>
                <c:pt idx="405">
                  <c:v>66.66</c:v>
                </c:pt>
                <c:pt idx="406">
                  <c:v>65.11</c:v>
                </c:pt>
                <c:pt idx="407">
                  <c:v>66.44</c:v>
                </c:pt>
                <c:pt idx="408">
                  <c:v>68.459999999999994</c:v>
                </c:pt>
                <c:pt idx="409">
                  <c:v>68.650000000000006</c:v>
                </c:pt>
                <c:pt idx="410">
                  <c:v>68.87</c:v>
                </c:pt>
                <c:pt idx="411">
                  <c:v>69.459999999999994</c:v>
                </c:pt>
                <c:pt idx="412">
                  <c:v>69.63</c:v>
                </c:pt>
                <c:pt idx="413">
                  <c:v>70.25</c:v>
                </c:pt>
                <c:pt idx="414">
                  <c:v>71.349999999999994</c:v>
                </c:pt>
                <c:pt idx="415">
                  <c:v>71.31</c:v>
                </c:pt>
                <c:pt idx="416">
                  <c:v>71.89</c:v>
                </c:pt>
                <c:pt idx="417">
                  <c:v>71.489999999999995</c:v>
                </c:pt>
                <c:pt idx="418">
                  <c:v>72.22</c:v>
                </c:pt>
                <c:pt idx="419">
                  <c:v>72.03</c:v>
                </c:pt>
                <c:pt idx="420">
                  <c:v>72.52</c:v>
                </c:pt>
                <c:pt idx="421">
                  <c:v>72.69</c:v>
                </c:pt>
                <c:pt idx="422">
                  <c:v>72.86</c:v>
                </c:pt>
                <c:pt idx="423">
                  <c:v>73.989999999999995</c:v>
                </c:pt>
                <c:pt idx="424">
                  <c:v>74.39</c:v>
                </c:pt>
                <c:pt idx="425">
                  <c:v>73.08</c:v>
                </c:pt>
                <c:pt idx="426">
                  <c:v>73.510000000000005</c:v>
                </c:pt>
                <c:pt idx="427">
                  <c:v>74.900000000000006</c:v>
                </c:pt>
                <c:pt idx="428">
                  <c:v>74.81</c:v>
                </c:pt>
                <c:pt idx="429">
                  <c:v>75.19</c:v>
                </c:pt>
                <c:pt idx="430">
                  <c:v>75.56</c:v>
                </c:pt>
                <c:pt idx="431">
                  <c:v>76.180000000000007</c:v>
                </c:pt>
                <c:pt idx="432">
                  <c:v>74.680000000000007</c:v>
                </c:pt>
                <c:pt idx="433">
                  <c:v>74.760000000000005</c:v>
                </c:pt>
                <c:pt idx="434">
                  <c:v>75.13</c:v>
                </c:pt>
                <c:pt idx="435">
                  <c:v>75.84</c:v>
                </c:pt>
                <c:pt idx="436">
                  <c:v>76.17</c:v>
                </c:pt>
                <c:pt idx="437">
                  <c:v>74.53</c:v>
                </c:pt>
                <c:pt idx="438">
                  <c:v>73.430000000000007</c:v>
                </c:pt>
                <c:pt idx="439">
                  <c:v>74.12</c:v>
                </c:pt>
                <c:pt idx="440">
                  <c:v>75.55</c:v>
                </c:pt>
                <c:pt idx="441">
                  <c:v>75.16</c:v>
                </c:pt>
                <c:pt idx="442">
                  <c:v>76.489999999999995</c:v>
                </c:pt>
                <c:pt idx="443">
                  <c:v>74.760000000000005</c:v>
                </c:pt>
                <c:pt idx="444">
                  <c:v>73.47</c:v>
                </c:pt>
                <c:pt idx="445">
                  <c:v>73.59</c:v>
                </c:pt>
                <c:pt idx="446">
                  <c:v>68.62</c:v>
                </c:pt>
                <c:pt idx="447">
                  <c:v>69.349999999999994</c:v>
                </c:pt>
                <c:pt idx="448">
                  <c:v>72.23</c:v>
                </c:pt>
                <c:pt idx="449">
                  <c:v>73.790000000000006</c:v>
                </c:pt>
                <c:pt idx="450">
                  <c:v>74.099999999999994</c:v>
                </c:pt>
                <c:pt idx="451">
                  <c:v>74.5</c:v>
                </c:pt>
                <c:pt idx="452">
                  <c:v>74.48</c:v>
                </c:pt>
                <c:pt idx="453">
                  <c:v>74.739999999999995</c:v>
                </c:pt>
                <c:pt idx="454">
                  <c:v>76.05</c:v>
                </c:pt>
                <c:pt idx="455">
                  <c:v>76.33</c:v>
                </c:pt>
                <c:pt idx="456">
                  <c:v>72.89</c:v>
                </c:pt>
                <c:pt idx="457">
                  <c:v>72.41</c:v>
                </c:pt>
                <c:pt idx="458">
                  <c:v>70.38</c:v>
                </c:pt>
                <c:pt idx="459">
                  <c:v>71.290000000000006</c:v>
                </c:pt>
                <c:pt idx="460">
                  <c:v>70.7</c:v>
                </c:pt>
                <c:pt idx="461">
                  <c:v>69.040000000000006</c:v>
                </c:pt>
                <c:pt idx="462">
                  <c:v>70.63</c:v>
                </c:pt>
                <c:pt idx="463">
                  <c:v>71.44</c:v>
                </c:pt>
                <c:pt idx="464">
                  <c:v>71.31</c:v>
                </c:pt>
                <c:pt idx="465">
                  <c:v>70.59</c:v>
                </c:pt>
                <c:pt idx="466">
                  <c:v>69.510000000000005</c:v>
                </c:pt>
                <c:pt idx="467">
                  <c:v>69.03</c:v>
                </c:pt>
                <c:pt idx="468">
                  <c:v>68.23</c:v>
                </c:pt>
                <c:pt idx="469">
                  <c:v>66.45</c:v>
                </c:pt>
                <c:pt idx="470">
                  <c:v>65.180000000000007</c:v>
                </c:pt>
                <c:pt idx="471">
                  <c:v>68.75</c:v>
                </c:pt>
                <c:pt idx="472">
                  <c:v>71.05</c:v>
                </c:pt>
                <c:pt idx="473">
                  <c:v>72.25</c:v>
                </c:pt>
                <c:pt idx="474">
                  <c:v>71.069999999999993</c:v>
                </c:pt>
                <c:pt idx="475">
                  <c:v>72.7</c:v>
                </c:pt>
                <c:pt idx="476">
                  <c:v>73.41</c:v>
                </c:pt>
                <c:pt idx="477">
                  <c:v>72.989999999999995</c:v>
                </c:pt>
                <c:pt idx="478">
                  <c:v>71.59</c:v>
                </c:pt>
                <c:pt idx="479">
                  <c:v>73.03</c:v>
                </c:pt>
                <c:pt idx="480">
                  <c:v>72.61</c:v>
                </c:pt>
                <c:pt idx="481">
                  <c:v>71.69</c:v>
                </c:pt>
                <c:pt idx="482">
                  <c:v>72.599999999999994</c:v>
                </c:pt>
                <c:pt idx="483">
                  <c:v>71.45</c:v>
                </c:pt>
                <c:pt idx="484">
                  <c:v>72.92</c:v>
                </c:pt>
                <c:pt idx="485">
                  <c:v>73.510000000000005</c:v>
                </c:pt>
                <c:pt idx="486">
                  <c:v>73.599999999999994</c:v>
                </c:pt>
                <c:pt idx="487">
                  <c:v>75.459999999999994</c:v>
                </c:pt>
                <c:pt idx="488">
                  <c:v>75.67</c:v>
                </c:pt>
                <c:pt idx="489">
                  <c:v>75.34</c:v>
                </c:pt>
                <c:pt idx="490">
                  <c:v>73.92</c:v>
                </c:pt>
                <c:pt idx="491">
                  <c:v>74.36</c:v>
                </c:pt>
                <c:pt idx="492">
                  <c:v>76.19</c:v>
                </c:pt>
                <c:pt idx="493">
                  <c:v>77.25</c:v>
                </c:pt>
                <c:pt idx="494">
                  <c:v>78.09</c:v>
                </c:pt>
                <c:pt idx="495">
                  <c:v>79.53</c:v>
                </c:pt>
                <c:pt idx="496">
                  <c:v>79.09</c:v>
                </c:pt>
                <c:pt idx="497">
                  <c:v>78.64</c:v>
                </c:pt>
                <c:pt idx="498">
                  <c:v>78.52</c:v>
                </c:pt>
                <c:pt idx="499">
                  <c:v>79.28</c:v>
                </c:pt>
                <c:pt idx="500">
                  <c:v>81.260000000000005</c:v>
                </c:pt>
                <c:pt idx="501">
                  <c:v>82.56</c:v>
                </c:pt>
                <c:pt idx="502">
                  <c:v>81.08</c:v>
                </c:pt>
                <c:pt idx="503">
                  <c:v>81.95</c:v>
                </c:pt>
                <c:pt idx="504">
                  <c:v>82.39</c:v>
                </c:pt>
                <c:pt idx="505">
                  <c:v>83.65</c:v>
                </c:pt>
                <c:pt idx="506">
                  <c:v>83.42</c:v>
                </c:pt>
                <c:pt idx="507">
                  <c:v>83.18</c:v>
                </c:pt>
                <c:pt idx="508">
                  <c:v>84</c:v>
                </c:pt>
                <c:pt idx="509">
                  <c:v>84.86</c:v>
                </c:pt>
                <c:pt idx="510">
                  <c:v>84.33</c:v>
                </c:pt>
                <c:pt idx="511">
                  <c:v>85.08</c:v>
                </c:pt>
                <c:pt idx="512">
                  <c:v>85.82</c:v>
                </c:pt>
                <c:pt idx="513">
                  <c:v>84.61</c:v>
                </c:pt>
                <c:pt idx="514">
                  <c:v>85.53</c:v>
                </c:pt>
                <c:pt idx="515">
                  <c:v>85.99</c:v>
                </c:pt>
                <c:pt idx="516">
                  <c:v>86.4</c:v>
                </c:pt>
                <c:pt idx="517">
                  <c:v>84.58</c:v>
                </c:pt>
                <c:pt idx="518">
                  <c:v>84.32</c:v>
                </c:pt>
                <c:pt idx="519">
                  <c:v>84.38</c:v>
                </c:pt>
                <c:pt idx="520">
                  <c:v>84.71</c:v>
                </c:pt>
                <c:pt idx="521">
                  <c:v>84.72</c:v>
                </c:pt>
                <c:pt idx="522">
                  <c:v>81.99</c:v>
                </c:pt>
                <c:pt idx="523">
                  <c:v>80.540000000000006</c:v>
                </c:pt>
                <c:pt idx="524">
                  <c:v>82.74</c:v>
                </c:pt>
                <c:pt idx="525">
                  <c:v>83.43</c:v>
                </c:pt>
                <c:pt idx="526">
                  <c:v>84.78</c:v>
                </c:pt>
                <c:pt idx="527">
                  <c:v>82.64</c:v>
                </c:pt>
                <c:pt idx="528">
                  <c:v>82.87</c:v>
                </c:pt>
                <c:pt idx="529">
                  <c:v>82.17</c:v>
                </c:pt>
                <c:pt idx="530">
                  <c:v>82.05</c:v>
                </c:pt>
                <c:pt idx="531">
                  <c:v>82.43</c:v>
                </c:pt>
                <c:pt idx="532">
                  <c:v>80.28</c:v>
                </c:pt>
                <c:pt idx="533">
                  <c:v>81.239999999999995</c:v>
                </c:pt>
                <c:pt idx="534">
                  <c:v>78.89</c:v>
                </c:pt>
                <c:pt idx="535">
                  <c:v>79.7</c:v>
                </c:pt>
                <c:pt idx="536">
                  <c:v>82.31</c:v>
                </c:pt>
                <c:pt idx="537">
                  <c:v>82.25</c:v>
                </c:pt>
                <c:pt idx="538">
                  <c:v>72.72</c:v>
                </c:pt>
                <c:pt idx="539">
                  <c:v>73.44</c:v>
                </c:pt>
                <c:pt idx="540">
                  <c:v>70.569999999999993</c:v>
                </c:pt>
                <c:pt idx="541">
                  <c:v>68.87</c:v>
                </c:pt>
                <c:pt idx="542">
                  <c:v>69.67</c:v>
                </c:pt>
                <c:pt idx="543">
                  <c:v>69.88</c:v>
                </c:pt>
                <c:pt idx="544">
                  <c:v>73.08</c:v>
                </c:pt>
                <c:pt idx="545">
                  <c:v>75.44</c:v>
                </c:pt>
                <c:pt idx="546">
                  <c:v>75.819999999999993</c:v>
                </c:pt>
                <c:pt idx="547">
                  <c:v>74.42</c:v>
                </c:pt>
                <c:pt idx="548">
                  <c:v>75.150000000000006</c:v>
                </c:pt>
                <c:pt idx="549">
                  <c:v>74.39</c:v>
                </c:pt>
                <c:pt idx="550">
                  <c:v>73.7</c:v>
                </c:pt>
                <c:pt idx="551">
                  <c:v>73.88</c:v>
                </c:pt>
                <c:pt idx="552">
                  <c:v>75.02</c:v>
                </c:pt>
                <c:pt idx="553">
                  <c:v>73.52</c:v>
                </c:pt>
                <c:pt idx="554">
                  <c:v>71.52</c:v>
                </c:pt>
                <c:pt idx="555">
                  <c:v>73.98</c:v>
                </c:pt>
                <c:pt idx="556">
                  <c:v>75.290000000000006</c:v>
                </c:pt>
                <c:pt idx="557">
                  <c:v>76.849999999999994</c:v>
                </c:pt>
                <c:pt idx="558">
                  <c:v>78.599999999999994</c:v>
                </c:pt>
                <c:pt idx="559">
                  <c:v>78.94</c:v>
                </c:pt>
                <c:pt idx="560">
                  <c:v>79.23</c:v>
                </c:pt>
                <c:pt idx="561">
                  <c:v>79.319999999999993</c:v>
                </c:pt>
                <c:pt idx="562">
                  <c:v>77.78</c:v>
                </c:pt>
                <c:pt idx="563">
                  <c:v>78.98</c:v>
                </c:pt>
                <c:pt idx="564">
                  <c:v>80</c:v>
                </c:pt>
                <c:pt idx="565">
                  <c:v>80.8</c:v>
                </c:pt>
                <c:pt idx="566">
                  <c:v>81.99</c:v>
                </c:pt>
                <c:pt idx="567">
                  <c:v>81.75</c:v>
                </c:pt>
                <c:pt idx="568">
                  <c:v>80.87</c:v>
                </c:pt>
                <c:pt idx="569">
                  <c:v>83.72</c:v>
                </c:pt>
                <c:pt idx="570">
                  <c:v>84.67</c:v>
                </c:pt>
                <c:pt idx="571">
                  <c:v>84.47</c:v>
                </c:pt>
                <c:pt idx="572">
                  <c:v>86.06</c:v>
                </c:pt>
                <c:pt idx="573">
                  <c:v>87.51</c:v>
                </c:pt>
                <c:pt idx="574">
                  <c:v>88.44</c:v>
                </c:pt>
                <c:pt idx="575">
                  <c:v>88.38</c:v>
                </c:pt>
                <c:pt idx="576">
                  <c:v>87.89</c:v>
                </c:pt>
                <c:pt idx="577">
                  <c:v>86.27</c:v>
                </c:pt>
                <c:pt idx="578">
                  <c:v>88.2</c:v>
                </c:pt>
                <c:pt idx="579">
                  <c:v>89.96</c:v>
                </c:pt>
                <c:pt idx="580">
                  <c:v>89.34</c:v>
                </c:pt>
                <c:pt idx="581">
                  <c:v>90.03</c:v>
                </c:pt>
                <c:pt idx="582">
                  <c:v>91.21</c:v>
                </c:pt>
                <c:pt idx="583">
                  <c:v>89.16</c:v>
                </c:pt>
                <c:pt idx="584">
                  <c:v>89.47</c:v>
                </c:pt>
                <c:pt idx="585">
                  <c:v>91.11</c:v>
                </c:pt>
                <c:pt idx="586">
                  <c:v>93.27</c:v>
                </c:pt>
                <c:pt idx="587">
                  <c:v>92.69</c:v>
                </c:pt>
                <c:pt idx="588">
                  <c:v>90.78</c:v>
                </c:pt>
                <c:pt idx="589">
                  <c:v>91.55</c:v>
                </c:pt>
                <c:pt idx="590">
                  <c:v>91.41</c:v>
                </c:pt>
                <c:pt idx="591">
                  <c:v>94.44</c:v>
                </c:pt>
                <c:pt idx="592">
                  <c:v>96.48</c:v>
                </c:pt>
                <c:pt idx="593">
                  <c:v>93.28</c:v>
                </c:pt>
                <c:pt idx="594">
                  <c:v>94.81</c:v>
                </c:pt>
                <c:pt idx="595">
                  <c:v>92.97</c:v>
                </c:pt>
                <c:pt idx="596">
                  <c:v>93.54</c:v>
                </c:pt>
                <c:pt idx="597">
                  <c:v>96.84</c:v>
                </c:pt>
                <c:pt idx="598">
                  <c:v>97.13</c:v>
                </c:pt>
                <c:pt idx="599">
                  <c:v>99.08</c:v>
                </c:pt>
                <c:pt idx="600">
                  <c:v>97.93</c:v>
                </c:pt>
                <c:pt idx="601">
                  <c:v>100.99</c:v>
                </c:pt>
                <c:pt idx="602">
                  <c:v>104.97</c:v>
                </c:pt>
                <c:pt idx="603">
                  <c:v>112.93</c:v>
                </c:pt>
                <c:pt idx="604">
                  <c:v>110.46</c:v>
                </c:pt>
                <c:pt idx="605">
                  <c:v>118.11</c:v>
                </c:pt>
                <c:pt idx="606">
                  <c:v>123.21</c:v>
                </c:pt>
                <c:pt idx="607">
                  <c:v>127.98</c:v>
                </c:pt>
                <c:pt idx="608">
                  <c:v>111.14</c:v>
                </c:pt>
                <c:pt idx="609">
                  <c:v>109.33</c:v>
                </c:pt>
                <c:pt idx="610">
                  <c:v>112.67</c:v>
                </c:pt>
                <c:pt idx="611">
                  <c:v>106.9</c:v>
                </c:pt>
                <c:pt idx="612">
                  <c:v>99.91</c:v>
                </c:pt>
                <c:pt idx="613">
                  <c:v>98.02</c:v>
                </c:pt>
                <c:pt idx="614">
                  <c:v>106.64</c:v>
                </c:pt>
                <c:pt idx="615">
                  <c:v>107.93</c:v>
                </c:pt>
                <c:pt idx="616">
                  <c:v>115.62</c:v>
                </c:pt>
                <c:pt idx="617">
                  <c:v>115.48</c:v>
                </c:pt>
                <c:pt idx="618">
                  <c:v>121.6</c:v>
                </c:pt>
                <c:pt idx="619">
                  <c:v>119.03</c:v>
                </c:pt>
                <c:pt idx="620">
                  <c:v>120.65</c:v>
                </c:pt>
                <c:pt idx="621">
                  <c:v>112.48</c:v>
                </c:pt>
                <c:pt idx="622">
                  <c:v>110.23</c:v>
                </c:pt>
                <c:pt idx="623">
                  <c:v>113.45</c:v>
                </c:pt>
                <c:pt idx="624">
                  <c:v>107.91</c:v>
                </c:pt>
                <c:pt idx="625">
                  <c:v>104.39</c:v>
                </c:pt>
                <c:pt idx="626">
                  <c:v>107.53</c:v>
                </c:pt>
                <c:pt idx="627">
                  <c:v>106.64</c:v>
                </c:pt>
                <c:pt idx="628">
                  <c:v>101.07</c:v>
                </c:pt>
                <c:pt idx="629">
                  <c:v>100.58</c:v>
                </c:pt>
                <c:pt idx="630">
                  <c:v>102.78</c:v>
                </c:pt>
                <c:pt idx="631">
                  <c:v>98.48</c:v>
                </c:pt>
                <c:pt idx="632">
                  <c:v>104.64</c:v>
                </c:pt>
                <c:pt idx="633">
                  <c:v>108.78</c:v>
                </c:pt>
                <c:pt idx="634">
                  <c:v>111.7</c:v>
                </c:pt>
                <c:pt idx="635">
                  <c:v>113.16</c:v>
                </c:pt>
                <c:pt idx="636">
                  <c:v>107.25</c:v>
                </c:pt>
                <c:pt idx="637">
                  <c:v>106.8</c:v>
                </c:pt>
                <c:pt idx="638">
                  <c:v>108.33</c:v>
                </c:pt>
                <c:pt idx="639">
                  <c:v>106.65</c:v>
                </c:pt>
                <c:pt idx="640">
                  <c:v>102.32</c:v>
                </c:pt>
                <c:pt idx="641">
                  <c:v>104.99</c:v>
                </c:pt>
                <c:pt idx="642">
                  <c:v>105.32</c:v>
                </c:pt>
                <c:pt idx="643">
                  <c:v>107.59</c:v>
                </c:pt>
                <c:pt idx="644">
                  <c:v>109.34</c:v>
                </c:pt>
                <c:pt idx="645">
                  <c:v>107.58</c:v>
                </c:pt>
                <c:pt idx="646">
                  <c:v>104.97</c:v>
                </c:pt>
                <c:pt idx="647">
                  <c:v>110.14</c:v>
                </c:pt>
                <c:pt idx="648">
                  <c:v>110.9</c:v>
                </c:pt>
                <c:pt idx="649">
                  <c:v>112.39</c:v>
                </c:pt>
                <c:pt idx="650">
                  <c:v>105.94</c:v>
                </c:pt>
                <c:pt idx="651">
                  <c:v>102.46</c:v>
                </c:pt>
                <c:pt idx="652">
                  <c:v>107.51</c:v>
                </c:pt>
                <c:pt idx="653">
                  <c:v>107.45</c:v>
                </c:pt>
                <c:pt idx="654">
                  <c:v>111.55</c:v>
                </c:pt>
                <c:pt idx="655">
                  <c:v>114.24</c:v>
                </c:pt>
                <c:pt idx="656">
                  <c:v>111.93</c:v>
                </c:pt>
                <c:pt idx="657">
                  <c:v>109.11</c:v>
                </c:pt>
                <c:pt idx="658">
                  <c:v>112.04</c:v>
                </c:pt>
                <c:pt idx="659">
                  <c:v>112.55</c:v>
                </c:pt>
                <c:pt idx="660">
                  <c:v>113.42</c:v>
                </c:pt>
                <c:pt idx="661">
                  <c:v>113.56</c:v>
                </c:pt>
                <c:pt idx="662">
                  <c:v>114.03</c:v>
                </c:pt>
                <c:pt idx="663">
                  <c:v>117.4</c:v>
                </c:pt>
                <c:pt idx="664">
                  <c:v>119.43</c:v>
                </c:pt>
                <c:pt idx="665">
                  <c:v>122.84</c:v>
                </c:pt>
                <c:pt idx="666">
                  <c:v>116.29</c:v>
                </c:pt>
                <c:pt idx="667">
                  <c:v>117.61</c:v>
                </c:pt>
                <c:pt idx="668">
                  <c:v>119.72</c:v>
                </c:pt>
                <c:pt idx="669">
                  <c:v>119.51</c:v>
                </c:pt>
                <c:pt idx="670">
                  <c:v>120.57</c:v>
                </c:pt>
                <c:pt idx="671">
                  <c:v>123.58</c:v>
                </c:pt>
                <c:pt idx="672">
                  <c:v>123.07</c:v>
                </c:pt>
                <c:pt idx="673">
                  <c:v>122.01</c:v>
                </c:pt>
                <c:pt idx="674">
                  <c:v>122.27</c:v>
                </c:pt>
                <c:pt idx="675">
                  <c:v>121.17</c:v>
                </c:pt>
                <c:pt idx="676">
                  <c:v>118.51</c:v>
                </c:pt>
                <c:pt idx="677">
                  <c:v>119.81</c:v>
                </c:pt>
                <c:pt idx="678">
                  <c:v>113.12</c:v>
                </c:pt>
                <c:pt idx="679">
                  <c:v>114.65</c:v>
                </c:pt>
                <c:pt idx="680">
                  <c:v>111.74</c:v>
                </c:pt>
                <c:pt idx="681">
                  <c:v>110.05</c:v>
                </c:pt>
                <c:pt idx="682">
                  <c:v>113.12</c:v>
                </c:pt>
                <c:pt idx="683">
                  <c:v>115.09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957-4899-982E-72B148ECB1BA}"/>
            </c:ext>
          </c:extLst>
        </c:ser>
        <c:ser>
          <c:idx val="3"/>
          <c:order val="3"/>
          <c:tx>
            <c:strRef>
              <c:f>CrudeOilNput!$E$1</c:f>
              <c:strCache>
                <c:ptCount val="1"/>
                <c:pt idx="0">
                  <c:v>WCanS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Ref>
              <c:f>CrudeOilNput!$A$2:$A$685</c:f>
              <c:strCache>
                <c:ptCount val="684"/>
                <c:pt idx="0">
                  <c:v>10/31/2019</c:v>
                </c:pt>
                <c:pt idx="1">
                  <c:v>11/1/2019</c:v>
                </c:pt>
                <c:pt idx="2">
                  <c:v>11/4/2019</c:v>
                </c:pt>
                <c:pt idx="3">
                  <c:v>11/5/2019</c:v>
                </c:pt>
                <c:pt idx="4">
                  <c:v>11/6/2019</c:v>
                </c:pt>
                <c:pt idx="5">
                  <c:v>11/7/2019</c:v>
                </c:pt>
                <c:pt idx="6">
                  <c:v>11/8/2019</c:v>
                </c:pt>
                <c:pt idx="7">
                  <c:v>11/11/2019</c:v>
                </c:pt>
                <c:pt idx="8">
                  <c:v>11/12/2019</c:v>
                </c:pt>
                <c:pt idx="9">
                  <c:v>11/13/2019</c:v>
                </c:pt>
                <c:pt idx="10">
                  <c:v>11/14/2019</c:v>
                </c:pt>
                <c:pt idx="11">
                  <c:v>11/15/2019</c:v>
                </c:pt>
                <c:pt idx="12">
                  <c:v>11/18/2019</c:v>
                </c:pt>
                <c:pt idx="13">
                  <c:v>11/19/2019</c:v>
                </c:pt>
                <c:pt idx="14">
                  <c:v>11/20/2019</c:v>
                </c:pt>
                <c:pt idx="15">
                  <c:v>11/21/2019</c:v>
                </c:pt>
                <c:pt idx="16">
                  <c:v>11/22/2019</c:v>
                </c:pt>
                <c:pt idx="17">
                  <c:v>11/25/2019</c:v>
                </c:pt>
                <c:pt idx="18">
                  <c:v>11/26/2019</c:v>
                </c:pt>
                <c:pt idx="19">
                  <c:v>11/27/2019</c:v>
                </c:pt>
                <c:pt idx="20">
                  <c:v>11/28/2019</c:v>
                </c:pt>
                <c:pt idx="21">
                  <c:v>11/29/2019</c:v>
                </c:pt>
                <c:pt idx="22">
                  <c:v>12/2/2019</c:v>
                </c:pt>
                <c:pt idx="23">
                  <c:v>12/3/2019</c:v>
                </c:pt>
                <c:pt idx="24">
                  <c:v>12/4/2019</c:v>
                </c:pt>
                <c:pt idx="25">
                  <c:v>12/5/2019</c:v>
                </c:pt>
                <c:pt idx="26">
                  <c:v>12/6/2019</c:v>
                </c:pt>
                <c:pt idx="27">
                  <c:v>12/9/2019</c:v>
                </c:pt>
                <c:pt idx="28">
                  <c:v>12/10/2019</c:v>
                </c:pt>
                <c:pt idx="29">
                  <c:v>12/11/2019</c:v>
                </c:pt>
                <c:pt idx="30">
                  <c:v>12/12/2019</c:v>
                </c:pt>
                <c:pt idx="31">
                  <c:v>12/13/2019</c:v>
                </c:pt>
                <c:pt idx="32">
                  <c:v>12/16/2019</c:v>
                </c:pt>
                <c:pt idx="33">
                  <c:v>12/17/2019</c:v>
                </c:pt>
                <c:pt idx="34">
                  <c:v>12/18/2019</c:v>
                </c:pt>
                <c:pt idx="35">
                  <c:v>12/19/2019</c:v>
                </c:pt>
                <c:pt idx="36">
                  <c:v>12/20/2019</c:v>
                </c:pt>
                <c:pt idx="37">
                  <c:v>12/23/2019</c:v>
                </c:pt>
                <c:pt idx="38">
                  <c:v>12/24/2019</c:v>
                </c:pt>
                <c:pt idx="39">
                  <c:v>12/26/2019</c:v>
                </c:pt>
                <c:pt idx="40">
                  <c:v>12/27/2019</c:v>
                </c:pt>
                <c:pt idx="41">
                  <c:v>12/30/2019</c:v>
                </c:pt>
                <c:pt idx="42">
                  <c:v>12/31/2019</c:v>
                </c:pt>
                <c:pt idx="43">
                  <c:v>1/2/2020</c:v>
                </c:pt>
                <c:pt idx="44">
                  <c:v>1/3/2020</c:v>
                </c:pt>
                <c:pt idx="45">
                  <c:v>1/6/2020</c:v>
                </c:pt>
                <c:pt idx="46">
                  <c:v>1/7/2020</c:v>
                </c:pt>
                <c:pt idx="47">
                  <c:v>1/8/2020</c:v>
                </c:pt>
                <c:pt idx="48">
                  <c:v>1/9/2020</c:v>
                </c:pt>
                <c:pt idx="49">
                  <c:v>1/10/2020</c:v>
                </c:pt>
                <c:pt idx="50">
                  <c:v>1/13/2020</c:v>
                </c:pt>
                <c:pt idx="51">
                  <c:v>1/14/2020</c:v>
                </c:pt>
                <c:pt idx="52">
                  <c:v>1/15/2020</c:v>
                </c:pt>
                <c:pt idx="53">
                  <c:v>1/16/2020</c:v>
                </c:pt>
                <c:pt idx="54">
                  <c:v>1/17/2020</c:v>
                </c:pt>
                <c:pt idx="55">
                  <c:v>1/20/2020</c:v>
                </c:pt>
                <c:pt idx="56">
                  <c:v>1/21/2020</c:v>
                </c:pt>
                <c:pt idx="57">
                  <c:v>1/22/2020</c:v>
                </c:pt>
                <c:pt idx="58">
                  <c:v>1/23/2020</c:v>
                </c:pt>
                <c:pt idx="59">
                  <c:v>1/24/2020</c:v>
                </c:pt>
                <c:pt idx="60">
                  <c:v>1/27/2020</c:v>
                </c:pt>
                <c:pt idx="61">
                  <c:v>1/28/2020</c:v>
                </c:pt>
                <c:pt idx="62">
                  <c:v>1/29/2020</c:v>
                </c:pt>
                <c:pt idx="63">
                  <c:v>1/30/2020</c:v>
                </c:pt>
                <c:pt idx="64">
                  <c:v>1/31/2020</c:v>
                </c:pt>
                <c:pt idx="65">
                  <c:v>2/3/2020</c:v>
                </c:pt>
                <c:pt idx="66">
                  <c:v>2/4/2020</c:v>
                </c:pt>
                <c:pt idx="67">
                  <c:v>2/5/2020</c:v>
                </c:pt>
                <c:pt idx="68">
                  <c:v>2/6/2020</c:v>
                </c:pt>
                <c:pt idx="69">
                  <c:v>2/7/2020</c:v>
                </c:pt>
                <c:pt idx="70">
                  <c:v>2/10/2020</c:v>
                </c:pt>
                <c:pt idx="71">
                  <c:v>2/11/2020</c:v>
                </c:pt>
                <c:pt idx="72">
                  <c:v>2/12/2020</c:v>
                </c:pt>
                <c:pt idx="73">
                  <c:v>2/13/2020</c:v>
                </c:pt>
                <c:pt idx="74">
                  <c:v>2/14/2020</c:v>
                </c:pt>
                <c:pt idx="75">
                  <c:v>2/17/2020</c:v>
                </c:pt>
                <c:pt idx="76">
                  <c:v>2/18/2020</c:v>
                </c:pt>
                <c:pt idx="77">
                  <c:v>2/19/2020</c:v>
                </c:pt>
                <c:pt idx="78">
                  <c:v>2/20/2020</c:v>
                </c:pt>
                <c:pt idx="79">
                  <c:v>2/21/2020</c:v>
                </c:pt>
                <c:pt idx="80">
                  <c:v>2/24/2020</c:v>
                </c:pt>
                <c:pt idx="81">
                  <c:v>2/25/2020</c:v>
                </c:pt>
                <c:pt idx="82">
                  <c:v>2/26/2020</c:v>
                </c:pt>
                <c:pt idx="83">
                  <c:v>2/27/2020</c:v>
                </c:pt>
                <c:pt idx="84">
                  <c:v>2/28/2020</c:v>
                </c:pt>
                <c:pt idx="85">
                  <c:v>3/2/2020</c:v>
                </c:pt>
                <c:pt idx="86">
                  <c:v>3/3/2020</c:v>
                </c:pt>
                <c:pt idx="87">
                  <c:v>3/4/2020</c:v>
                </c:pt>
                <c:pt idx="88">
                  <c:v>3/5/2020</c:v>
                </c:pt>
                <c:pt idx="89">
                  <c:v>3/6/2020</c:v>
                </c:pt>
                <c:pt idx="90">
                  <c:v>3/9/2020</c:v>
                </c:pt>
                <c:pt idx="91">
                  <c:v>3/10/2020</c:v>
                </c:pt>
                <c:pt idx="92">
                  <c:v>3/11/2020</c:v>
                </c:pt>
                <c:pt idx="93">
                  <c:v>3/12/2020</c:v>
                </c:pt>
                <c:pt idx="94">
                  <c:v>3/13/2020</c:v>
                </c:pt>
                <c:pt idx="95">
                  <c:v>3/16/2020</c:v>
                </c:pt>
                <c:pt idx="96">
                  <c:v>3/17/2020</c:v>
                </c:pt>
                <c:pt idx="97">
                  <c:v>3/18/2020</c:v>
                </c:pt>
                <c:pt idx="98">
                  <c:v>3/19/2020</c:v>
                </c:pt>
                <c:pt idx="99">
                  <c:v>3/20/2020</c:v>
                </c:pt>
                <c:pt idx="100">
                  <c:v>3/23/2020</c:v>
                </c:pt>
                <c:pt idx="101">
                  <c:v>3/24/2020</c:v>
                </c:pt>
                <c:pt idx="102">
                  <c:v>3/25/2020</c:v>
                </c:pt>
                <c:pt idx="103">
                  <c:v>3/26/2020</c:v>
                </c:pt>
                <c:pt idx="104">
                  <c:v>3/27/2020</c:v>
                </c:pt>
                <c:pt idx="105">
                  <c:v>3/30/2020</c:v>
                </c:pt>
                <c:pt idx="106">
                  <c:v>3/31/2020</c:v>
                </c:pt>
                <c:pt idx="107">
                  <c:v>4/1/2020</c:v>
                </c:pt>
                <c:pt idx="108">
                  <c:v>4/2/2020</c:v>
                </c:pt>
                <c:pt idx="109">
                  <c:v>4/3/2020</c:v>
                </c:pt>
                <c:pt idx="110">
                  <c:v>4/6/2020</c:v>
                </c:pt>
                <c:pt idx="111">
                  <c:v>4/7/2020</c:v>
                </c:pt>
                <c:pt idx="112">
                  <c:v>4/8/2020</c:v>
                </c:pt>
                <c:pt idx="113">
                  <c:v>4/9/2020</c:v>
                </c:pt>
                <c:pt idx="114">
                  <c:v>4/13/2020</c:v>
                </c:pt>
                <c:pt idx="115">
                  <c:v>4/14/2020</c:v>
                </c:pt>
                <c:pt idx="116">
                  <c:v>4/15/2020</c:v>
                </c:pt>
                <c:pt idx="117">
                  <c:v>4/16/2020</c:v>
                </c:pt>
                <c:pt idx="118">
                  <c:v>4/17/2020</c:v>
                </c:pt>
                <c:pt idx="119">
                  <c:v>4/20/2020</c:v>
                </c:pt>
                <c:pt idx="120">
                  <c:v>4/21/2020</c:v>
                </c:pt>
                <c:pt idx="121">
                  <c:v>4/22/2020</c:v>
                </c:pt>
                <c:pt idx="122">
                  <c:v>4/23/2020</c:v>
                </c:pt>
                <c:pt idx="123">
                  <c:v>4/24/2020</c:v>
                </c:pt>
                <c:pt idx="124">
                  <c:v>4/27/2020</c:v>
                </c:pt>
                <c:pt idx="125">
                  <c:v>4/28/2020</c:v>
                </c:pt>
                <c:pt idx="126">
                  <c:v>4/29/2020</c:v>
                </c:pt>
                <c:pt idx="127">
                  <c:v>4/30/2020</c:v>
                </c:pt>
                <c:pt idx="128">
                  <c:v>5/1/2020</c:v>
                </c:pt>
                <c:pt idx="129">
                  <c:v>5/4/2020</c:v>
                </c:pt>
                <c:pt idx="130">
                  <c:v>5/5/2020</c:v>
                </c:pt>
                <c:pt idx="131">
                  <c:v>5/6/2020</c:v>
                </c:pt>
                <c:pt idx="132">
                  <c:v>5/7/2020</c:v>
                </c:pt>
                <c:pt idx="133">
                  <c:v>5/8/2020</c:v>
                </c:pt>
                <c:pt idx="134">
                  <c:v>5/11/2020</c:v>
                </c:pt>
                <c:pt idx="135">
                  <c:v>5/12/2020</c:v>
                </c:pt>
                <c:pt idx="136">
                  <c:v>5/13/2020</c:v>
                </c:pt>
                <c:pt idx="137">
                  <c:v>5/14/2020</c:v>
                </c:pt>
                <c:pt idx="138">
                  <c:v>5/15/2020</c:v>
                </c:pt>
                <c:pt idx="139">
                  <c:v>5/18/2020</c:v>
                </c:pt>
                <c:pt idx="140">
                  <c:v>5/19/2020</c:v>
                </c:pt>
                <c:pt idx="141">
                  <c:v>5/20/2020</c:v>
                </c:pt>
                <c:pt idx="142">
                  <c:v>5/21/2020</c:v>
                </c:pt>
                <c:pt idx="143">
                  <c:v>5/22/2020</c:v>
                </c:pt>
                <c:pt idx="144">
                  <c:v>5/26/2020</c:v>
                </c:pt>
                <c:pt idx="145">
                  <c:v>5/27/2020</c:v>
                </c:pt>
                <c:pt idx="146">
                  <c:v>5/28/2020</c:v>
                </c:pt>
                <c:pt idx="147">
                  <c:v>5/29/2020</c:v>
                </c:pt>
                <c:pt idx="148">
                  <c:v>6/1/2020</c:v>
                </c:pt>
                <c:pt idx="149">
                  <c:v>6/2/2020</c:v>
                </c:pt>
                <c:pt idx="150">
                  <c:v>6/3/2020</c:v>
                </c:pt>
                <c:pt idx="151">
                  <c:v>6/4/2020</c:v>
                </c:pt>
                <c:pt idx="152">
                  <c:v>6/5/2020</c:v>
                </c:pt>
                <c:pt idx="153">
                  <c:v>6/8/2020</c:v>
                </c:pt>
                <c:pt idx="154">
                  <c:v>6/9/2020</c:v>
                </c:pt>
                <c:pt idx="155">
                  <c:v>6/10/2020</c:v>
                </c:pt>
                <c:pt idx="156">
                  <c:v>6/11/2020</c:v>
                </c:pt>
                <c:pt idx="157">
                  <c:v>6/12/2020</c:v>
                </c:pt>
                <c:pt idx="158">
                  <c:v>6/15/2020</c:v>
                </c:pt>
                <c:pt idx="159">
                  <c:v>6/16/2020</c:v>
                </c:pt>
                <c:pt idx="160">
                  <c:v>6/17/2020</c:v>
                </c:pt>
                <c:pt idx="161">
                  <c:v>6/18/2020</c:v>
                </c:pt>
                <c:pt idx="162">
                  <c:v>6/19/2020</c:v>
                </c:pt>
                <c:pt idx="163">
                  <c:v>6/22/2020</c:v>
                </c:pt>
                <c:pt idx="164">
                  <c:v>6/23/2020</c:v>
                </c:pt>
                <c:pt idx="165">
                  <c:v>6/24/2020</c:v>
                </c:pt>
                <c:pt idx="166">
                  <c:v>6/25/2020</c:v>
                </c:pt>
                <c:pt idx="167">
                  <c:v>6/26/2020</c:v>
                </c:pt>
                <c:pt idx="168">
                  <c:v>6/29/2020</c:v>
                </c:pt>
                <c:pt idx="169">
                  <c:v>6/30/2020</c:v>
                </c:pt>
                <c:pt idx="170">
                  <c:v>7/1/2020</c:v>
                </c:pt>
                <c:pt idx="171">
                  <c:v>7/2/2020</c:v>
                </c:pt>
                <c:pt idx="172">
                  <c:v>7/3/2020</c:v>
                </c:pt>
                <c:pt idx="173">
                  <c:v>7/6/2020</c:v>
                </c:pt>
                <c:pt idx="174">
                  <c:v>7/7/2020</c:v>
                </c:pt>
                <c:pt idx="175">
                  <c:v>7/8/2020</c:v>
                </c:pt>
                <c:pt idx="176">
                  <c:v>7/9/2020</c:v>
                </c:pt>
                <c:pt idx="177">
                  <c:v>7/10/2020</c:v>
                </c:pt>
                <c:pt idx="178">
                  <c:v>7/13/2020</c:v>
                </c:pt>
                <c:pt idx="179">
                  <c:v>7/14/2020</c:v>
                </c:pt>
                <c:pt idx="180">
                  <c:v>7/15/2020</c:v>
                </c:pt>
                <c:pt idx="181">
                  <c:v>7/16/2020</c:v>
                </c:pt>
                <c:pt idx="182">
                  <c:v>7/17/2020</c:v>
                </c:pt>
                <c:pt idx="183">
                  <c:v>7/20/2020</c:v>
                </c:pt>
                <c:pt idx="184">
                  <c:v>7/21/2020</c:v>
                </c:pt>
                <c:pt idx="185">
                  <c:v>7/22/2020</c:v>
                </c:pt>
                <c:pt idx="186">
                  <c:v>7/23/2020</c:v>
                </c:pt>
                <c:pt idx="187">
                  <c:v>7/24/2020</c:v>
                </c:pt>
                <c:pt idx="188">
                  <c:v>7/27/2020</c:v>
                </c:pt>
                <c:pt idx="189">
                  <c:v>7/28/2020</c:v>
                </c:pt>
                <c:pt idx="190">
                  <c:v>7/29/2020</c:v>
                </c:pt>
                <c:pt idx="191">
                  <c:v>7/30/2020</c:v>
                </c:pt>
                <c:pt idx="192">
                  <c:v>7/31/2020</c:v>
                </c:pt>
                <c:pt idx="193">
                  <c:v>8/3/2020</c:v>
                </c:pt>
                <c:pt idx="194">
                  <c:v>8/4/2020</c:v>
                </c:pt>
                <c:pt idx="195">
                  <c:v>8/5/2020</c:v>
                </c:pt>
                <c:pt idx="196">
                  <c:v>8/6/2020</c:v>
                </c:pt>
                <c:pt idx="197">
                  <c:v>8/7/2020</c:v>
                </c:pt>
                <c:pt idx="198">
                  <c:v>8/10/2020</c:v>
                </c:pt>
                <c:pt idx="199">
                  <c:v>8/11/2020</c:v>
                </c:pt>
                <c:pt idx="200">
                  <c:v>8/12/2020</c:v>
                </c:pt>
                <c:pt idx="201">
                  <c:v>8/13/2020</c:v>
                </c:pt>
                <c:pt idx="202">
                  <c:v>8/14/2020</c:v>
                </c:pt>
                <c:pt idx="203">
                  <c:v>8/17/2020</c:v>
                </c:pt>
                <c:pt idx="204">
                  <c:v>8/18/2020</c:v>
                </c:pt>
                <c:pt idx="205">
                  <c:v>8/19/2020</c:v>
                </c:pt>
                <c:pt idx="206">
                  <c:v>8/20/2020</c:v>
                </c:pt>
                <c:pt idx="207">
                  <c:v>8/21/2020</c:v>
                </c:pt>
                <c:pt idx="208">
                  <c:v>8/24/2020</c:v>
                </c:pt>
                <c:pt idx="209">
                  <c:v>8/25/2020</c:v>
                </c:pt>
                <c:pt idx="210">
                  <c:v>8/26/2020</c:v>
                </c:pt>
                <c:pt idx="211">
                  <c:v>8/27/2020</c:v>
                </c:pt>
                <c:pt idx="212">
                  <c:v>8/28/2020</c:v>
                </c:pt>
                <c:pt idx="213">
                  <c:v>8/31/2020</c:v>
                </c:pt>
                <c:pt idx="214">
                  <c:v>9/1/2020</c:v>
                </c:pt>
                <c:pt idx="215">
                  <c:v>9/2/2020</c:v>
                </c:pt>
                <c:pt idx="216">
                  <c:v>9/3/2020</c:v>
                </c:pt>
                <c:pt idx="217">
                  <c:v>9/4/2020</c:v>
                </c:pt>
                <c:pt idx="218">
                  <c:v>9/7/2020</c:v>
                </c:pt>
                <c:pt idx="219">
                  <c:v>9/8/2020</c:v>
                </c:pt>
                <c:pt idx="220">
                  <c:v>9/9/2020</c:v>
                </c:pt>
                <c:pt idx="221">
                  <c:v>9/10/2020</c:v>
                </c:pt>
                <c:pt idx="222">
                  <c:v>9/11/2020</c:v>
                </c:pt>
                <c:pt idx="223">
                  <c:v>9/14/2020</c:v>
                </c:pt>
                <c:pt idx="224">
                  <c:v>9/15/2020</c:v>
                </c:pt>
                <c:pt idx="225">
                  <c:v>9/16/2020</c:v>
                </c:pt>
                <c:pt idx="226">
                  <c:v>9/17/2020</c:v>
                </c:pt>
                <c:pt idx="227">
                  <c:v>9/18/2020</c:v>
                </c:pt>
                <c:pt idx="228">
                  <c:v>9/21/2020</c:v>
                </c:pt>
                <c:pt idx="229">
                  <c:v>9/22/2020</c:v>
                </c:pt>
                <c:pt idx="230">
                  <c:v>9/23/2020</c:v>
                </c:pt>
                <c:pt idx="231">
                  <c:v>9/24/2020</c:v>
                </c:pt>
                <c:pt idx="232">
                  <c:v>9/25/2020</c:v>
                </c:pt>
                <c:pt idx="233">
                  <c:v>9/28/2020</c:v>
                </c:pt>
                <c:pt idx="234">
                  <c:v>9/29/2020</c:v>
                </c:pt>
                <c:pt idx="235">
                  <c:v>9/30/2020</c:v>
                </c:pt>
                <c:pt idx="236">
                  <c:v>10/1/2020</c:v>
                </c:pt>
                <c:pt idx="237">
                  <c:v>10/2/2020</c:v>
                </c:pt>
                <c:pt idx="238">
                  <c:v>10/5/2020</c:v>
                </c:pt>
                <c:pt idx="239">
                  <c:v>10/6/2020</c:v>
                </c:pt>
                <c:pt idx="240">
                  <c:v>10/7/2020</c:v>
                </c:pt>
                <c:pt idx="241">
                  <c:v>10/8/2020</c:v>
                </c:pt>
                <c:pt idx="242">
                  <c:v>10/9/2020</c:v>
                </c:pt>
                <c:pt idx="243">
                  <c:v>10/12/2020</c:v>
                </c:pt>
                <c:pt idx="244">
                  <c:v>10/13/2020</c:v>
                </c:pt>
                <c:pt idx="245">
                  <c:v>10/14/2020</c:v>
                </c:pt>
                <c:pt idx="246">
                  <c:v>10/15/2020</c:v>
                </c:pt>
                <c:pt idx="247">
                  <c:v>10/16/2020</c:v>
                </c:pt>
                <c:pt idx="248">
                  <c:v>10/19/2020</c:v>
                </c:pt>
                <c:pt idx="249">
                  <c:v>10/20/2020</c:v>
                </c:pt>
                <c:pt idx="250">
                  <c:v>10/21/2020</c:v>
                </c:pt>
                <c:pt idx="251">
                  <c:v>10/22/2020</c:v>
                </c:pt>
                <c:pt idx="252">
                  <c:v>10/23/2020</c:v>
                </c:pt>
                <c:pt idx="253">
                  <c:v>10/26/2020</c:v>
                </c:pt>
                <c:pt idx="254">
                  <c:v>10/27/2020</c:v>
                </c:pt>
                <c:pt idx="255">
                  <c:v>10/28/2020</c:v>
                </c:pt>
                <c:pt idx="256">
                  <c:v>10/29/2020</c:v>
                </c:pt>
                <c:pt idx="257">
                  <c:v>10/30/2020</c:v>
                </c:pt>
                <c:pt idx="258">
                  <c:v>11/2/2020</c:v>
                </c:pt>
                <c:pt idx="259">
                  <c:v>11/3/2020</c:v>
                </c:pt>
                <c:pt idx="260">
                  <c:v>11/4/2020</c:v>
                </c:pt>
                <c:pt idx="261">
                  <c:v>11/5/2020</c:v>
                </c:pt>
                <c:pt idx="262">
                  <c:v>11/6/2020</c:v>
                </c:pt>
                <c:pt idx="263">
                  <c:v>11/9/2020</c:v>
                </c:pt>
                <c:pt idx="264">
                  <c:v>11/10/2020</c:v>
                </c:pt>
                <c:pt idx="265">
                  <c:v>11/11/2020</c:v>
                </c:pt>
                <c:pt idx="266">
                  <c:v>11/12/2020</c:v>
                </c:pt>
                <c:pt idx="267">
                  <c:v>11/13/2020</c:v>
                </c:pt>
                <c:pt idx="268">
                  <c:v>11/16/2020</c:v>
                </c:pt>
                <c:pt idx="269">
                  <c:v>11/17/2020</c:v>
                </c:pt>
                <c:pt idx="270">
                  <c:v>11/18/2020</c:v>
                </c:pt>
                <c:pt idx="271">
                  <c:v>11/19/2020</c:v>
                </c:pt>
                <c:pt idx="272">
                  <c:v>11/20/2020</c:v>
                </c:pt>
                <c:pt idx="273">
                  <c:v>11/23/2020</c:v>
                </c:pt>
                <c:pt idx="274">
                  <c:v>11/24/2020</c:v>
                </c:pt>
                <c:pt idx="275">
                  <c:v>11/25/2020</c:v>
                </c:pt>
                <c:pt idx="276">
                  <c:v>11/26/2020</c:v>
                </c:pt>
                <c:pt idx="277">
                  <c:v>11/27/2020</c:v>
                </c:pt>
                <c:pt idx="278">
                  <c:v>11/30/2020</c:v>
                </c:pt>
                <c:pt idx="279">
                  <c:v>12/1/2020</c:v>
                </c:pt>
                <c:pt idx="280">
                  <c:v>12/2/2020</c:v>
                </c:pt>
                <c:pt idx="281">
                  <c:v>12/3/2020</c:v>
                </c:pt>
                <c:pt idx="282">
                  <c:v>12/4/2020</c:v>
                </c:pt>
                <c:pt idx="283">
                  <c:v>12/7/2020</c:v>
                </c:pt>
                <c:pt idx="284">
                  <c:v>12/8/2020</c:v>
                </c:pt>
                <c:pt idx="285">
                  <c:v>12/9/2020</c:v>
                </c:pt>
                <c:pt idx="286">
                  <c:v>12/10/2020</c:v>
                </c:pt>
                <c:pt idx="287">
                  <c:v>12/11/2020</c:v>
                </c:pt>
                <c:pt idx="288">
                  <c:v>12/14/2020</c:v>
                </c:pt>
                <c:pt idx="289">
                  <c:v>12/15/2020</c:v>
                </c:pt>
                <c:pt idx="290">
                  <c:v>12/16/2020</c:v>
                </c:pt>
                <c:pt idx="291">
                  <c:v>12/17/2020</c:v>
                </c:pt>
                <c:pt idx="292">
                  <c:v>12/18/2020</c:v>
                </c:pt>
                <c:pt idx="293">
                  <c:v>12/21/2020</c:v>
                </c:pt>
                <c:pt idx="294">
                  <c:v>12/22/2020</c:v>
                </c:pt>
                <c:pt idx="295">
                  <c:v>12/23/2020</c:v>
                </c:pt>
                <c:pt idx="296">
                  <c:v>12/24/2020</c:v>
                </c:pt>
                <c:pt idx="297">
                  <c:v>12/28/2020</c:v>
                </c:pt>
                <c:pt idx="298">
                  <c:v>12/29/2020</c:v>
                </c:pt>
                <c:pt idx="299">
                  <c:v>12/30/2020</c:v>
                </c:pt>
                <c:pt idx="300">
                  <c:v>12/31/2020</c:v>
                </c:pt>
                <c:pt idx="301">
                  <c:v>1/4/2021</c:v>
                </c:pt>
                <c:pt idx="302">
                  <c:v>1/5/2021</c:v>
                </c:pt>
                <c:pt idx="303">
                  <c:v>1/6/2021</c:v>
                </c:pt>
                <c:pt idx="304">
                  <c:v>1/7/2021</c:v>
                </c:pt>
                <c:pt idx="305">
                  <c:v>1/8/2021</c:v>
                </c:pt>
                <c:pt idx="306">
                  <c:v>1/11/2021</c:v>
                </c:pt>
                <c:pt idx="307">
                  <c:v>1/12/2021</c:v>
                </c:pt>
                <c:pt idx="308">
                  <c:v>1/13/2021</c:v>
                </c:pt>
                <c:pt idx="309">
                  <c:v>1/14/2021</c:v>
                </c:pt>
                <c:pt idx="310">
                  <c:v>1/15/2021</c:v>
                </c:pt>
                <c:pt idx="311">
                  <c:v>1/18/2021</c:v>
                </c:pt>
                <c:pt idx="312">
                  <c:v>1/19/2021</c:v>
                </c:pt>
                <c:pt idx="313">
                  <c:v>1/20/2021</c:v>
                </c:pt>
                <c:pt idx="314">
                  <c:v>1/21/2021</c:v>
                </c:pt>
                <c:pt idx="315">
                  <c:v>1/22/2021</c:v>
                </c:pt>
                <c:pt idx="316">
                  <c:v>1/25/2021</c:v>
                </c:pt>
                <c:pt idx="317">
                  <c:v>1/26/2021</c:v>
                </c:pt>
                <c:pt idx="318">
                  <c:v>1/27/2021</c:v>
                </c:pt>
                <c:pt idx="319">
                  <c:v>1/28/2021</c:v>
                </c:pt>
                <c:pt idx="320">
                  <c:v>1/29/2021</c:v>
                </c:pt>
                <c:pt idx="321">
                  <c:v>2/1/2021</c:v>
                </c:pt>
                <c:pt idx="322">
                  <c:v>2/2/2021</c:v>
                </c:pt>
                <c:pt idx="323">
                  <c:v>2/3/2021</c:v>
                </c:pt>
                <c:pt idx="324">
                  <c:v>2/4/2021</c:v>
                </c:pt>
                <c:pt idx="325">
                  <c:v>2/5/2021</c:v>
                </c:pt>
                <c:pt idx="326">
                  <c:v>2/8/2021</c:v>
                </c:pt>
                <c:pt idx="327">
                  <c:v>2/9/2021</c:v>
                </c:pt>
                <c:pt idx="328">
                  <c:v>2/10/2021</c:v>
                </c:pt>
                <c:pt idx="329">
                  <c:v>2/11/2021</c:v>
                </c:pt>
                <c:pt idx="330">
                  <c:v>2/12/2021</c:v>
                </c:pt>
                <c:pt idx="331">
                  <c:v>2/15/2021</c:v>
                </c:pt>
                <c:pt idx="332">
                  <c:v>2/16/2021</c:v>
                </c:pt>
                <c:pt idx="333">
                  <c:v>2/17/2021</c:v>
                </c:pt>
                <c:pt idx="334">
                  <c:v>2/18/2021</c:v>
                </c:pt>
                <c:pt idx="335">
                  <c:v>2/19/2021</c:v>
                </c:pt>
                <c:pt idx="336">
                  <c:v>2/22/2021</c:v>
                </c:pt>
                <c:pt idx="337">
                  <c:v>2/23/2021</c:v>
                </c:pt>
                <c:pt idx="338">
                  <c:v>2/24/2021</c:v>
                </c:pt>
                <c:pt idx="339">
                  <c:v>2/25/2021</c:v>
                </c:pt>
                <c:pt idx="340">
                  <c:v>2/26/2021</c:v>
                </c:pt>
                <c:pt idx="341">
                  <c:v>3/1/2021</c:v>
                </c:pt>
                <c:pt idx="342">
                  <c:v>3/2/2021</c:v>
                </c:pt>
                <c:pt idx="343">
                  <c:v>3/3/2021</c:v>
                </c:pt>
                <c:pt idx="344">
                  <c:v>3/4/2021</c:v>
                </c:pt>
                <c:pt idx="345">
                  <c:v>3/5/2021</c:v>
                </c:pt>
                <c:pt idx="346">
                  <c:v>3/8/2021</c:v>
                </c:pt>
                <c:pt idx="347">
                  <c:v>3/9/2021</c:v>
                </c:pt>
                <c:pt idx="348">
                  <c:v>3/10/2021</c:v>
                </c:pt>
                <c:pt idx="349">
                  <c:v>3/11/2021</c:v>
                </c:pt>
                <c:pt idx="350">
                  <c:v>3/12/2021</c:v>
                </c:pt>
                <c:pt idx="351">
                  <c:v>3/15/2021</c:v>
                </c:pt>
                <c:pt idx="352">
                  <c:v>3/16/2021</c:v>
                </c:pt>
                <c:pt idx="353">
                  <c:v>3/17/2021</c:v>
                </c:pt>
                <c:pt idx="354">
                  <c:v>3/18/2021</c:v>
                </c:pt>
                <c:pt idx="355">
                  <c:v>3/19/2021</c:v>
                </c:pt>
                <c:pt idx="356">
                  <c:v>3/22/2021</c:v>
                </c:pt>
                <c:pt idx="357">
                  <c:v>3/23/2021</c:v>
                </c:pt>
                <c:pt idx="358">
                  <c:v>3/24/2021</c:v>
                </c:pt>
                <c:pt idx="359">
                  <c:v>3/25/2021</c:v>
                </c:pt>
                <c:pt idx="360">
                  <c:v>3/26/2021</c:v>
                </c:pt>
                <c:pt idx="361">
                  <c:v>3/29/2021</c:v>
                </c:pt>
                <c:pt idx="362">
                  <c:v>3/30/2021</c:v>
                </c:pt>
                <c:pt idx="363">
                  <c:v>3/31/2021</c:v>
                </c:pt>
                <c:pt idx="364">
                  <c:v>4/1/2021</c:v>
                </c:pt>
                <c:pt idx="365">
                  <c:v>4/5/2021</c:v>
                </c:pt>
                <c:pt idx="366">
                  <c:v>4/6/2021</c:v>
                </c:pt>
                <c:pt idx="367">
                  <c:v>4/7/2021</c:v>
                </c:pt>
                <c:pt idx="368">
                  <c:v>4/8/2021</c:v>
                </c:pt>
                <c:pt idx="369">
                  <c:v>4/9/2021</c:v>
                </c:pt>
                <c:pt idx="370">
                  <c:v>4/12/2021</c:v>
                </c:pt>
                <c:pt idx="371">
                  <c:v>4/13/2021</c:v>
                </c:pt>
                <c:pt idx="372">
                  <c:v>4/14/2021</c:v>
                </c:pt>
                <c:pt idx="373">
                  <c:v>4/15/2021</c:v>
                </c:pt>
                <c:pt idx="374">
                  <c:v>4/16/2021</c:v>
                </c:pt>
                <c:pt idx="375">
                  <c:v>4/19/2021</c:v>
                </c:pt>
                <c:pt idx="376">
                  <c:v>4/20/2021</c:v>
                </c:pt>
                <c:pt idx="377">
                  <c:v>4/21/2021</c:v>
                </c:pt>
                <c:pt idx="378">
                  <c:v>4/22/2021</c:v>
                </c:pt>
                <c:pt idx="379">
                  <c:v>4/23/2021</c:v>
                </c:pt>
                <c:pt idx="380">
                  <c:v>4/26/2021</c:v>
                </c:pt>
                <c:pt idx="381">
                  <c:v>4/27/2021</c:v>
                </c:pt>
                <c:pt idx="382">
                  <c:v>4/28/2021</c:v>
                </c:pt>
                <c:pt idx="383">
                  <c:v>4/29/2021</c:v>
                </c:pt>
                <c:pt idx="384">
                  <c:v>4/30/2021</c:v>
                </c:pt>
                <c:pt idx="385">
                  <c:v>5/3/2021</c:v>
                </c:pt>
                <c:pt idx="386">
                  <c:v>5/4/2021</c:v>
                </c:pt>
                <c:pt idx="387">
                  <c:v>5/5/2021</c:v>
                </c:pt>
                <c:pt idx="388">
                  <c:v>5/6/2021</c:v>
                </c:pt>
                <c:pt idx="389">
                  <c:v>5/7/2021</c:v>
                </c:pt>
                <c:pt idx="390">
                  <c:v>5/10/2021</c:v>
                </c:pt>
                <c:pt idx="391">
                  <c:v>5/11/2021</c:v>
                </c:pt>
                <c:pt idx="392">
                  <c:v>5/12/2021</c:v>
                </c:pt>
                <c:pt idx="393">
                  <c:v>5/13/2021</c:v>
                </c:pt>
                <c:pt idx="394">
                  <c:v>5/14/2021</c:v>
                </c:pt>
                <c:pt idx="395">
                  <c:v>5/17/2021</c:v>
                </c:pt>
                <c:pt idx="396">
                  <c:v>5/18/2021</c:v>
                </c:pt>
                <c:pt idx="397">
                  <c:v>5/19/2021</c:v>
                </c:pt>
                <c:pt idx="398">
                  <c:v>5/20/2021</c:v>
                </c:pt>
                <c:pt idx="399">
                  <c:v>5/21/2021</c:v>
                </c:pt>
                <c:pt idx="400">
                  <c:v>5/24/2021</c:v>
                </c:pt>
                <c:pt idx="401">
                  <c:v>5/25/2021</c:v>
                </c:pt>
                <c:pt idx="402">
                  <c:v>5/26/2021</c:v>
                </c:pt>
                <c:pt idx="403">
                  <c:v>5/27/2021</c:v>
                </c:pt>
                <c:pt idx="404">
                  <c:v>5/28/2021</c:v>
                </c:pt>
                <c:pt idx="405">
                  <c:v>5/31/2021</c:v>
                </c:pt>
                <c:pt idx="406">
                  <c:v>6/1/2021</c:v>
                </c:pt>
                <c:pt idx="407">
                  <c:v>6/2/2021</c:v>
                </c:pt>
                <c:pt idx="408">
                  <c:v>6/3/2021</c:v>
                </c:pt>
                <c:pt idx="409">
                  <c:v>6/4/2021</c:v>
                </c:pt>
                <c:pt idx="410">
                  <c:v>6/7/2021</c:v>
                </c:pt>
                <c:pt idx="411">
                  <c:v>6/8/2021</c:v>
                </c:pt>
                <c:pt idx="412">
                  <c:v>6/9/2021</c:v>
                </c:pt>
                <c:pt idx="413">
                  <c:v>6/10/2021</c:v>
                </c:pt>
                <c:pt idx="414">
                  <c:v>6/11/2021</c:v>
                </c:pt>
                <c:pt idx="415">
                  <c:v>6/14/2021</c:v>
                </c:pt>
                <c:pt idx="416">
                  <c:v>6/15/2021</c:v>
                </c:pt>
                <c:pt idx="417">
                  <c:v>6/16/2021</c:v>
                </c:pt>
                <c:pt idx="418">
                  <c:v>6/17/2021</c:v>
                </c:pt>
                <c:pt idx="419">
                  <c:v>6/18/2021</c:v>
                </c:pt>
                <c:pt idx="420">
                  <c:v>6/21/2021</c:v>
                </c:pt>
                <c:pt idx="421">
                  <c:v>6/22/2021</c:v>
                </c:pt>
                <c:pt idx="422">
                  <c:v>6/23/2021</c:v>
                </c:pt>
                <c:pt idx="423">
                  <c:v>6/24/2021</c:v>
                </c:pt>
                <c:pt idx="424">
                  <c:v>6/25/2021</c:v>
                </c:pt>
                <c:pt idx="425">
                  <c:v>6/28/2021</c:v>
                </c:pt>
                <c:pt idx="426">
                  <c:v>6/29/2021</c:v>
                </c:pt>
                <c:pt idx="427">
                  <c:v>6/30/2021</c:v>
                </c:pt>
                <c:pt idx="428">
                  <c:v>7/1/2021</c:v>
                </c:pt>
                <c:pt idx="429">
                  <c:v>7/2/2021</c:v>
                </c:pt>
                <c:pt idx="430">
                  <c:v>7/5/2021</c:v>
                </c:pt>
                <c:pt idx="431">
                  <c:v>7/6/2021</c:v>
                </c:pt>
                <c:pt idx="432">
                  <c:v>7/7/2021</c:v>
                </c:pt>
                <c:pt idx="433">
                  <c:v>7/8/2021</c:v>
                </c:pt>
                <c:pt idx="434">
                  <c:v>7/9/2021</c:v>
                </c:pt>
                <c:pt idx="435">
                  <c:v>7/12/2021</c:v>
                </c:pt>
                <c:pt idx="436">
                  <c:v>7/13/2021</c:v>
                </c:pt>
                <c:pt idx="437">
                  <c:v>7/14/2021</c:v>
                </c:pt>
                <c:pt idx="438">
                  <c:v>7/15/2021</c:v>
                </c:pt>
                <c:pt idx="439">
                  <c:v>7/16/2021</c:v>
                </c:pt>
                <c:pt idx="440">
                  <c:v>7/19/2021</c:v>
                </c:pt>
                <c:pt idx="441">
                  <c:v>7/20/2021</c:v>
                </c:pt>
                <c:pt idx="442">
                  <c:v>7/21/2021</c:v>
                </c:pt>
                <c:pt idx="443">
                  <c:v>7/22/2021</c:v>
                </c:pt>
                <c:pt idx="444">
                  <c:v>7/23/2021</c:v>
                </c:pt>
                <c:pt idx="445">
                  <c:v>7/26/2021</c:v>
                </c:pt>
                <c:pt idx="446">
                  <c:v>7/27/2021</c:v>
                </c:pt>
                <c:pt idx="447">
                  <c:v>7/28/2021</c:v>
                </c:pt>
                <c:pt idx="448">
                  <c:v>7/29/2021</c:v>
                </c:pt>
                <c:pt idx="449">
                  <c:v>7/30/2021</c:v>
                </c:pt>
                <c:pt idx="450">
                  <c:v>8/2/2021</c:v>
                </c:pt>
                <c:pt idx="451">
                  <c:v>8/3/2021</c:v>
                </c:pt>
                <c:pt idx="452">
                  <c:v>8/4/2021</c:v>
                </c:pt>
                <c:pt idx="453">
                  <c:v>8/5/2021</c:v>
                </c:pt>
                <c:pt idx="454">
                  <c:v>8/6/2021</c:v>
                </c:pt>
                <c:pt idx="455">
                  <c:v>8/9/2021</c:v>
                </c:pt>
                <c:pt idx="456">
                  <c:v>8/10/2021</c:v>
                </c:pt>
                <c:pt idx="457">
                  <c:v>8/11/2021</c:v>
                </c:pt>
                <c:pt idx="458">
                  <c:v>8/12/2021</c:v>
                </c:pt>
                <c:pt idx="459">
                  <c:v>8/13/2021</c:v>
                </c:pt>
                <c:pt idx="460">
                  <c:v>8/16/2021</c:v>
                </c:pt>
                <c:pt idx="461">
                  <c:v>8/17/2021</c:v>
                </c:pt>
                <c:pt idx="462">
                  <c:v>8/18/2021</c:v>
                </c:pt>
                <c:pt idx="463">
                  <c:v>8/19/2021</c:v>
                </c:pt>
                <c:pt idx="464">
                  <c:v>8/20/2021</c:v>
                </c:pt>
                <c:pt idx="465">
                  <c:v>8/23/2021</c:v>
                </c:pt>
                <c:pt idx="466">
                  <c:v>8/24/2021</c:v>
                </c:pt>
                <c:pt idx="467">
                  <c:v>8/25/2021</c:v>
                </c:pt>
                <c:pt idx="468">
                  <c:v>8/26/2021</c:v>
                </c:pt>
                <c:pt idx="469">
                  <c:v>8/27/2021</c:v>
                </c:pt>
                <c:pt idx="470">
                  <c:v>8/30/2021</c:v>
                </c:pt>
                <c:pt idx="471">
                  <c:v>8/31/2021</c:v>
                </c:pt>
                <c:pt idx="472">
                  <c:v>9/1/2021</c:v>
                </c:pt>
                <c:pt idx="473">
                  <c:v>9/2/2021</c:v>
                </c:pt>
                <c:pt idx="474">
                  <c:v>9/3/2021</c:v>
                </c:pt>
                <c:pt idx="475">
                  <c:v>9/6/2021</c:v>
                </c:pt>
                <c:pt idx="476">
                  <c:v>9/7/2021</c:v>
                </c:pt>
                <c:pt idx="477">
                  <c:v>9/8/2021</c:v>
                </c:pt>
                <c:pt idx="478">
                  <c:v>9/9/2021</c:v>
                </c:pt>
                <c:pt idx="479">
                  <c:v>9/10/2021</c:v>
                </c:pt>
                <c:pt idx="480">
                  <c:v>9/13/2021</c:v>
                </c:pt>
                <c:pt idx="481">
                  <c:v>9/14/2021</c:v>
                </c:pt>
                <c:pt idx="482">
                  <c:v>9/15/2021</c:v>
                </c:pt>
                <c:pt idx="483">
                  <c:v>9/16/2021</c:v>
                </c:pt>
                <c:pt idx="484">
                  <c:v>9/17/2021</c:v>
                </c:pt>
                <c:pt idx="485">
                  <c:v>9/20/2021</c:v>
                </c:pt>
                <c:pt idx="486">
                  <c:v>9/21/2021</c:v>
                </c:pt>
                <c:pt idx="487">
                  <c:v>9/22/2021</c:v>
                </c:pt>
                <c:pt idx="488">
                  <c:v>9/23/2021</c:v>
                </c:pt>
                <c:pt idx="489">
                  <c:v>9/24/2021</c:v>
                </c:pt>
                <c:pt idx="490">
                  <c:v>9/27/2021</c:v>
                </c:pt>
                <c:pt idx="491">
                  <c:v>9/28/2021</c:v>
                </c:pt>
                <c:pt idx="492">
                  <c:v>9/29/2021</c:v>
                </c:pt>
                <c:pt idx="493">
                  <c:v>9/30/2021</c:v>
                </c:pt>
                <c:pt idx="494">
                  <c:v>10/1/2021</c:v>
                </c:pt>
                <c:pt idx="495">
                  <c:v>10/4/2021</c:v>
                </c:pt>
                <c:pt idx="496">
                  <c:v>10/5/2021</c:v>
                </c:pt>
                <c:pt idx="497">
                  <c:v>10/6/2021</c:v>
                </c:pt>
                <c:pt idx="498">
                  <c:v>10/7/2021</c:v>
                </c:pt>
                <c:pt idx="499">
                  <c:v>10/8/2021</c:v>
                </c:pt>
                <c:pt idx="500">
                  <c:v>10/11/2021</c:v>
                </c:pt>
                <c:pt idx="501">
                  <c:v>10/12/2021</c:v>
                </c:pt>
                <c:pt idx="502">
                  <c:v>10/13/2021</c:v>
                </c:pt>
                <c:pt idx="503">
                  <c:v>10/14/2021</c:v>
                </c:pt>
                <c:pt idx="504">
                  <c:v>10/15/2021</c:v>
                </c:pt>
                <c:pt idx="505">
                  <c:v>10/18/2021</c:v>
                </c:pt>
                <c:pt idx="506">
                  <c:v>10/19/2021</c:v>
                </c:pt>
                <c:pt idx="507">
                  <c:v>10/20/2021</c:v>
                </c:pt>
                <c:pt idx="508">
                  <c:v>10/21/2021</c:v>
                </c:pt>
                <c:pt idx="509">
                  <c:v>10/22/2021</c:v>
                </c:pt>
                <c:pt idx="510">
                  <c:v>10/25/2021</c:v>
                </c:pt>
                <c:pt idx="511">
                  <c:v>10/26/2021</c:v>
                </c:pt>
                <c:pt idx="512">
                  <c:v>10/27/2021</c:v>
                </c:pt>
                <c:pt idx="513">
                  <c:v>10/28/2021</c:v>
                </c:pt>
                <c:pt idx="514">
                  <c:v>10/29/2021</c:v>
                </c:pt>
                <c:pt idx="515">
                  <c:v>11/1/2021</c:v>
                </c:pt>
                <c:pt idx="516">
                  <c:v>11/2/2021</c:v>
                </c:pt>
                <c:pt idx="517">
                  <c:v>11/3/2021</c:v>
                </c:pt>
                <c:pt idx="518">
                  <c:v>11/4/2021</c:v>
                </c:pt>
                <c:pt idx="519">
                  <c:v>11/5/2021</c:v>
                </c:pt>
                <c:pt idx="520">
                  <c:v>11/8/2021</c:v>
                </c:pt>
                <c:pt idx="521">
                  <c:v>11/9/2021</c:v>
                </c:pt>
                <c:pt idx="522">
                  <c:v>11/10/2021</c:v>
                </c:pt>
                <c:pt idx="523">
                  <c:v>11/11/2021</c:v>
                </c:pt>
                <c:pt idx="524">
                  <c:v>11/12/2021</c:v>
                </c:pt>
                <c:pt idx="525">
                  <c:v>11/15/2021</c:v>
                </c:pt>
                <c:pt idx="526">
                  <c:v>11/16/2021</c:v>
                </c:pt>
                <c:pt idx="527">
                  <c:v>11/17/2021</c:v>
                </c:pt>
                <c:pt idx="528">
                  <c:v>11/18/2021</c:v>
                </c:pt>
                <c:pt idx="529">
                  <c:v>11/19/2021</c:v>
                </c:pt>
                <c:pt idx="530">
                  <c:v>11/22/2021</c:v>
                </c:pt>
                <c:pt idx="531">
                  <c:v>11/23/2021</c:v>
                </c:pt>
                <c:pt idx="532">
                  <c:v>11/24/2021</c:v>
                </c:pt>
                <c:pt idx="533">
                  <c:v>11/25/2021</c:v>
                </c:pt>
                <c:pt idx="534">
                  <c:v>11/26/2021</c:v>
                </c:pt>
                <c:pt idx="535">
                  <c:v>11/29/2021</c:v>
                </c:pt>
                <c:pt idx="536">
                  <c:v>11/30/2021</c:v>
                </c:pt>
                <c:pt idx="537">
                  <c:v>12/1/2021</c:v>
                </c:pt>
                <c:pt idx="538">
                  <c:v>12/2/2021</c:v>
                </c:pt>
                <c:pt idx="539">
                  <c:v>12/3/2021</c:v>
                </c:pt>
                <c:pt idx="540">
                  <c:v>12/6/2021</c:v>
                </c:pt>
                <c:pt idx="541">
                  <c:v>12/7/2021</c:v>
                </c:pt>
                <c:pt idx="542">
                  <c:v>12/8/2021</c:v>
                </c:pt>
                <c:pt idx="543">
                  <c:v>12/9/2021</c:v>
                </c:pt>
                <c:pt idx="544">
                  <c:v>12/10/2021</c:v>
                </c:pt>
                <c:pt idx="545">
                  <c:v>12/13/2021</c:v>
                </c:pt>
                <c:pt idx="546">
                  <c:v>12/14/2021</c:v>
                </c:pt>
                <c:pt idx="547">
                  <c:v>12/15/2021</c:v>
                </c:pt>
                <c:pt idx="548">
                  <c:v>12/16/2021</c:v>
                </c:pt>
                <c:pt idx="549">
                  <c:v>12/17/2021</c:v>
                </c:pt>
                <c:pt idx="550">
                  <c:v>12/20/2021</c:v>
                </c:pt>
                <c:pt idx="551">
                  <c:v>12/21/2021</c:v>
                </c:pt>
                <c:pt idx="552">
                  <c:v>12/22/2021</c:v>
                </c:pt>
                <c:pt idx="553">
                  <c:v>12/23/2021</c:v>
                </c:pt>
                <c:pt idx="554">
                  <c:v>12/24/2021</c:v>
                </c:pt>
                <c:pt idx="555">
                  <c:v>12/27/2021</c:v>
                </c:pt>
                <c:pt idx="556">
                  <c:v>12/28/2021</c:v>
                </c:pt>
                <c:pt idx="557">
                  <c:v>12/29/2021</c:v>
                </c:pt>
                <c:pt idx="558">
                  <c:v>12/30/2021</c:v>
                </c:pt>
                <c:pt idx="559">
                  <c:v>12/31/2021</c:v>
                </c:pt>
                <c:pt idx="560">
                  <c:v>1/3/2022</c:v>
                </c:pt>
                <c:pt idx="561">
                  <c:v>1/4/2022</c:v>
                </c:pt>
                <c:pt idx="562">
                  <c:v>1/5/2022</c:v>
                </c:pt>
                <c:pt idx="563">
                  <c:v>1/6/2022</c:v>
                </c:pt>
                <c:pt idx="564">
                  <c:v>1/7/2022</c:v>
                </c:pt>
                <c:pt idx="565">
                  <c:v>1/10/2022</c:v>
                </c:pt>
                <c:pt idx="566">
                  <c:v>1/11/2022</c:v>
                </c:pt>
                <c:pt idx="567">
                  <c:v>1/12/2022</c:v>
                </c:pt>
                <c:pt idx="568">
                  <c:v>1/13/2022</c:v>
                </c:pt>
                <c:pt idx="569">
                  <c:v>1/14/2022</c:v>
                </c:pt>
                <c:pt idx="570">
                  <c:v>1/17/2022</c:v>
                </c:pt>
                <c:pt idx="571">
                  <c:v>1/18/2022</c:v>
                </c:pt>
                <c:pt idx="572">
                  <c:v>1/19/2022</c:v>
                </c:pt>
                <c:pt idx="573">
                  <c:v>1/20/2022</c:v>
                </c:pt>
                <c:pt idx="574">
                  <c:v>1/21/2022</c:v>
                </c:pt>
                <c:pt idx="575">
                  <c:v>1/24/2022</c:v>
                </c:pt>
                <c:pt idx="576">
                  <c:v>1/25/2022</c:v>
                </c:pt>
                <c:pt idx="577">
                  <c:v>1/26/2022</c:v>
                </c:pt>
                <c:pt idx="578">
                  <c:v>1/27/2022</c:v>
                </c:pt>
                <c:pt idx="579">
                  <c:v>1/28/2022</c:v>
                </c:pt>
                <c:pt idx="580">
                  <c:v>1/31/2022</c:v>
                </c:pt>
                <c:pt idx="581">
                  <c:v>2/1/2022</c:v>
                </c:pt>
                <c:pt idx="582">
                  <c:v>2/2/2022</c:v>
                </c:pt>
                <c:pt idx="583">
                  <c:v>2/3/2022</c:v>
                </c:pt>
                <c:pt idx="584">
                  <c:v>2/4/2022</c:v>
                </c:pt>
                <c:pt idx="585">
                  <c:v>2/7/2022</c:v>
                </c:pt>
                <c:pt idx="586">
                  <c:v>2/8/2022</c:v>
                </c:pt>
                <c:pt idx="587">
                  <c:v>2/9/2022</c:v>
                </c:pt>
                <c:pt idx="588">
                  <c:v>2/10/2022</c:v>
                </c:pt>
                <c:pt idx="589">
                  <c:v>2/11/2022</c:v>
                </c:pt>
                <c:pt idx="590">
                  <c:v>2/14/2022</c:v>
                </c:pt>
                <c:pt idx="591">
                  <c:v>2/15/2022</c:v>
                </c:pt>
                <c:pt idx="592">
                  <c:v>2/16/2022</c:v>
                </c:pt>
                <c:pt idx="593">
                  <c:v>2/17/2022</c:v>
                </c:pt>
                <c:pt idx="594">
                  <c:v>2/18/2022</c:v>
                </c:pt>
                <c:pt idx="595">
                  <c:v>2/21/2022</c:v>
                </c:pt>
                <c:pt idx="596">
                  <c:v>2/22/2022</c:v>
                </c:pt>
                <c:pt idx="597">
                  <c:v>2/23/2022</c:v>
                </c:pt>
                <c:pt idx="598">
                  <c:v>2/24/2022</c:v>
                </c:pt>
                <c:pt idx="599">
                  <c:v>2/25/2022</c:v>
                </c:pt>
                <c:pt idx="600">
                  <c:v>2/28/2022</c:v>
                </c:pt>
                <c:pt idx="601">
                  <c:v>3/1/2022</c:v>
                </c:pt>
                <c:pt idx="602">
                  <c:v>3/2/2022</c:v>
                </c:pt>
                <c:pt idx="603">
                  <c:v>3/3/2022</c:v>
                </c:pt>
                <c:pt idx="604">
                  <c:v>3/4/2022</c:v>
                </c:pt>
                <c:pt idx="605">
                  <c:v>3/7/2022</c:v>
                </c:pt>
                <c:pt idx="606">
                  <c:v>3/8/2022</c:v>
                </c:pt>
                <c:pt idx="607">
                  <c:v>3/9/2022</c:v>
                </c:pt>
                <c:pt idx="608">
                  <c:v>3/10/2022</c:v>
                </c:pt>
                <c:pt idx="609">
                  <c:v>3/11/2022</c:v>
                </c:pt>
                <c:pt idx="610">
                  <c:v>3/14/2022</c:v>
                </c:pt>
                <c:pt idx="611">
                  <c:v>3/15/2022</c:v>
                </c:pt>
                <c:pt idx="612">
                  <c:v>3/16/2022</c:v>
                </c:pt>
                <c:pt idx="613">
                  <c:v>3/17/2022</c:v>
                </c:pt>
                <c:pt idx="614">
                  <c:v>3/18/2022</c:v>
                </c:pt>
                <c:pt idx="615">
                  <c:v>3/21/2022</c:v>
                </c:pt>
                <c:pt idx="616">
                  <c:v>3/22/2022</c:v>
                </c:pt>
                <c:pt idx="617">
                  <c:v>3/23/2022</c:v>
                </c:pt>
                <c:pt idx="618">
                  <c:v>3/24/2022</c:v>
                </c:pt>
                <c:pt idx="619">
                  <c:v>3/25/2022</c:v>
                </c:pt>
                <c:pt idx="620">
                  <c:v>3/28/2022</c:v>
                </c:pt>
                <c:pt idx="621">
                  <c:v>3/29/2022</c:v>
                </c:pt>
                <c:pt idx="622">
                  <c:v>3/30/2022</c:v>
                </c:pt>
                <c:pt idx="623">
                  <c:v>3/31/2022</c:v>
                </c:pt>
                <c:pt idx="624">
                  <c:v>4/1/2022</c:v>
                </c:pt>
                <c:pt idx="625">
                  <c:v>4/4/2022</c:v>
                </c:pt>
                <c:pt idx="626">
                  <c:v>4/5/2022</c:v>
                </c:pt>
                <c:pt idx="627">
                  <c:v>4/6/2022</c:v>
                </c:pt>
                <c:pt idx="628">
                  <c:v>4/7/2022</c:v>
                </c:pt>
                <c:pt idx="629">
                  <c:v>4/8/2022</c:v>
                </c:pt>
                <c:pt idx="630">
                  <c:v>4/11/2022</c:v>
                </c:pt>
                <c:pt idx="631">
                  <c:v>4/12/2022</c:v>
                </c:pt>
                <c:pt idx="632">
                  <c:v>4/13/2022</c:v>
                </c:pt>
                <c:pt idx="633">
                  <c:v>4/14/2022</c:v>
                </c:pt>
                <c:pt idx="634">
                  <c:v>4/18/2022</c:v>
                </c:pt>
                <c:pt idx="635">
                  <c:v>4/19/2022</c:v>
                </c:pt>
                <c:pt idx="636">
                  <c:v>4/20/2022</c:v>
                </c:pt>
                <c:pt idx="637">
                  <c:v>4/21/2022</c:v>
                </c:pt>
                <c:pt idx="638">
                  <c:v>4/22/2022</c:v>
                </c:pt>
                <c:pt idx="639">
                  <c:v>4/25/2022</c:v>
                </c:pt>
                <c:pt idx="640">
                  <c:v>4/26/2022</c:v>
                </c:pt>
                <c:pt idx="641">
                  <c:v>4/27/2022</c:v>
                </c:pt>
                <c:pt idx="642">
                  <c:v>4/28/2022</c:v>
                </c:pt>
                <c:pt idx="643">
                  <c:v>4/29/2022</c:v>
                </c:pt>
                <c:pt idx="644">
                  <c:v>5/2/2022</c:v>
                </c:pt>
                <c:pt idx="645">
                  <c:v>5/3/2022</c:v>
                </c:pt>
                <c:pt idx="646">
                  <c:v>5/4/2022</c:v>
                </c:pt>
                <c:pt idx="647">
                  <c:v>5/5/2022</c:v>
                </c:pt>
                <c:pt idx="648">
                  <c:v>5/6/2022</c:v>
                </c:pt>
                <c:pt idx="649">
                  <c:v>5/9/2022</c:v>
                </c:pt>
                <c:pt idx="650">
                  <c:v>5/10/2022</c:v>
                </c:pt>
                <c:pt idx="651">
                  <c:v>5/11/2022</c:v>
                </c:pt>
                <c:pt idx="652">
                  <c:v>5/12/2022</c:v>
                </c:pt>
                <c:pt idx="653">
                  <c:v>5/13/2022</c:v>
                </c:pt>
                <c:pt idx="654">
                  <c:v>5/16/2022</c:v>
                </c:pt>
                <c:pt idx="655">
                  <c:v>5/17/2022</c:v>
                </c:pt>
                <c:pt idx="656">
                  <c:v>5/18/2022</c:v>
                </c:pt>
                <c:pt idx="657">
                  <c:v>5/19/2022</c:v>
                </c:pt>
                <c:pt idx="658">
                  <c:v>5/20/2022</c:v>
                </c:pt>
                <c:pt idx="659">
                  <c:v>5/23/2022</c:v>
                </c:pt>
                <c:pt idx="660">
                  <c:v>5/24/2022</c:v>
                </c:pt>
                <c:pt idx="661">
                  <c:v>5/25/2022</c:v>
                </c:pt>
                <c:pt idx="662">
                  <c:v>5/26/2022</c:v>
                </c:pt>
                <c:pt idx="663">
                  <c:v>5/27/2022</c:v>
                </c:pt>
                <c:pt idx="664">
                  <c:v>5/30/2022</c:v>
                </c:pt>
                <c:pt idx="665">
                  <c:v>5/31/2022</c:v>
                </c:pt>
                <c:pt idx="666">
                  <c:v>6/1/2022</c:v>
                </c:pt>
                <c:pt idx="667">
                  <c:v>6/2/2022</c:v>
                </c:pt>
                <c:pt idx="668">
                  <c:v>6/3/2022</c:v>
                </c:pt>
                <c:pt idx="669">
                  <c:v>6/6/2022</c:v>
                </c:pt>
                <c:pt idx="670">
                  <c:v>6/7/2022</c:v>
                </c:pt>
                <c:pt idx="671">
                  <c:v>6/8/2022</c:v>
                </c:pt>
                <c:pt idx="672">
                  <c:v>6/9/2022</c:v>
                </c:pt>
                <c:pt idx="673">
                  <c:v>6/10/2022</c:v>
                </c:pt>
                <c:pt idx="674">
                  <c:v>6/13/2022</c:v>
                </c:pt>
                <c:pt idx="675">
                  <c:v>6/14/2022</c:v>
                </c:pt>
                <c:pt idx="676">
                  <c:v>6/15/2022</c:v>
                </c:pt>
                <c:pt idx="677">
                  <c:v>6/16/2022</c:v>
                </c:pt>
                <c:pt idx="678">
                  <c:v>6/17/2022</c:v>
                </c:pt>
                <c:pt idx="679">
                  <c:v>6/21/2022</c:v>
                </c:pt>
                <c:pt idx="680">
                  <c:v>6/22/2022</c:v>
                </c:pt>
                <c:pt idx="681">
                  <c:v>6/23/2022</c:v>
                </c:pt>
                <c:pt idx="682">
                  <c:v>6/24/2022</c:v>
                </c:pt>
                <c:pt idx="683">
                  <c:v>6/27/2022</c:v>
                </c:pt>
              </c:strCache>
            </c:strRef>
          </c:cat>
          <c:val>
            <c:numRef>
              <c:f>CrudeOilNput!$E$2:$E$685</c:f>
              <c:numCache>
                <c:formatCode>"$"#,##0.00</c:formatCode>
                <c:ptCount val="684"/>
                <c:pt idx="321">
                  <c:v>45.13</c:v>
                </c:pt>
                <c:pt idx="341">
                  <c:v>50.94</c:v>
                </c:pt>
                <c:pt idx="364">
                  <c:v>50.51</c:v>
                </c:pt>
                <c:pt idx="385">
                  <c:v>54.78</c:v>
                </c:pt>
                <c:pt idx="406">
                  <c:v>58.46</c:v>
                </c:pt>
                <c:pt idx="428">
                  <c:v>58.46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54.47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58.02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69.3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65.25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53.1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65.25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79.099999999999994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94.57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89.06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100.97</c:v>
                </c:pt>
                <c:pt idx="665">
                  <c:v>100.57</c:v>
                </c:pt>
                <c:pt idx="666">
                  <c:v>101.16</c:v>
                </c:pt>
                <c:pt idx="667">
                  <c:v>102.77</c:v>
                </c:pt>
                <c:pt idx="668">
                  <c:v>104.77</c:v>
                </c:pt>
                <c:pt idx="669">
                  <c:v>104.4</c:v>
                </c:pt>
                <c:pt idx="670">
                  <c:v>105.31</c:v>
                </c:pt>
                <c:pt idx="671">
                  <c:v>108.01</c:v>
                </c:pt>
                <c:pt idx="672">
                  <c:v>107.41</c:v>
                </c:pt>
                <c:pt idx="673">
                  <c:v>106.57</c:v>
                </c:pt>
                <c:pt idx="674">
                  <c:v>106.83</c:v>
                </c:pt>
                <c:pt idx="675">
                  <c:v>104.83</c:v>
                </c:pt>
                <c:pt idx="676">
                  <c:v>101.21</c:v>
                </c:pt>
                <c:pt idx="677">
                  <c:v>97.66</c:v>
                </c:pt>
                <c:pt idx="678">
                  <c:v>96</c:v>
                </c:pt>
                <c:pt idx="679">
                  <c:v>95.42</c:v>
                </c:pt>
                <c:pt idx="680">
                  <c:v>92.09</c:v>
                </c:pt>
                <c:pt idx="681">
                  <c:v>90.17</c:v>
                </c:pt>
                <c:pt idx="682">
                  <c:v>93.52</c:v>
                </c:pt>
                <c:pt idx="683">
                  <c:v>97.66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7957-4899-982E-72B148ECB1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64483032"/>
        <c:axId val="864481720"/>
      </c:lineChart>
      <c:catAx>
        <c:axId val="8644830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64481720"/>
        <c:crosses val="autoZero"/>
        <c:auto val="1"/>
        <c:lblAlgn val="ctr"/>
        <c:lblOffset val="100"/>
        <c:noMultiLvlLbl val="0"/>
      </c:catAx>
      <c:valAx>
        <c:axId val="8644817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644830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[Foley_FinalProject_Completed.xlsm]CrudeOilNput!PivotTable4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CrudeOilNput!$B$1</c:f>
              <c:strCache>
                <c:ptCount val="1"/>
                <c:pt idx="0">
                  <c:v>WTI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CrudeOilNput!$A$2:$A$685</c:f>
              <c:strCache>
                <c:ptCount val="684"/>
                <c:pt idx="0">
                  <c:v>10/31/2019</c:v>
                </c:pt>
                <c:pt idx="1">
                  <c:v>11/1/2019</c:v>
                </c:pt>
                <c:pt idx="2">
                  <c:v>11/4/2019</c:v>
                </c:pt>
                <c:pt idx="3">
                  <c:v>11/5/2019</c:v>
                </c:pt>
                <c:pt idx="4">
                  <c:v>11/6/2019</c:v>
                </c:pt>
                <c:pt idx="5">
                  <c:v>11/7/2019</c:v>
                </c:pt>
                <c:pt idx="6">
                  <c:v>11/8/2019</c:v>
                </c:pt>
                <c:pt idx="7">
                  <c:v>11/11/2019</c:v>
                </c:pt>
                <c:pt idx="8">
                  <c:v>11/12/2019</c:v>
                </c:pt>
                <c:pt idx="9">
                  <c:v>11/13/2019</c:v>
                </c:pt>
                <c:pt idx="10">
                  <c:v>11/14/2019</c:v>
                </c:pt>
                <c:pt idx="11">
                  <c:v>11/15/2019</c:v>
                </c:pt>
                <c:pt idx="12">
                  <c:v>11/18/2019</c:v>
                </c:pt>
                <c:pt idx="13">
                  <c:v>11/19/2019</c:v>
                </c:pt>
                <c:pt idx="14">
                  <c:v>11/20/2019</c:v>
                </c:pt>
                <c:pt idx="15">
                  <c:v>11/21/2019</c:v>
                </c:pt>
                <c:pt idx="16">
                  <c:v>11/22/2019</c:v>
                </c:pt>
                <c:pt idx="17">
                  <c:v>11/25/2019</c:v>
                </c:pt>
                <c:pt idx="18">
                  <c:v>11/26/2019</c:v>
                </c:pt>
                <c:pt idx="19">
                  <c:v>11/27/2019</c:v>
                </c:pt>
                <c:pt idx="20">
                  <c:v>11/28/2019</c:v>
                </c:pt>
                <c:pt idx="21">
                  <c:v>11/29/2019</c:v>
                </c:pt>
                <c:pt idx="22">
                  <c:v>12/2/2019</c:v>
                </c:pt>
                <c:pt idx="23">
                  <c:v>12/3/2019</c:v>
                </c:pt>
                <c:pt idx="24">
                  <c:v>12/4/2019</c:v>
                </c:pt>
                <c:pt idx="25">
                  <c:v>12/5/2019</c:v>
                </c:pt>
                <c:pt idx="26">
                  <c:v>12/6/2019</c:v>
                </c:pt>
                <c:pt idx="27">
                  <c:v>12/9/2019</c:v>
                </c:pt>
                <c:pt idx="28">
                  <c:v>12/10/2019</c:v>
                </c:pt>
                <c:pt idx="29">
                  <c:v>12/11/2019</c:v>
                </c:pt>
                <c:pt idx="30">
                  <c:v>12/12/2019</c:v>
                </c:pt>
                <c:pt idx="31">
                  <c:v>12/13/2019</c:v>
                </c:pt>
                <c:pt idx="32">
                  <c:v>12/16/2019</c:v>
                </c:pt>
                <c:pt idx="33">
                  <c:v>12/17/2019</c:v>
                </c:pt>
                <c:pt idx="34">
                  <c:v>12/18/2019</c:v>
                </c:pt>
                <c:pt idx="35">
                  <c:v>12/19/2019</c:v>
                </c:pt>
                <c:pt idx="36">
                  <c:v>12/20/2019</c:v>
                </c:pt>
                <c:pt idx="37">
                  <c:v>12/23/2019</c:v>
                </c:pt>
                <c:pt idx="38">
                  <c:v>12/24/2019</c:v>
                </c:pt>
                <c:pt idx="39">
                  <c:v>12/26/2019</c:v>
                </c:pt>
                <c:pt idx="40">
                  <c:v>12/27/2019</c:v>
                </c:pt>
                <c:pt idx="41">
                  <c:v>12/30/2019</c:v>
                </c:pt>
                <c:pt idx="42">
                  <c:v>12/31/2019</c:v>
                </c:pt>
                <c:pt idx="43">
                  <c:v>1/2/2020</c:v>
                </c:pt>
                <c:pt idx="44">
                  <c:v>1/3/2020</c:v>
                </c:pt>
                <c:pt idx="45">
                  <c:v>1/6/2020</c:v>
                </c:pt>
                <c:pt idx="46">
                  <c:v>1/7/2020</c:v>
                </c:pt>
                <c:pt idx="47">
                  <c:v>1/8/2020</c:v>
                </c:pt>
                <c:pt idx="48">
                  <c:v>1/9/2020</c:v>
                </c:pt>
                <c:pt idx="49">
                  <c:v>1/10/2020</c:v>
                </c:pt>
                <c:pt idx="50">
                  <c:v>1/13/2020</c:v>
                </c:pt>
                <c:pt idx="51">
                  <c:v>1/14/2020</c:v>
                </c:pt>
                <c:pt idx="52">
                  <c:v>1/15/2020</c:v>
                </c:pt>
                <c:pt idx="53">
                  <c:v>1/16/2020</c:v>
                </c:pt>
                <c:pt idx="54">
                  <c:v>1/17/2020</c:v>
                </c:pt>
                <c:pt idx="55">
                  <c:v>1/20/2020</c:v>
                </c:pt>
                <c:pt idx="56">
                  <c:v>1/21/2020</c:v>
                </c:pt>
                <c:pt idx="57">
                  <c:v>1/22/2020</c:v>
                </c:pt>
                <c:pt idx="58">
                  <c:v>1/23/2020</c:v>
                </c:pt>
                <c:pt idx="59">
                  <c:v>1/24/2020</c:v>
                </c:pt>
                <c:pt idx="60">
                  <c:v>1/27/2020</c:v>
                </c:pt>
                <c:pt idx="61">
                  <c:v>1/28/2020</c:v>
                </c:pt>
                <c:pt idx="62">
                  <c:v>1/29/2020</c:v>
                </c:pt>
                <c:pt idx="63">
                  <c:v>1/30/2020</c:v>
                </c:pt>
                <c:pt idx="64">
                  <c:v>1/31/2020</c:v>
                </c:pt>
                <c:pt idx="65">
                  <c:v>2/3/2020</c:v>
                </c:pt>
                <c:pt idx="66">
                  <c:v>2/4/2020</c:v>
                </c:pt>
                <c:pt idx="67">
                  <c:v>2/5/2020</c:v>
                </c:pt>
                <c:pt idx="68">
                  <c:v>2/6/2020</c:v>
                </c:pt>
                <c:pt idx="69">
                  <c:v>2/7/2020</c:v>
                </c:pt>
                <c:pt idx="70">
                  <c:v>2/10/2020</c:v>
                </c:pt>
                <c:pt idx="71">
                  <c:v>2/11/2020</c:v>
                </c:pt>
                <c:pt idx="72">
                  <c:v>2/12/2020</c:v>
                </c:pt>
                <c:pt idx="73">
                  <c:v>2/13/2020</c:v>
                </c:pt>
                <c:pt idx="74">
                  <c:v>2/14/2020</c:v>
                </c:pt>
                <c:pt idx="75">
                  <c:v>2/17/2020</c:v>
                </c:pt>
                <c:pt idx="76">
                  <c:v>2/18/2020</c:v>
                </c:pt>
                <c:pt idx="77">
                  <c:v>2/19/2020</c:v>
                </c:pt>
                <c:pt idx="78">
                  <c:v>2/20/2020</c:v>
                </c:pt>
                <c:pt idx="79">
                  <c:v>2/21/2020</c:v>
                </c:pt>
                <c:pt idx="80">
                  <c:v>2/24/2020</c:v>
                </c:pt>
                <c:pt idx="81">
                  <c:v>2/25/2020</c:v>
                </c:pt>
                <c:pt idx="82">
                  <c:v>2/26/2020</c:v>
                </c:pt>
                <c:pt idx="83">
                  <c:v>2/27/2020</c:v>
                </c:pt>
                <c:pt idx="84">
                  <c:v>2/28/2020</c:v>
                </c:pt>
                <c:pt idx="85">
                  <c:v>3/2/2020</c:v>
                </c:pt>
                <c:pt idx="86">
                  <c:v>3/3/2020</c:v>
                </c:pt>
                <c:pt idx="87">
                  <c:v>3/4/2020</c:v>
                </c:pt>
                <c:pt idx="88">
                  <c:v>3/5/2020</c:v>
                </c:pt>
                <c:pt idx="89">
                  <c:v>3/6/2020</c:v>
                </c:pt>
                <c:pt idx="90">
                  <c:v>3/9/2020</c:v>
                </c:pt>
                <c:pt idx="91">
                  <c:v>3/10/2020</c:v>
                </c:pt>
                <c:pt idx="92">
                  <c:v>3/11/2020</c:v>
                </c:pt>
                <c:pt idx="93">
                  <c:v>3/12/2020</c:v>
                </c:pt>
                <c:pt idx="94">
                  <c:v>3/13/2020</c:v>
                </c:pt>
                <c:pt idx="95">
                  <c:v>3/16/2020</c:v>
                </c:pt>
                <c:pt idx="96">
                  <c:v>3/17/2020</c:v>
                </c:pt>
                <c:pt idx="97">
                  <c:v>3/18/2020</c:v>
                </c:pt>
                <c:pt idx="98">
                  <c:v>3/19/2020</c:v>
                </c:pt>
                <c:pt idx="99">
                  <c:v>3/20/2020</c:v>
                </c:pt>
                <c:pt idx="100">
                  <c:v>3/23/2020</c:v>
                </c:pt>
                <c:pt idx="101">
                  <c:v>3/24/2020</c:v>
                </c:pt>
                <c:pt idx="102">
                  <c:v>3/25/2020</c:v>
                </c:pt>
                <c:pt idx="103">
                  <c:v>3/26/2020</c:v>
                </c:pt>
                <c:pt idx="104">
                  <c:v>3/27/2020</c:v>
                </c:pt>
                <c:pt idx="105">
                  <c:v>3/30/2020</c:v>
                </c:pt>
                <c:pt idx="106">
                  <c:v>3/31/2020</c:v>
                </c:pt>
                <c:pt idx="107">
                  <c:v>4/1/2020</c:v>
                </c:pt>
                <c:pt idx="108">
                  <c:v>4/2/2020</c:v>
                </c:pt>
                <c:pt idx="109">
                  <c:v>4/3/2020</c:v>
                </c:pt>
                <c:pt idx="110">
                  <c:v>4/6/2020</c:v>
                </c:pt>
                <c:pt idx="111">
                  <c:v>4/7/2020</c:v>
                </c:pt>
                <c:pt idx="112">
                  <c:v>4/8/2020</c:v>
                </c:pt>
                <c:pt idx="113">
                  <c:v>4/9/2020</c:v>
                </c:pt>
                <c:pt idx="114">
                  <c:v>4/13/2020</c:v>
                </c:pt>
                <c:pt idx="115">
                  <c:v>4/14/2020</c:v>
                </c:pt>
                <c:pt idx="116">
                  <c:v>4/15/2020</c:v>
                </c:pt>
                <c:pt idx="117">
                  <c:v>4/16/2020</c:v>
                </c:pt>
                <c:pt idx="118">
                  <c:v>4/17/2020</c:v>
                </c:pt>
                <c:pt idx="119">
                  <c:v>4/20/2020</c:v>
                </c:pt>
                <c:pt idx="120">
                  <c:v>4/21/2020</c:v>
                </c:pt>
                <c:pt idx="121">
                  <c:v>4/22/2020</c:v>
                </c:pt>
                <c:pt idx="122">
                  <c:v>4/23/2020</c:v>
                </c:pt>
                <c:pt idx="123">
                  <c:v>4/24/2020</c:v>
                </c:pt>
                <c:pt idx="124">
                  <c:v>4/27/2020</c:v>
                </c:pt>
                <c:pt idx="125">
                  <c:v>4/28/2020</c:v>
                </c:pt>
                <c:pt idx="126">
                  <c:v>4/29/2020</c:v>
                </c:pt>
                <c:pt idx="127">
                  <c:v>4/30/2020</c:v>
                </c:pt>
                <c:pt idx="128">
                  <c:v>5/1/2020</c:v>
                </c:pt>
                <c:pt idx="129">
                  <c:v>5/4/2020</c:v>
                </c:pt>
                <c:pt idx="130">
                  <c:v>5/5/2020</c:v>
                </c:pt>
                <c:pt idx="131">
                  <c:v>5/6/2020</c:v>
                </c:pt>
                <c:pt idx="132">
                  <c:v>5/7/2020</c:v>
                </c:pt>
                <c:pt idx="133">
                  <c:v>5/8/2020</c:v>
                </c:pt>
                <c:pt idx="134">
                  <c:v>5/11/2020</c:v>
                </c:pt>
                <c:pt idx="135">
                  <c:v>5/12/2020</c:v>
                </c:pt>
                <c:pt idx="136">
                  <c:v>5/13/2020</c:v>
                </c:pt>
                <c:pt idx="137">
                  <c:v>5/14/2020</c:v>
                </c:pt>
                <c:pt idx="138">
                  <c:v>5/15/2020</c:v>
                </c:pt>
                <c:pt idx="139">
                  <c:v>5/18/2020</c:v>
                </c:pt>
                <c:pt idx="140">
                  <c:v>5/19/2020</c:v>
                </c:pt>
                <c:pt idx="141">
                  <c:v>5/20/2020</c:v>
                </c:pt>
                <c:pt idx="142">
                  <c:v>5/21/2020</c:v>
                </c:pt>
                <c:pt idx="143">
                  <c:v>5/22/2020</c:v>
                </c:pt>
                <c:pt idx="144">
                  <c:v>5/26/2020</c:v>
                </c:pt>
                <c:pt idx="145">
                  <c:v>5/27/2020</c:v>
                </c:pt>
                <c:pt idx="146">
                  <c:v>5/28/2020</c:v>
                </c:pt>
                <c:pt idx="147">
                  <c:v>5/29/2020</c:v>
                </c:pt>
                <c:pt idx="148">
                  <c:v>6/1/2020</c:v>
                </c:pt>
                <c:pt idx="149">
                  <c:v>6/2/2020</c:v>
                </c:pt>
                <c:pt idx="150">
                  <c:v>6/3/2020</c:v>
                </c:pt>
                <c:pt idx="151">
                  <c:v>6/4/2020</c:v>
                </c:pt>
                <c:pt idx="152">
                  <c:v>6/5/2020</c:v>
                </c:pt>
                <c:pt idx="153">
                  <c:v>6/8/2020</c:v>
                </c:pt>
                <c:pt idx="154">
                  <c:v>6/9/2020</c:v>
                </c:pt>
                <c:pt idx="155">
                  <c:v>6/10/2020</c:v>
                </c:pt>
                <c:pt idx="156">
                  <c:v>6/11/2020</c:v>
                </c:pt>
                <c:pt idx="157">
                  <c:v>6/12/2020</c:v>
                </c:pt>
                <c:pt idx="158">
                  <c:v>6/15/2020</c:v>
                </c:pt>
                <c:pt idx="159">
                  <c:v>6/16/2020</c:v>
                </c:pt>
                <c:pt idx="160">
                  <c:v>6/17/2020</c:v>
                </c:pt>
                <c:pt idx="161">
                  <c:v>6/18/2020</c:v>
                </c:pt>
                <c:pt idx="162">
                  <c:v>6/19/2020</c:v>
                </c:pt>
                <c:pt idx="163">
                  <c:v>6/22/2020</c:v>
                </c:pt>
                <c:pt idx="164">
                  <c:v>6/23/2020</c:v>
                </c:pt>
                <c:pt idx="165">
                  <c:v>6/24/2020</c:v>
                </c:pt>
                <c:pt idx="166">
                  <c:v>6/25/2020</c:v>
                </c:pt>
                <c:pt idx="167">
                  <c:v>6/26/2020</c:v>
                </c:pt>
                <c:pt idx="168">
                  <c:v>6/29/2020</c:v>
                </c:pt>
                <c:pt idx="169">
                  <c:v>6/30/2020</c:v>
                </c:pt>
                <c:pt idx="170">
                  <c:v>7/1/2020</c:v>
                </c:pt>
                <c:pt idx="171">
                  <c:v>7/2/2020</c:v>
                </c:pt>
                <c:pt idx="172">
                  <c:v>7/3/2020</c:v>
                </c:pt>
                <c:pt idx="173">
                  <c:v>7/6/2020</c:v>
                </c:pt>
                <c:pt idx="174">
                  <c:v>7/7/2020</c:v>
                </c:pt>
                <c:pt idx="175">
                  <c:v>7/8/2020</c:v>
                </c:pt>
                <c:pt idx="176">
                  <c:v>7/9/2020</c:v>
                </c:pt>
                <c:pt idx="177">
                  <c:v>7/10/2020</c:v>
                </c:pt>
                <c:pt idx="178">
                  <c:v>7/13/2020</c:v>
                </c:pt>
                <c:pt idx="179">
                  <c:v>7/14/2020</c:v>
                </c:pt>
                <c:pt idx="180">
                  <c:v>7/15/2020</c:v>
                </c:pt>
                <c:pt idx="181">
                  <c:v>7/16/2020</c:v>
                </c:pt>
                <c:pt idx="182">
                  <c:v>7/17/2020</c:v>
                </c:pt>
                <c:pt idx="183">
                  <c:v>7/20/2020</c:v>
                </c:pt>
                <c:pt idx="184">
                  <c:v>7/21/2020</c:v>
                </c:pt>
                <c:pt idx="185">
                  <c:v>7/22/2020</c:v>
                </c:pt>
                <c:pt idx="186">
                  <c:v>7/23/2020</c:v>
                </c:pt>
                <c:pt idx="187">
                  <c:v>7/24/2020</c:v>
                </c:pt>
                <c:pt idx="188">
                  <c:v>7/27/2020</c:v>
                </c:pt>
                <c:pt idx="189">
                  <c:v>7/28/2020</c:v>
                </c:pt>
                <c:pt idx="190">
                  <c:v>7/29/2020</c:v>
                </c:pt>
                <c:pt idx="191">
                  <c:v>7/30/2020</c:v>
                </c:pt>
                <c:pt idx="192">
                  <c:v>7/31/2020</c:v>
                </c:pt>
                <c:pt idx="193">
                  <c:v>8/3/2020</c:v>
                </c:pt>
                <c:pt idx="194">
                  <c:v>8/4/2020</c:v>
                </c:pt>
                <c:pt idx="195">
                  <c:v>8/5/2020</c:v>
                </c:pt>
                <c:pt idx="196">
                  <c:v>8/6/2020</c:v>
                </c:pt>
                <c:pt idx="197">
                  <c:v>8/7/2020</c:v>
                </c:pt>
                <c:pt idx="198">
                  <c:v>8/10/2020</c:v>
                </c:pt>
                <c:pt idx="199">
                  <c:v>8/11/2020</c:v>
                </c:pt>
                <c:pt idx="200">
                  <c:v>8/12/2020</c:v>
                </c:pt>
                <c:pt idx="201">
                  <c:v>8/13/2020</c:v>
                </c:pt>
                <c:pt idx="202">
                  <c:v>8/14/2020</c:v>
                </c:pt>
                <c:pt idx="203">
                  <c:v>8/17/2020</c:v>
                </c:pt>
                <c:pt idx="204">
                  <c:v>8/18/2020</c:v>
                </c:pt>
                <c:pt idx="205">
                  <c:v>8/19/2020</c:v>
                </c:pt>
                <c:pt idx="206">
                  <c:v>8/20/2020</c:v>
                </c:pt>
                <c:pt idx="207">
                  <c:v>8/21/2020</c:v>
                </c:pt>
                <c:pt idx="208">
                  <c:v>8/24/2020</c:v>
                </c:pt>
                <c:pt idx="209">
                  <c:v>8/25/2020</c:v>
                </c:pt>
                <c:pt idx="210">
                  <c:v>8/26/2020</c:v>
                </c:pt>
                <c:pt idx="211">
                  <c:v>8/27/2020</c:v>
                </c:pt>
                <c:pt idx="212">
                  <c:v>8/28/2020</c:v>
                </c:pt>
                <c:pt idx="213">
                  <c:v>8/31/2020</c:v>
                </c:pt>
                <c:pt idx="214">
                  <c:v>9/1/2020</c:v>
                </c:pt>
                <c:pt idx="215">
                  <c:v>9/2/2020</c:v>
                </c:pt>
                <c:pt idx="216">
                  <c:v>9/3/2020</c:v>
                </c:pt>
                <c:pt idx="217">
                  <c:v>9/4/2020</c:v>
                </c:pt>
                <c:pt idx="218">
                  <c:v>9/7/2020</c:v>
                </c:pt>
                <c:pt idx="219">
                  <c:v>9/8/2020</c:v>
                </c:pt>
                <c:pt idx="220">
                  <c:v>9/9/2020</c:v>
                </c:pt>
                <c:pt idx="221">
                  <c:v>9/10/2020</c:v>
                </c:pt>
                <c:pt idx="222">
                  <c:v>9/11/2020</c:v>
                </c:pt>
                <c:pt idx="223">
                  <c:v>9/14/2020</c:v>
                </c:pt>
                <c:pt idx="224">
                  <c:v>9/15/2020</c:v>
                </c:pt>
                <c:pt idx="225">
                  <c:v>9/16/2020</c:v>
                </c:pt>
                <c:pt idx="226">
                  <c:v>9/17/2020</c:v>
                </c:pt>
                <c:pt idx="227">
                  <c:v>9/18/2020</c:v>
                </c:pt>
                <c:pt idx="228">
                  <c:v>9/21/2020</c:v>
                </c:pt>
                <c:pt idx="229">
                  <c:v>9/22/2020</c:v>
                </c:pt>
                <c:pt idx="230">
                  <c:v>9/23/2020</c:v>
                </c:pt>
                <c:pt idx="231">
                  <c:v>9/24/2020</c:v>
                </c:pt>
                <c:pt idx="232">
                  <c:v>9/25/2020</c:v>
                </c:pt>
                <c:pt idx="233">
                  <c:v>9/28/2020</c:v>
                </c:pt>
                <c:pt idx="234">
                  <c:v>9/29/2020</c:v>
                </c:pt>
                <c:pt idx="235">
                  <c:v>9/30/2020</c:v>
                </c:pt>
                <c:pt idx="236">
                  <c:v>10/1/2020</c:v>
                </c:pt>
                <c:pt idx="237">
                  <c:v>10/2/2020</c:v>
                </c:pt>
                <c:pt idx="238">
                  <c:v>10/5/2020</c:v>
                </c:pt>
                <c:pt idx="239">
                  <c:v>10/6/2020</c:v>
                </c:pt>
                <c:pt idx="240">
                  <c:v>10/7/2020</c:v>
                </c:pt>
                <c:pt idx="241">
                  <c:v>10/8/2020</c:v>
                </c:pt>
                <c:pt idx="242">
                  <c:v>10/9/2020</c:v>
                </c:pt>
                <c:pt idx="243">
                  <c:v>10/12/2020</c:v>
                </c:pt>
                <c:pt idx="244">
                  <c:v>10/13/2020</c:v>
                </c:pt>
                <c:pt idx="245">
                  <c:v>10/14/2020</c:v>
                </c:pt>
                <c:pt idx="246">
                  <c:v>10/15/2020</c:v>
                </c:pt>
                <c:pt idx="247">
                  <c:v>10/16/2020</c:v>
                </c:pt>
                <c:pt idx="248">
                  <c:v>10/19/2020</c:v>
                </c:pt>
                <c:pt idx="249">
                  <c:v>10/20/2020</c:v>
                </c:pt>
                <c:pt idx="250">
                  <c:v>10/21/2020</c:v>
                </c:pt>
                <c:pt idx="251">
                  <c:v>10/22/2020</c:v>
                </c:pt>
                <c:pt idx="252">
                  <c:v>10/23/2020</c:v>
                </c:pt>
                <c:pt idx="253">
                  <c:v>10/26/2020</c:v>
                </c:pt>
                <c:pt idx="254">
                  <c:v>10/27/2020</c:v>
                </c:pt>
                <c:pt idx="255">
                  <c:v>10/28/2020</c:v>
                </c:pt>
                <c:pt idx="256">
                  <c:v>10/29/2020</c:v>
                </c:pt>
                <c:pt idx="257">
                  <c:v>10/30/2020</c:v>
                </c:pt>
                <c:pt idx="258">
                  <c:v>11/2/2020</c:v>
                </c:pt>
                <c:pt idx="259">
                  <c:v>11/3/2020</c:v>
                </c:pt>
                <c:pt idx="260">
                  <c:v>11/4/2020</c:v>
                </c:pt>
                <c:pt idx="261">
                  <c:v>11/5/2020</c:v>
                </c:pt>
                <c:pt idx="262">
                  <c:v>11/6/2020</c:v>
                </c:pt>
                <c:pt idx="263">
                  <c:v>11/9/2020</c:v>
                </c:pt>
                <c:pt idx="264">
                  <c:v>11/10/2020</c:v>
                </c:pt>
                <c:pt idx="265">
                  <c:v>11/11/2020</c:v>
                </c:pt>
                <c:pt idx="266">
                  <c:v>11/12/2020</c:v>
                </c:pt>
                <c:pt idx="267">
                  <c:v>11/13/2020</c:v>
                </c:pt>
                <c:pt idx="268">
                  <c:v>11/16/2020</c:v>
                </c:pt>
                <c:pt idx="269">
                  <c:v>11/17/2020</c:v>
                </c:pt>
                <c:pt idx="270">
                  <c:v>11/18/2020</c:v>
                </c:pt>
                <c:pt idx="271">
                  <c:v>11/19/2020</c:v>
                </c:pt>
                <c:pt idx="272">
                  <c:v>11/20/2020</c:v>
                </c:pt>
                <c:pt idx="273">
                  <c:v>11/23/2020</c:v>
                </c:pt>
                <c:pt idx="274">
                  <c:v>11/24/2020</c:v>
                </c:pt>
                <c:pt idx="275">
                  <c:v>11/25/2020</c:v>
                </c:pt>
                <c:pt idx="276">
                  <c:v>11/26/2020</c:v>
                </c:pt>
                <c:pt idx="277">
                  <c:v>11/27/2020</c:v>
                </c:pt>
                <c:pt idx="278">
                  <c:v>11/30/2020</c:v>
                </c:pt>
                <c:pt idx="279">
                  <c:v>12/1/2020</c:v>
                </c:pt>
                <c:pt idx="280">
                  <c:v>12/2/2020</c:v>
                </c:pt>
                <c:pt idx="281">
                  <c:v>12/3/2020</c:v>
                </c:pt>
                <c:pt idx="282">
                  <c:v>12/4/2020</c:v>
                </c:pt>
                <c:pt idx="283">
                  <c:v>12/7/2020</c:v>
                </c:pt>
                <c:pt idx="284">
                  <c:v>12/8/2020</c:v>
                </c:pt>
                <c:pt idx="285">
                  <c:v>12/9/2020</c:v>
                </c:pt>
                <c:pt idx="286">
                  <c:v>12/10/2020</c:v>
                </c:pt>
                <c:pt idx="287">
                  <c:v>12/11/2020</c:v>
                </c:pt>
                <c:pt idx="288">
                  <c:v>12/14/2020</c:v>
                </c:pt>
                <c:pt idx="289">
                  <c:v>12/15/2020</c:v>
                </c:pt>
                <c:pt idx="290">
                  <c:v>12/16/2020</c:v>
                </c:pt>
                <c:pt idx="291">
                  <c:v>12/17/2020</c:v>
                </c:pt>
                <c:pt idx="292">
                  <c:v>12/18/2020</c:v>
                </c:pt>
                <c:pt idx="293">
                  <c:v>12/21/2020</c:v>
                </c:pt>
                <c:pt idx="294">
                  <c:v>12/22/2020</c:v>
                </c:pt>
                <c:pt idx="295">
                  <c:v>12/23/2020</c:v>
                </c:pt>
                <c:pt idx="296">
                  <c:v>12/24/2020</c:v>
                </c:pt>
                <c:pt idx="297">
                  <c:v>12/28/2020</c:v>
                </c:pt>
                <c:pt idx="298">
                  <c:v>12/29/2020</c:v>
                </c:pt>
                <c:pt idx="299">
                  <c:v>12/30/2020</c:v>
                </c:pt>
                <c:pt idx="300">
                  <c:v>12/31/2020</c:v>
                </c:pt>
                <c:pt idx="301">
                  <c:v>1/4/2021</c:v>
                </c:pt>
                <c:pt idx="302">
                  <c:v>1/5/2021</c:v>
                </c:pt>
                <c:pt idx="303">
                  <c:v>1/6/2021</c:v>
                </c:pt>
                <c:pt idx="304">
                  <c:v>1/7/2021</c:v>
                </c:pt>
                <c:pt idx="305">
                  <c:v>1/8/2021</c:v>
                </c:pt>
                <c:pt idx="306">
                  <c:v>1/11/2021</c:v>
                </c:pt>
                <c:pt idx="307">
                  <c:v>1/12/2021</c:v>
                </c:pt>
                <c:pt idx="308">
                  <c:v>1/13/2021</c:v>
                </c:pt>
                <c:pt idx="309">
                  <c:v>1/14/2021</c:v>
                </c:pt>
                <c:pt idx="310">
                  <c:v>1/15/2021</c:v>
                </c:pt>
                <c:pt idx="311">
                  <c:v>1/18/2021</c:v>
                </c:pt>
                <c:pt idx="312">
                  <c:v>1/19/2021</c:v>
                </c:pt>
                <c:pt idx="313">
                  <c:v>1/20/2021</c:v>
                </c:pt>
                <c:pt idx="314">
                  <c:v>1/21/2021</c:v>
                </c:pt>
                <c:pt idx="315">
                  <c:v>1/22/2021</c:v>
                </c:pt>
                <c:pt idx="316">
                  <c:v>1/25/2021</c:v>
                </c:pt>
                <c:pt idx="317">
                  <c:v>1/26/2021</c:v>
                </c:pt>
                <c:pt idx="318">
                  <c:v>1/27/2021</c:v>
                </c:pt>
                <c:pt idx="319">
                  <c:v>1/28/2021</c:v>
                </c:pt>
                <c:pt idx="320">
                  <c:v>1/29/2021</c:v>
                </c:pt>
                <c:pt idx="321">
                  <c:v>2/1/2021</c:v>
                </c:pt>
                <c:pt idx="322">
                  <c:v>2/2/2021</c:v>
                </c:pt>
                <c:pt idx="323">
                  <c:v>2/3/2021</c:v>
                </c:pt>
                <c:pt idx="324">
                  <c:v>2/4/2021</c:v>
                </c:pt>
                <c:pt idx="325">
                  <c:v>2/5/2021</c:v>
                </c:pt>
                <c:pt idx="326">
                  <c:v>2/8/2021</c:v>
                </c:pt>
                <c:pt idx="327">
                  <c:v>2/9/2021</c:v>
                </c:pt>
                <c:pt idx="328">
                  <c:v>2/10/2021</c:v>
                </c:pt>
                <c:pt idx="329">
                  <c:v>2/11/2021</c:v>
                </c:pt>
                <c:pt idx="330">
                  <c:v>2/12/2021</c:v>
                </c:pt>
                <c:pt idx="331">
                  <c:v>2/15/2021</c:v>
                </c:pt>
                <c:pt idx="332">
                  <c:v>2/16/2021</c:v>
                </c:pt>
                <c:pt idx="333">
                  <c:v>2/17/2021</c:v>
                </c:pt>
                <c:pt idx="334">
                  <c:v>2/18/2021</c:v>
                </c:pt>
                <c:pt idx="335">
                  <c:v>2/19/2021</c:v>
                </c:pt>
                <c:pt idx="336">
                  <c:v>2/22/2021</c:v>
                </c:pt>
                <c:pt idx="337">
                  <c:v>2/23/2021</c:v>
                </c:pt>
                <c:pt idx="338">
                  <c:v>2/24/2021</c:v>
                </c:pt>
                <c:pt idx="339">
                  <c:v>2/25/2021</c:v>
                </c:pt>
                <c:pt idx="340">
                  <c:v>2/26/2021</c:v>
                </c:pt>
                <c:pt idx="341">
                  <c:v>3/1/2021</c:v>
                </c:pt>
                <c:pt idx="342">
                  <c:v>3/2/2021</c:v>
                </c:pt>
                <c:pt idx="343">
                  <c:v>3/3/2021</c:v>
                </c:pt>
                <c:pt idx="344">
                  <c:v>3/4/2021</c:v>
                </c:pt>
                <c:pt idx="345">
                  <c:v>3/5/2021</c:v>
                </c:pt>
                <c:pt idx="346">
                  <c:v>3/8/2021</c:v>
                </c:pt>
                <c:pt idx="347">
                  <c:v>3/9/2021</c:v>
                </c:pt>
                <c:pt idx="348">
                  <c:v>3/10/2021</c:v>
                </c:pt>
                <c:pt idx="349">
                  <c:v>3/11/2021</c:v>
                </c:pt>
                <c:pt idx="350">
                  <c:v>3/12/2021</c:v>
                </c:pt>
                <c:pt idx="351">
                  <c:v>3/15/2021</c:v>
                </c:pt>
                <c:pt idx="352">
                  <c:v>3/16/2021</c:v>
                </c:pt>
                <c:pt idx="353">
                  <c:v>3/17/2021</c:v>
                </c:pt>
                <c:pt idx="354">
                  <c:v>3/18/2021</c:v>
                </c:pt>
                <c:pt idx="355">
                  <c:v>3/19/2021</c:v>
                </c:pt>
                <c:pt idx="356">
                  <c:v>3/22/2021</c:v>
                </c:pt>
                <c:pt idx="357">
                  <c:v>3/23/2021</c:v>
                </c:pt>
                <c:pt idx="358">
                  <c:v>3/24/2021</c:v>
                </c:pt>
                <c:pt idx="359">
                  <c:v>3/25/2021</c:v>
                </c:pt>
                <c:pt idx="360">
                  <c:v>3/26/2021</c:v>
                </c:pt>
                <c:pt idx="361">
                  <c:v>3/29/2021</c:v>
                </c:pt>
                <c:pt idx="362">
                  <c:v>3/30/2021</c:v>
                </c:pt>
                <c:pt idx="363">
                  <c:v>3/31/2021</c:v>
                </c:pt>
                <c:pt idx="364">
                  <c:v>4/1/2021</c:v>
                </c:pt>
                <c:pt idx="365">
                  <c:v>4/5/2021</c:v>
                </c:pt>
                <c:pt idx="366">
                  <c:v>4/6/2021</c:v>
                </c:pt>
                <c:pt idx="367">
                  <c:v>4/7/2021</c:v>
                </c:pt>
                <c:pt idx="368">
                  <c:v>4/8/2021</c:v>
                </c:pt>
                <c:pt idx="369">
                  <c:v>4/9/2021</c:v>
                </c:pt>
                <c:pt idx="370">
                  <c:v>4/12/2021</c:v>
                </c:pt>
                <c:pt idx="371">
                  <c:v>4/13/2021</c:v>
                </c:pt>
                <c:pt idx="372">
                  <c:v>4/14/2021</c:v>
                </c:pt>
                <c:pt idx="373">
                  <c:v>4/15/2021</c:v>
                </c:pt>
                <c:pt idx="374">
                  <c:v>4/16/2021</c:v>
                </c:pt>
                <c:pt idx="375">
                  <c:v>4/19/2021</c:v>
                </c:pt>
                <c:pt idx="376">
                  <c:v>4/20/2021</c:v>
                </c:pt>
                <c:pt idx="377">
                  <c:v>4/21/2021</c:v>
                </c:pt>
                <c:pt idx="378">
                  <c:v>4/22/2021</c:v>
                </c:pt>
                <c:pt idx="379">
                  <c:v>4/23/2021</c:v>
                </c:pt>
                <c:pt idx="380">
                  <c:v>4/26/2021</c:v>
                </c:pt>
                <c:pt idx="381">
                  <c:v>4/27/2021</c:v>
                </c:pt>
                <c:pt idx="382">
                  <c:v>4/28/2021</c:v>
                </c:pt>
                <c:pt idx="383">
                  <c:v>4/29/2021</c:v>
                </c:pt>
                <c:pt idx="384">
                  <c:v>4/30/2021</c:v>
                </c:pt>
                <c:pt idx="385">
                  <c:v>5/3/2021</c:v>
                </c:pt>
                <c:pt idx="386">
                  <c:v>5/4/2021</c:v>
                </c:pt>
                <c:pt idx="387">
                  <c:v>5/5/2021</c:v>
                </c:pt>
                <c:pt idx="388">
                  <c:v>5/6/2021</c:v>
                </c:pt>
                <c:pt idx="389">
                  <c:v>5/7/2021</c:v>
                </c:pt>
                <c:pt idx="390">
                  <c:v>5/10/2021</c:v>
                </c:pt>
                <c:pt idx="391">
                  <c:v>5/11/2021</c:v>
                </c:pt>
                <c:pt idx="392">
                  <c:v>5/12/2021</c:v>
                </c:pt>
                <c:pt idx="393">
                  <c:v>5/13/2021</c:v>
                </c:pt>
                <c:pt idx="394">
                  <c:v>5/14/2021</c:v>
                </c:pt>
                <c:pt idx="395">
                  <c:v>5/17/2021</c:v>
                </c:pt>
                <c:pt idx="396">
                  <c:v>5/18/2021</c:v>
                </c:pt>
                <c:pt idx="397">
                  <c:v>5/19/2021</c:v>
                </c:pt>
                <c:pt idx="398">
                  <c:v>5/20/2021</c:v>
                </c:pt>
                <c:pt idx="399">
                  <c:v>5/21/2021</c:v>
                </c:pt>
                <c:pt idx="400">
                  <c:v>5/24/2021</c:v>
                </c:pt>
                <c:pt idx="401">
                  <c:v>5/25/2021</c:v>
                </c:pt>
                <c:pt idx="402">
                  <c:v>5/26/2021</c:v>
                </c:pt>
                <c:pt idx="403">
                  <c:v>5/27/2021</c:v>
                </c:pt>
                <c:pt idx="404">
                  <c:v>5/28/2021</c:v>
                </c:pt>
                <c:pt idx="405">
                  <c:v>5/31/2021</c:v>
                </c:pt>
                <c:pt idx="406">
                  <c:v>6/1/2021</c:v>
                </c:pt>
                <c:pt idx="407">
                  <c:v>6/2/2021</c:v>
                </c:pt>
                <c:pt idx="408">
                  <c:v>6/3/2021</c:v>
                </c:pt>
                <c:pt idx="409">
                  <c:v>6/4/2021</c:v>
                </c:pt>
                <c:pt idx="410">
                  <c:v>6/7/2021</c:v>
                </c:pt>
                <c:pt idx="411">
                  <c:v>6/8/2021</c:v>
                </c:pt>
                <c:pt idx="412">
                  <c:v>6/9/2021</c:v>
                </c:pt>
                <c:pt idx="413">
                  <c:v>6/10/2021</c:v>
                </c:pt>
                <c:pt idx="414">
                  <c:v>6/11/2021</c:v>
                </c:pt>
                <c:pt idx="415">
                  <c:v>6/14/2021</c:v>
                </c:pt>
                <c:pt idx="416">
                  <c:v>6/15/2021</c:v>
                </c:pt>
                <c:pt idx="417">
                  <c:v>6/16/2021</c:v>
                </c:pt>
                <c:pt idx="418">
                  <c:v>6/17/2021</c:v>
                </c:pt>
                <c:pt idx="419">
                  <c:v>6/18/2021</c:v>
                </c:pt>
                <c:pt idx="420">
                  <c:v>6/21/2021</c:v>
                </c:pt>
                <c:pt idx="421">
                  <c:v>6/22/2021</c:v>
                </c:pt>
                <c:pt idx="422">
                  <c:v>6/23/2021</c:v>
                </c:pt>
                <c:pt idx="423">
                  <c:v>6/24/2021</c:v>
                </c:pt>
                <c:pt idx="424">
                  <c:v>6/25/2021</c:v>
                </c:pt>
                <c:pt idx="425">
                  <c:v>6/28/2021</c:v>
                </c:pt>
                <c:pt idx="426">
                  <c:v>6/29/2021</c:v>
                </c:pt>
                <c:pt idx="427">
                  <c:v>6/30/2021</c:v>
                </c:pt>
                <c:pt idx="428">
                  <c:v>7/1/2021</c:v>
                </c:pt>
                <c:pt idx="429">
                  <c:v>7/2/2021</c:v>
                </c:pt>
                <c:pt idx="430">
                  <c:v>7/5/2021</c:v>
                </c:pt>
                <c:pt idx="431">
                  <c:v>7/6/2021</c:v>
                </c:pt>
                <c:pt idx="432">
                  <c:v>7/7/2021</c:v>
                </c:pt>
                <c:pt idx="433">
                  <c:v>7/8/2021</c:v>
                </c:pt>
                <c:pt idx="434">
                  <c:v>7/9/2021</c:v>
                </c:pt>
                <c:pt idx="435">
                  <c:v>7/12/2021</c:v>
                </c:pt>
                <c:pt idx="436">
                  <c:v>7/13/2021</c:v>
                </c:pt>
                <c:pt idx="437">
                  <c:v>7/14/2021</c:v>
                </c:pt>
                <c:pt idx="438">
                  <c:v>7/15/2021</c:v>
                </c:pt>
                <c:pt idx="439">
                  <c:v>7/16/2021</c:v>
                </c:pt>
                <c:pt idx="440">
                  <c:v>7/19/2021</c:v>
                </c:pt>
                <c:pt idx="441">
                  <c:v>7/20/2021</c:v>
                </c:pt>
                <c:pt idx="442">
                  <c:v>7/21/2021</c:v>
                </c:pt>
                <c:pt idx="443">
                  <c:v>7/22/2021</c:v>
                </c:pt>
                <c:pt idx="444">
                  <c:v>7/23/2021</c:v>
                </c:pt>
                <c:pt idx="445">
                  <c:v>7/26/2021</c:v>
                </c:pt>
                <c:pt idx="446">
                  <c:v>7/27/2021</c:v>
                </c:pt>
                <c:pt idx="447">
                  <c:v>7/28/2021</c:v>
                </c:pt>
                <c:pt idx="448">
                  <c:v>7/29/2021</c:v>
                </c:pt>
                <c:pt idx="449">
                  <c:v>7/30/2021</c:v>
                </c:pt>
                <c:pt idx="450">
                  <c:v>8/2/2021</c:v>
                </c:pt>
                <c:pt idx="451">
                  <c:v>8/3/2021</c:v>
                </c:pt>
                <c:pt idx="452">
                  <c:v>8/4/2021</c:v>
                </c:pt>
                <c:pt idx="453">
                  <c:v>8/5/2021</c:v>
                </c:pt>
                <c:pt idx="454">
                  <c:v>8/6/2021</c:v>
                </c:pt>
                <c:pt idx="455">
                  <c:v>8/9/2021</c:v>
                </c:pt>
                <c:pt idx="456">
                  <c:v>8/10/2021</c:v>
                </c:pt>
                <c:pt idx="457">
                  <c:v>8/11/2021</c:v>
                </c:pt>
                <c:pt idx="458">
                  <c:v>8/12/2021</c:v>
                </c:pt>
                <c:pt idx="459">
                  <c:v>8/13/2021</c:v>
                </c:pt>
                <c:pt idx="460">
                  <c:v>8/16/2021</c:v>
                </c:pt>
                <c:pt idx="461">
                  <c:v>8/17/2021</c:v>
                </c:pt>
                <c:pt idx="462">
                  <c:v>8/18/2021</c:v>
                </c:pt>
                <c:pt idx="463">
                  <c:v>8/19/2021</c:v>
                </c:pt>
                <c:pt idx="464">
                  <c:v>8/20/2021</c:v>
                </c:pt>
                <c:pt idx="465">
                  <c:v>8/23/2021</c:v>
                </c:pt>
                <c:pt idx="466">
                  <c:v>8/24/2021</c:v>
                </c:pt>
                <c:pt idx="467">
                  <c:v>8/25/2021</c:v>
                </c:pt>
                <c:pt idx="468">
                  <c:v>8/26/2021</c:v>
                </c:pt>
                <c:pt idx="469">
                  <c:v>8/27/2021</c:v>
                </c:pt>
                <c:pt idx="470">
                  <c:v>8/30/2021</c:v>
                </c:pt>
                <c:pt idx="471">
                  <c:v>8/31/2021</c:v>
                </c:pt>
                <c:pt idx="472">
                  <c:v>9/1/2021</c:v>
                </c:pt>
                <c:pt idx="473">
                  <c:v>9/2/2021</c:v>
                </c:pt>
                <c:pt idx="474">
                  <c:v>9/3/2021</c:v>
                </c:pt>
                <c:pt idx="475">
                  <c:v>9/6/2021</c:v>
                </c:pt>
                <c:pt idx="476">
                  <c:v>9/7/2021</c:v>
                </c:pt>
                <c:pt idx="477">
                  <c:v>9/8/2021</c:v>
                </c:pt>
                <c:pt idx="478">
                  <c:v>9/9/2021</c:v>
                </c:pt>
                <c:pt idx="479">
                  <c:v>9/10/2021</c:v>
                </c:pt>
                <c:pt idx="480">
                  <c:v>9/13/2021</c:v>
                </c:pt>
                <c:pt idx="481">
                  <c:v>9/14/2021</c:v>
                </c:pt>
                <c:pt idx="482">
                  <c:v>9/15/2021</c:v>
                </c:pt>
                <c:pt idx="483">
                  <c:v>9/16/2021</c:v>
                </c:pt>
                <c:pt idx="484">
                  <c:v>9/17/2021</c:v>
                </c:pt>
                <c:pt idx="485">
                  <c:v>9/20/2021</c:v>
                </c:pt>
                <c:pt idx="486">
                  <c:v>9/21/2021</c:v>
                </c:pt>
                <c:pt idx="487">
                  <c:v>9/22/2021</c:v>
                </c:pt>
                <c:pt idx="488">
                  <c:v>9/23/2021</c:v>
                </c:pt>
                <c:pt idx="489">
                  <c:v>9/24/2021</c:v>
                </c:pt>
                <c:pt idx="490">
                  <c:v>9/27/2021</c:v>
                </c:pt>
                <c:pt idx="491">
                  <c:v>9/28/2021</c:v>
                </c:pt>
                <c:pt idx="492">
                  <c:v>9/29/2021</c:v>
                </c:pt>
                <c:pt idx="493">
                  <c:v>9/30/2021</c:v>
                </c:pt>
                <c:pt idx="494">
                  <c:v>10/1/2021</c:v>
                </c:pt>
                <c:pt idx="495">
                  <c:v>10/4/2021</c:v>
                </c:pt>
                <c:pt idx="496">
                  <c:v>10/5/2021</c:v>
                </c:pt>
                <c:pt idx="497">
                  <c:v>10/6/2021</c:v>
                </c:pt>
                <c:pt idx="498">
                  <c:v>10/7/2021</c:v>
                </c:pt>
                <c:pt idx="499">
                  <c:v>10/8/2021</c:v>
                </c:pt>
                <c:pt idx="500">
                  <c:v>10/11/2021</c:v>
                </c:pt>
                <c:pt idx="501">
                  <c:v>10/12/2021</c:v>
                </c:pt>
                <c:pt idx="502">
                  <c:v>10/13/2021</c:v>
                </c:pt>
                <c:pt idx="503">
                  <c:v>10/14/2021</c:v>
                </c:pt>
                <c:pt idx="504">
                  <c:v>10/15/2021</c:v>
                </c:pt>
                <c:pt idx="505">
                  <c:v>10/18/2021</c:v>
                </c:pt>
                <c:pt idx="506">
                  <c:v>10/19/2021</c:v>
                </c:pt>
                <c:pt idx="507">
                  <c:v>10/20/2021</c:v>
                </c:pt>
                <c:pt idx="508">
                  <c:v>10/21/2021</c:v>
                </c:pt>
                <c:pt idx="509">
                  <c:v>10/22/2021</c:v>
                </c:pt>
                <c:pt idx="510">
                  <c:v>10/25/2021</c:v>
                </c:pt>
                <c:pt idx="511">
                  <c:v>10/26/2021</c:v>
                </c:pt>
                <c:pt idx="512">
                  <c:v>10/27/2021</c:v>
                </c:pt>
                <c:pt idx="513">
                  <c:v>10/28/2021</c:v>
                </c:pt>
                <c:pt idx="514">
                  <c:v>10/29/2021</c:v>
                </c:pt>
                <c:pt idx="515">
                  <c:v>11/1/2021</c:v>
                </c:pt>
                <c:pt idx="516">
                  <c:v>11/2/2021</c:v>
                </c:pt>
                <c:pt idx="517">
                  <c:v>11/3/2021</c:v>
                </c:pt>
                <c:pt idx="518">
                  <c:v>11/4/2021</c:v>
                </c:pt>
                <c:pt idx="519">
                  <c:v>11/5/2021</c:v>
                </c:pt>
                <c:pt idx="520">
                  <c:v>11/8/2021</c:v>
                </c:pt>
                <c:pt idx="521">
                  <c:v>11/9/2021</c:v>
                </c:pt>
                <c:pt idx="522">
                  <c:v>11/10/2021</c:v>
                </c:pt>
                <c:pt idx="523">
                  <c:v>11/11/2021</c:v>
                </c:pt>
                <c:pt idx="524">
                  <c:v>11/12/2021</c:v>
                </c:pt>
                <c:pt idx="525">
                  <c:v>11/15/2021</c:v>
                </c:pt>
                <c:pt idx="526">
                  <c:v>11/16/2021</c:v>
                </c:pt>
                <c:pt idx="527">
                  <c:v>11/17/2021</c:v>
                </c:pt>
                <c:pt idx="528">
                  <c:v>11/18/2021</c:v>
                </c:pt>
                <c:pt idx="529">
                  <c:v>11/19/2021</c:v>
                </c:pt>
                <c:pt idx="530">
                  <c:v>11/22/2021</c:v>
                </c:pt>
                <c:pt idx="531">
                  <c:v>11/23/2021</c:v>
                </c:pt>
                <c:pt idx="532">
                  <c:v>11/24/2021</c:v>
                </c:pt>
                <c:pt idx="533">
                  <c:v>11/25/2021</c:v>
                </c:pt>
                <c:pt idx="534">
                  <c:v>11/26/2021</c:v>
                </c:pt>
                <c:pt idx="535">
                  <c:v>11/29/2021</c:v>
                </c:pt>
                <c:pt idx="536">
                  <c:v>11/30/2021</c:v>
                </c:pt>
                <c:pt idx="537">
                  <c:v>12/1/2021</c:v>
                </c:pt>
                <c:pt idx="538">
                  <c:v>12/2/2021</c:v>
                </c:pt>
                <c:pt idx="539">
                  <c:v>12/3/2021</c:v>
                </c:pt>
                <c:pt idx="540">
                  <c:v>12/6/2021</c:v>
                </c:pt>
                <c:pt idx="541">
                  <c:v>12/7/2021</c:v>
                </c:pt>
                <c:pt idx="542">
                  <c:v>12/8/2021</c:v>
                </c:pt>
                <c:pt idx="543">
                  <c:v>12/9/2021</c:v>
                </c:pt>
                <c:pt idx="544">
                  <c:v>12/10/2021</c:v>
                </c:pt>
                <c:pt idx="545">
                  <c:v>12/13/2021</c:v>
                </c:pt>
                <c:pt idx="546">
                  <c:v>12/14/2021</c:v>
                </c:pt>
                <c:pt idx="547">
                  <c:v>12/15/2021</c:v>
                </c:pt>
                <c:pt idx="548">
                  <c:v>12/16/2021</c:v>
                </c:pt>
                <c:pt idx="549">
                  <c:v>12/17/2021</c:v>
                </c:pt>
                <c:pt idx="550">
                  <c:v>12/20/2021</c:v>
                </c:pt>
                <c:pt idx="551">
                  <c:v>12/21/2021</c:v>
                </c:pt>
                <c:pt idx="552">
                  <c:v>12/22/2021</c:v>
                </c:pt>
                <c:pt idx="553">
                  <c:v>12/23/2021</c:v>
                </c:pt>
                <c:pt idx="554">
                  <c:v>12/24/2021</c:v>
                </c:pt>
                <c:pt idx="555">
                  <c:v>12/27/2021</c:v>
                </c:pt>
                <c:pt idx="556">
                  <c:v>12/28/2021</c:v>
                </c:pt>
                <c:pt idx="557">
                  <c:v>12/29/2021</c:v>
                </c:pt>
                <c:pt idx="558">
                  <c:v>12/30/2021</c:v>
                </c:pt>
                <c:pt idx="559">
                  <c:v>12/31/2021</c:v>
                </c:pt>
                <c:pt idx="560">
                  <c:v>1/3/2022</c:v>
                </c:pt>
                <c:pt idx="561">
                  <c:v>1/4/2022</c:v>
                </c:pt>
                <c:pt idx="562">
                  <c:v>1/5/2022</c:v>
                </c:pt>
                <c:pt idx="563">
                  <c:v>1/6/2022</c:v>
                </c:pt>
                <c:pt idx="564">
                  <c:v>1/7/2022</c:v>
                </c:pt>
                <c:pt idx="565">
                  <c:v>1/10/2022</c:v>
                </c:pt>
                <c:pt idx="566">
                  <c:v>1/11/2022</c:v>
                </c:pt>
                <c:pt idx="567">
                  <c:v>1/12/2022</c:v>
                </c:pt>
                <c:pt idx="568">
                  <c:v>1/13/2022</c:v>
                </c:pt>
                <c:pt idx="569">
                  <c:v>1/14/2022</c:v>
                </c:pt>
                <c:pt idx="570">
                  <c:v>1/17/2022</c:v>
                </c:pt>
                <c:pt idx="571">
                  <c:v>1/18/2022</c:v>
                </c:pt>
                <c:pt idx="572">
                  <c:v>1/19/2022</c:v>
                </c:pt>
                <c:pt idx="573">
                  <c:v>1/20/2022</c:v>
                </c:pt>
                <c:pt idx="574">
                  <c:v>1/21/2022</c:v>
                </c:pt>
                <c:pt idx="575">
                  <c:v>1/24/2022</c:v>
                </c:pt>
                <c:pt idx="576">
                  <c:v>1/25/2022</c:v>
                </c:pt>
                <c:pt idx="577">
                  <c:v>1/26/2022</c:v>
                </c:pt>
                <c:pt idx="578">
                  <c:v>1/27/2022</c:v>
                </c:pt>
                <c:pt idx="579">
                  <c:v>1/28/2022</c:v>
                </c:pt>
                <c:pt idx="580">
                  <c:v>1/31/2022</c:v>
                </c:pt>
                <c:pt idx="581">
                  <c:v>2/1/2022</c:v>
                </c:pt>
                <c:pt idx="582">
                  <c:v>2/2/2022</c:v>
                </c:pt>
                <c:pt idx="583">
                  <c:v>2/3/2022</c:v>
                </c:pt>
                <c:pt idx="584">
                  <c:v>2/4/2022</c:v>
                </c:pt>
                <c:pt idx="585">
                  <c:v>2/7/2022</c:v>
                </c:pt>
                <c:pt idx="586">
                  <c:v>2/8/2022</c:v>
                </c:pt>
                <c:pt idx="587">
                  <c:v>2/9/2022</c:v>
                </c:pt>
                <c:pt idx="588">
                  <c:v>2/10/2022</c:v>
                </c:pt>
                <c:pt idx="589">
                  <c:v>2/11/2022</c:v>
                </c:pt>
                <c:pt idx="590">
                  <c:v>2/14/2022</c:v>
                </c:pt>
                <c:pt idx="591">
                  <c:v>2/15/2022</c:v>
                </c:pt>
                <c:pt idx="592">
                  <c:v>2/16/2022</c:v>
                </c:pt>
                <c:pt idx="593">
                  <c:v>2/17/2022</c:v>
                </c:pt>
                <c:pt idx="594">
                  <c:v>2/18/2022</c:v>
                </c:pt>
                <c:pt idx="595">
                  <c:v>2/21/2022</c:v>
                </c:pt>
                <c:pt idx="596">
                  <c:v>2/22/2022</c:v>
                </c:pt>
                <c:pt idx="597">
                  <c:v>2/23/2022</c:v>
                </c:pt>
                <c:pt idx="598">
                  <c:v>2/24/2022</c:v>
                </c:pt>
                <c:pt idx="599">
                  <c:v>2/25/2022</c:v>
                </c:pt>
                <c:pt idx="600">
                  <c:v>2/28/2022</c:v>
                </c:pt>
                <c:pt idx="601">
                  <c:v>3/1/2022</c:v>
                </c:pt>
                <c:pt idx="602">
                  <c:v>3/2/2022</c:v>
                </c:pt>
                <c:pt idx="603">
                  <c:v>3/3/2022</c:v>
                </c:pt>
                <c:pt idx="604">
                  <c:v>3/4/2022</c:v>
                </c:pt>
                <c:pt idx="605">
                  <c:v>3/7/2022</c:v>
                </c:pt>
                <c:pt idx="606">
                  <c:v>3/8/2022</c:v>
                </c:pt>
                <c:pt idx="607">
                  <c:v>3/9/2022</c:v>
                </c:pt>
                <c:pt idx="608">
                  <c:v>3/10/2022</c:v>
                </c:pt>
                <c:pt idx="609">
                  <c:v>3/11/2022</c:v>
                </c:pt>
                <c:pt idx="610">
                  <c:v>3/14/2022</c:v>
                </c:pt>
                <c:pt idx="611">
                  <c:v>3/15/2022</c:v>
                </c:pt>
                <c:pt idx="612">
                  <c:v>3/16/2022</c:v>
                </c:pt>
                <c:pt idx="613">
                  <c:v>3/17/2022</c:v>
                </c:pt>
                <c:pt idx="614">
                  <c:v>3/18/2022</c:v>
                </c:pt>
                <c:pt idx="615">
                  <c:v>3/21/2022</c:v>
                </c:pt>
                <c:pt idx="616">
                  <c:v>3/22/2022</c:v>
                </c:pt>
                <c:pt idx="617">
                  <c:v>3/23/2022</c:v>
                </c:pt>
                <c:pt idx="618">
                  <c:v>3/24/2022</c:v>
                </c:pt>
                <c:pt idx="619">
                  <c:v>3/25/2022</c:v>
                </c:pt>
                <c:pt idx="620">
                  <c:v>3/28/2022</c:v>
                </c:pt>
                <c:pt idx="621">
                  <c:v>3/29/2022</c:v>
                </c:pt>
                <c:pt idx="622">
                  <c:v>3/30/2022</c:v>
                </c:pt>
                <c:pt idx="623">
                  <c:v>3/31/2022</c:v>
                </c:pt>
                <c:pt idx="624">
                  <c:v>4/1/2022</c:v>
                </c:pt>
                <c:pt idx="625">
                  <c:v>4/4/2022</c:v>
                </c:pt>
                <c:pt idx="626">
                  <c:v>4/5/2022</c:v>
                </c:pt>
                <c:pt idx="627">
                  <c:v>4/6/2022</c:v>
                </c:pt>
                <c:pt idx="628">
                  <c:v>4/7/2022</c:v>
                </c:pt>
                <c:pt idx="629">
                  <c:v>4/8/2022</c:v>
                </c:pt>
                <c:pt idx="630">
                  <c:v>4/11/2022</c:v>
                </c:pt>
                <c:pt idx="631">
                  <c:v>4/12/2022</c:v>
                </c:pt>
                <c:pt idx="632">
                  <c:v>4/13/2022</c:v>
                </c:pt>
                <c:pt idx="633">
                  <c:v>4/14/2022</c:v>
                </c:pt>
                <c:pt idx="634">
                  <c:v>4/18/2022</c:v>
                </c:pt>
                <c:pt idx="635">
                  <c:v>4/19/2022</c:v>
                </c:pt>
                <c:pt idx="636">
                  <c:v>4/20/2022</c:v>
                </c:pt>
                <c:pt idx="637">
                  <c:v>4/21/2022</c:v>
                </c:pt>
                <c:pt idx="638">
                  <c:v>4/22/2022</c:v>
                </c:pt>
                <c:pt idx="639">
                  <c:v>4/25/2022</c:v>
                </c:pt>
                <c:pt idx="640">
                  <c:v>4/26/2022</c:v>
                </c:pt>
                <c:pt idx="641">
                  <c:v>4/27/2022</c:v>
                </c:pt>
                <c:pt idx="642">
                  <c:v>4/28/2022</c:v>
                </c:pt>
                <c:pt idx="643">
                  <c:v>4/29/2022</c:v>
                </c:pt>
                <c:pt idx="644">
                  <c:v>5/2/2022</c:v>
                </c:pt>
                <c:pt idx="645">
                  <c:v>5/3/2022</c:v>
                </c:pt>
                <c:pt idx="646">
                  <c:v>5/4/2022</c:v>
                </c:pt>
                <c:pt idx="647">
                  <c:v>5/5/2022</c:v>
                </c:pt>
                <c:pt idx="648">
                  <c:v>5/6/2022</c:v>
                </c:pt>
                <c:pt idx="649">
                  <c:v>5/9/2022</c:v>
                </c:pt>
                <c:pt idx="650">
                  <c:v>5/10/2022</c:v>
                </c:pt>
                <c:pt idx="651">
                  <c:v>5/11/2022</c:v>
                </c:pt>
                <c:pt idx="652">
                  <c:v>5/12/2022</c:v>
                </c:pt>
                <c:pt idx="653">
                  <c:v>5/13/2022</c:v>
                </c:pt>
                <c:pt idx="654">
                  <c:v>5/16/2022</c:v>
                </c:pt>
                <c:pt idx="655">
                  <c:v>5/17/2022</c:v>
                </c:pt>
                <c:pt idx="656">
                  <c:v>5/18/2022</c:v>
                </c:pt>
                <c:pt idx="657">
                  <c:v>5/19/2022</c:v>
                </c:pt>
                <c:pt idx="658">
                  <c:v>5/20/2022</c:v>
                </c:pt>
                <c:pt idx="659">
                  <c:v>5/23/2022</c:v>
                </c:pt>
                <c:pt idx="660">
                  <c:v>5/24/2022</c:v>
                </c:pt>
                <c:pt idx="661">
                  <c:v>5/25/2022</c:v>
                </c:pt>
                <c:pt idx="662">
                  <c:v>5/26/2022</c:v>
                </c:pt>
                <c:pt idx="663">
                  <c:v>5/27/2022</c:v>
                </c:pt>
                <c:pt idx="664">
                  <c:v>5/30/2022</c:v>
                </c:pt>
                <c:pt idx="665">
                  <c:v>5/31/2022</c:v>
                </c:pt>
                <c:pt idx="666">
                  <c:v>6/1/2022</c:v>
                </c:pt>
                <c:pt idx="667">
                  <c:v>6/2/2022</c:v>
                </c:pt>
                <c:pt idx="668">
                  <c:v>6/3/2022</c:v>
                </c:pt>
                <c:pt idx="669">
                  <c:v>6/6/2022</c:v>
                </c:pt>
                <c:pt idx="670">
                  <c:v>6/7/2022</c:v>
                </c:pt>
                <c:pt idx="671">
                  <c:v>6/8/2022</c:v>
                </c:pt>
                <c:pt idx="672">
                  <c:v>6/9/2022</c:v>
                </c:pt>
                <c:pt idx="673">
                  <c:v>6/10/2022</c:v>
                </c:pt>
                <c:pt idx="674">
                  <c:v>6/13/2022</c:v>
                </c:pt>
                <c:pt idx="675">
                  <c:v>6/14/2022</c:v>
                </c:pt>
                <c:pt idx="676">
                  <c:v>6/15/2022</c:v>
                </c:pt>
                <c:pt idx="677">
                  <c:v>6/16/2022</c:v>
                </c:pt>
                <c:pt idx="678">
                  <c:v>6/17/2022</c:v>
                </c:pt>
                <c:pt idx="679">
                  <c:v>6/21/2022</c:v>
                </c:pt>
                <c:pt idx="680">
                  <c:v>6/22/2022</c:v>
                </c:pt>
                <c:pt idx="681">
                  <c:v>6/23/2022</c:v>
                </c:pt>
                <c:pt idx="682">
                  <c:v>6/24/2022</c:v>
                </c:pt>
                <c:pt idx="683">
                  <c:v>6/27/2022</c:v>
                </c:pt>
              </c:strCache>
            </c:strRef>
          </c:cat>
          <c:val>
            <c:numRef>
              <c:f>CrudeOilNput!$B$2:$B$685</c:f>
              <c:numCache>
                <c:formatCode>"$"#,##0.00</c:formatCode>
                <c:ptCount val="684"/>
                <c:pt idx="0">
                  <c:v>52.66</c:v>
                </c:pt>
                <c:pt idx="1">
                  <c:v>53.32</c:v>
                </c:pt>
                <c:pt idx="2">
                  <c:v>54.09</c:v>
                </c:pt>
                <c:pt idx="3">
                  <c:v>53.41</c:v>
                </c:pt>
                <c:pt idx="4">
                  <c:v>52.97</c:v>
                </c:pt>
                <c:pt idx="5">
                  <c:v>53.26</c:v>
                </c:pt>
                <c:pt idx="6">
                  <c:v>53.54</c:v>
                </c:pt>
                <c:pt idx="7">
                  <c:v>53.47</c:v>
                </c:pt>
                <c:pt idx="8">
                  <c:v>53.32</c:v>
                </c:pt>
                <c:pt idx="9">
                  <c:v>53.65</c:v>
                </c:pt>
                <c:pt idx="10">
                  <c:v>54.11</c:v>
                </c:pt>
                <c:pt idx="11">
                  <c:v>54.18</c:v>
                </c:pt>
                <c:pt idx="12">
                  <c:v>54.27</c:v>
                </c:pt>
                <c:pt idx="13">
                  <c:v>54.12</c:v>
                </c:pt>
                <c:pt idx="14">
                  <c:v>54.09</c:v>
                </c:pt>
                <c:pt idx="15">
                  <c:v>54.04</c:v>
                </c:pt>
                <c:pt idx="16">
                  <c:v>54.01</c:v>
                </c:pt>
                <c:pt idx="17">
                  <c:v>56.22</c:v>
                </c:pt>
                <c:pt idx="18">
                  <c:v>56.54</c:v>
                </c:pt>
                <c:pt idx="19">
                  <c:v>57.16</c:v>
                </c:pt>
                <c:pt idx="20">
                  <c:v>56.41</c:v>
                </c:pt>
                <c:pt idx="21">
                  <c:v>57.04</c:v>
                </c:pt>
                <c:pt idx="22">
                  <c:v>57.11</c:v>
                </c:pt>
                <c:pt idx="23">
                  <c:v>56.85</c:v>
                </c:pt>
                <c:pt idx="24">
                  <c:v>56.81</c:v>
                </c:pt>
                <c:pt idx="25">
                  <c:v>57.01</c:v>
                </c:pt>
                <c:pt idx="26">
                  <c:v>56.83</c:v>
                </c:pt>
                <c:pt idx="27">
                  <c:v>57.31</c:v>
                </c:pt>
                <c:pt idx="28">
                  <c:v>57</c:v>
                </c:pt>
                <c:pt idx="29">
                  <c:v>56.28</c:v>
                </c:pt>
                <c:pt idx="30">
                  <c:v>56.87</c:v>
                </c:pt>
                <c:pt idx="31">
                  <c:v>57.34</c:v>
                </c:pt>
                <c:pt idx="32">
                  <c:v>57.14</c:v>
                </c:pt>
                <c:pt idx="33">
                  <c:v>57.19</c:v>
                </c:pt>
                <c:pt idx="34">
                  <c:v>57.25</c:v>
                </c:pt>
                <c:pt idx="35">
                  <c:v>57.22</c:v>
                </c:pt>
                <c:pt idx="36">
                  <c:v>57.07</c:v>
                </c:pt>
                <c:pt idx="37">
                  <c:v>55.94</c:v>
                </c:pt>
                <c:pt idx="38">
                  <c:v>56.07</c:v>
                </c:pt>
                <c:pt idx="39">
                  <c:v>58.17</c:v>
                </c:pt>
                <c:pt idx="40">
                  <c:v>58.17</c:v>
                </c:pt>
                <c:pt idx="41">
                  <c:v>58.79</c:v>
                </c:pt>
                <c:pt idx="42">
                  <c:v>58.65</c:v>
                </c:pt>
                <c:pt idx="43">
                  <c:v>58.81</c:v>
                </c:pt>
                <c:pt idx="44">
                  <c:v>58.49</c:v>
                </c:pt>
                <c:pt idx="45">
                  <c:v>58.74</c:v>
                </c:pt>
                <c:pt idx="46">
                  <c:v>59.26</c:v>
                </c:pt>
                <c:pt idx="47">
                  <c:v>59.34</c:v>
                </c:pt>
                <c:pt idx="48">
                  <c:v>59.69</c:v>
                </c:pt>
                <c:pt idx="49">
                  <c:v>59.68</c:v>
                </c:pt>
                <c:pt idx="50">
                  <c:v>59.81</c:v>
                </c:pt>
                <c:pt idx="51">
                  <c:v>59.56</c:v>
                </c:pt>
                <c:pt idx="52">
                  <c:v>59.58</c:v>
                </c:pt>
                <c:pt idx="53">
                  <c:v>59.72</c:v>
                </c:pt>
                <c:pt idx="54">
                  <c:v>59.83</c:v>
                </c:pt>
                <c:pt idx="55">
                  <c:v>59.84</c:v>
                </c:pt>
                <c:pt idx="56">
                  <c:v>59.83</c:v>
                </c:pt>
                <c:pt idx="57">
                  <c:v>59.8</c:v>
                </c:pt>
                <c:pt idx="58">
                  <c:v>61.09</c:v>
                </c:pt>
                <c:pt idx="59">
                  <c:v>62.87</c:v>
                </c:pt>
                <c:pt idx="60">
                  <c:v>63.07</c:v>
                </c:pt>
                <c:pt idx="61">
                  <c:v>62.6</c:v>
                </c:pt>
                <c:pt idx="62">
                  <c:v>60.11</c:v>
                </c:pt>
                <c:pt idx="63">
                  <c:v>60.09</c:v>
                </c:pt>
                <c:pt idx="64">
                  <c:v>59.74</c:v>
                </c:pt>
                <c:pt idx="65">
                  <c:v>59.12</c:v>
                </c:pt>
                <c:pt idx="66">
                  <c:v>59.22</c:v>
                </c:pt>
                <c:pt idx="67">
                  <c:v>58.98</c:v>
                </c:pt>
                <c:pt idx="68">
                  <c:v>59.35</c:v>
                </c:pt>
                <c:pt idx="69">
                  <c:v>59.37</c:v>
                </c:pt>
                <c:pt idx="70">
                  <c:v>59.28</c:v>
                </c:pt>
                <c:pt idx="71">
                  <c:v>58.66</c:v>
                </c:pt>
                <c:pt idx="72">
                  <c:v>58.28</c:v>
                </c:pt>
                <c:pt idx="73">
                  <c:v>57.88</c:v>
                </c:pt>
                <c:pt idx="74">
                  <c:v>57.63</c:v>
                </c:pt>
                <c:pt idx="75">
                  <c:v>57.69</c:v>
                </c:pt>
                <c:pt idx="76">
                  <c:v>57.67</c:v>
                </c:pt>
                <c:pt idx="77">
                  <c:v>57.56</c:v>
                </c:pt>
                <c:pt idx="78">
                  <c:v>57.53</c:v>
                </c:pt>
                <c:pt idx="79">
                  <c:v>50.16</c:v>
                </c:pt>
                <c:pt idx="80">
                  <c:v>49.7</c:v>
                </c:pt>
                <c:pt idx="81">
                  <c:v>50.71</c:v>
                </c:pt>
                <c:pt idx="82">
                  <c:v>50.88</c:v>
                </c:pt>
                <c:pt idx="83">
                  <c:v>50.4</c:v>
                </c:pt>
                <c:pt idx="84">
                  <c:v>49.84</c:v>
                </c:pt>
                <c:pt idx="85">
                  <c:v>50.1</c:v>
                </c:pt>
                <c:pt idx="86">
                  <c:v>50.88</c:v>
                </c:pt>
                <c:pt idx="87">
                  <c:v>51.03</c:v>
                </c:pt>
                <c:pt idx="88">
                  <c:v>51.37</c:v>
                </c:pt>
                <c:pt idx="89">
                  <c:v>51.36</c:v>
                </c:pt>
                <c:pt idx="90">
                  <c:v>51.87</c:v>
                </c:pt>
                <c:pt idx="91">
                  <c:v>52.02</c:v>
                </c:pt>
                <c:pt idx="92">
                  <c:v>51.86</c:v>
                </c:pt>
                <c:pt idx="93">
                  <c:v>51.34</c:v>
                </c:pt>
                <c:pt idx="94">
                  <c:v>51.02</c:v>
                </c:pt>
                <c:pt idx="95">
                  <c:v>50.84</c:v>
                </c:pt>
                <c:pt idx="96">
                  <c:v>50.66</c:v>
                </c:pt>
                <c:pt idx="97">
                  <c:v>50.54</c:v>
                </c:pt>
                <c:pt idx="98">
                  <c:v>46.8</c:v>
                </c:pt>
                <c:pt idx="99">
                  <c:v>47.21</c:v>
                </c:pt>
                <c:pt idx="100">
                  <c:v>46.85</c:v>
                </c:pt>
                <c:pt idx="101">
                  <c:v>46.09</c:v>
                </c:pt>
                <c:pt idx="102">
                  <c:v>42.33</c:v>
                </c:pt>
                <c:pt idx="103">
                  <c:v>34.520000000000003</c:v>
                </c:pt>
                <c:pt idx="104">
                  <c:v>36.880000000000003</c:v>
                </c:pt>
                <c:pt idx="105">
                  <c:v>35.950000000000003</c:v>
                </c:pt>
                <c:pt idx="106">
                  <c:v>35.03</c:v>
                </c:pt>
                <c:pt idx="107">
                  <c:v>35.14</c:v>
                </c:pt>
                <c:pt idx="108">
                  <c:v>33.46</c:v>
                </c:pt>
                <c:pt idx="109">
                  <c:v>32.61</c:v>
                </c:pt>
                <c:pt idx="110">
                  <c:v>29.64</c:v>
                </c:pt>
                <c:pt idx="111">
                  <c:v>31.7</c:v>
                </c:pt>
                <c:pt idx="112">
                  <c:v>30.53</c:v>
                </c:pt>
                <c:pt idx="113">
                  <c:v>30.76</c:v>
                </c:pt>
                <c:pt idx="114">
                  <c:v>30.94</c:v>
                </c:pt>
                <c:pt idx="115">
                  <c:v>31.05</c:v>
                </c:pt>
                <c:pt idx="116">
                  <c:v>30.71</c:v>
                </c:pt>
                <c:pt idx="117">
                  <c:v>30.56</c:v>
                </c:pt>
                <c:pt idx="118">
                  <c:v>30.43</c:v>
                </c:pt>
                <c:pt idx="119">
                  <c:v>21.82</c:v>
                </c:pt>
                <c:pt idx="120">
                  <c:v>21.45</c:v>
                </c:pt>
                <c:pt idx="121">
                  <c:v>25.99</c:v>
                </c:pt>
                <c:pt idx="122">
                  <c:v>28.67</c:v>
                </c:pt>
                <c:pt idx="123">
                  <c:v>27.18</c:v>
                </c:pt>
                <c:pt idx="124">
                  <c:v>25.58</c:v>
                </c:pt>
                <c:pt idx="125">
                  <c:v>26.7</c:v>
                </c:pt>
                <c:pt idx="126">
                  <c:v>25.36</c:v>
                </c:pt>
                <c:pt idx="127">
                  <c:v>25.39</c:v>
                </c:pt>
                <c:pt idx="128">
                  <c:v>24.11</c:v>
                </c:pt>
                <c:pt idx="129">
                  <c:v>23.6</c:v>
                </c:pt>
                <c:pt idx="130">
                  <c:v>23.43</c:v>
                </c:pt>
                <c:pt idx="131">
                  <c:v>23.04</c:v>
                </c:pt>
                <c:pt idx="132">
                  <c:v>16.18</c:v>
                </c:pt>
                <c:pt idx="133">
                  <c:v>15.5</c:v>
                </c:pt>
                <c:pt idx="134">
                  <c:v>16.23</c:v>
                </c:pt>
                <c:pt idx="135">
                  <c:v>17.010000000000002</c:v>
                </c:pt>
                <c:pt idx="136">
                  <c:v>17.12</c:v>
                </c:pt>
                <c:pt idx="137">
                  <c:v>16.32</c:v>
                </c:pt>
                <c:pt idx="138">
                  <c:v>16.260000000000002</c:v>
                </c:pt>
                <c:pt idx="139">
                  <c:v>16.52</c:v>
                </c:pt>
                <c:pt idx="140">
                  <c:v>16.7</c:v>
                </c:pt>
                <c:pt idx="141">
                  <c:v>20.66</c:v>
                </c:pt>
                <c:pt idx="142">
                  <c:v>21.2</c:v>
                </c:pt>
                <c:pt idx="143">
                  <c:v>24.79</c:v>
                </c:pt>
                <c:pt idx="144">
                  <c:v>24.2</c:v>
                </c:pt>
                <c:pt idx="145">
                  <c:v>23.72</c:v>
                </c:pt>
                <c:pt idx="146">
                  <c:v>24.67</c:v>
                </c:pt>
                <c:pt idx="147">
                  <c:v>24.08</c:v>
                </c:pt>
                <c:pt idx="148">
                  <c:v>25.01</c:v>
                </c:pt>
                <c:pt idx="149">
                  <c:v>24.66</c:v>
                </c:pt>
                <c:pt idx="150">
                  <c:v>25.88</c:v>
                </c:pt>
                <c:pt idx="151">
                  <c:v>26.74</c:v>
                </c:pt>
                <c:pt idx="152">
                  <c:v>27.72</c:v>
                </c:pt>
                <c:pt idx="153">
                  <c:v>27.86</c:v>
                </c:pt>
                <c:pt idx="154">
                  <c:v>28.4</c:v>
                </c:pt>
                <c:pt idx="155">
                  <c:v>28.53</c:v>
                </c:pt>
                <c:pt idx="156">
                  <c:v>28.36</c:v>
                </c:pt>
                <c:pt idx="157">
                  <c:v>28.58</c:v>
                </c:pt>
                <c:pt idx="158">
                  <c:v>28.35</c:v>
                </c:pt>
                <c:pt idx="159">
                  <c:v>28.44</c:v>
                </c:pt>
                <c:pt idx="160">
                  <c:v>28.53</c:v>
                </c:pt>
                <c:pt idx="161">
                  <c:v>35.54</c:v>
                </c:pt>
                <c:pt idx="162">
                  <c:v>36.82</c:v>
                </c:pt>
                <c:pt idx="163">
                  <c:v>37.270000000000003</c:v>
                </c:pt>
                <c:pt idx="164">
                  <c:v>37.369999999999997</c:v>
                </c:pt>
                <c:pt idx="165">
                  <c:v>39.11</c:v>
                </c:pt>
                <c:pt idx="166">
                  <c:v>38.049999999999997</c:v>
                </c:pt>
                <c:pt idx="167">
                  <c:v>38.590000000000003</c:v>
                </c:pt>
                <c:pt idx="168">
                  <c:v>39.03</c:v>
                </c:pt>
                <c:pt idx="169">
                  <c:v>36.97</c:v>
                </c:pt>
                <c:pt idx="170">
                  <c:v>36.93</c:v>
                </c:pt>
                <c:pt idx="171">
                  <c:v>37.42</c:v>
                </c:pt>
                <c:pt idx="172">
                  <c:v>38.03</c:v>
                </c:pt>
                <c:pt idx="173">
                  <c:v>37.840000000000003</c:v>
                </c:pt>
                <c:pt idx="174">
                  <c:v>38.19</c:v>
                </c:pt>
                <c:pt idx="175">
                  <c:v>38.479999999999997</c:v>
                </c:pt>
                <c:pt idx="176">
                  <c:v>38.76</c:v>
                </c:pt>
                <c:pt idx="177">
                  <c:v>38.659999999999997</c:v>
                </c:pt>
                <c:pt idx="178">
                  <c:v>38.130000000000003</c:v>
                </c:pt>
                <c:pt idx="179">
                  <c:v>38.25</c:v>
                </c:pt>
                <c:pt idx="180">
                  <c:v>38.22</c:v>
                </c:pt>
                <c:pt idx="181">
                  <c:v>38.33</c:v>
                </c:pt>
                <c:pt idx="182">
                  <c:v>38.31</c:v>
                </c:pt>
                <c:pt idx="183">
                  <c:v>39.86</c:v>
                </c:pt>
                <c:pt idx="184">
                  <c:v>40.65</c:v>
                </c:pt>
                <c:pt idx="185">
                  <c:v>40.630000000000003</c:v>
                </c:pt>
                <c:pt idx="186">
                  <c:v>40.61</c:v>
                </c:pt>
                <c:pt idx="187">
                  <c:v>40.869999999999997</c:v>
                </c:pt>
                <c:pt idx="188">
                  <c:v>39.9</c:v>
                </c:pt>
                <c:pt idx="189">
                  <c:v>40.58</c:v>
                </c:pt>
                <c:pt idx="190">
                  <c:v>40.28</c:v>
                </c:pt>
                <c:pt idx="191">
                  <c:v>40.409999999999997</c:v>
                </c:pt>
                <c:pt idx="192">
                  <c:v>40.93</c:v>
                </c:pt>
                <c:pt idx="193">
                  <c:v>40.67</c:v>
                </c:pt>
                <c:pt idx="194">
                  <c:v>40.590000000000003</c:v>
                </c:pt>
                <c:pt idx="195">
                  <c:v>40.67</c:v>
                </c:pt>
                <c:pt idx="196">
                  <c:v>41.08</c:v>
                </c:pt>
                <c:pt idx="197">
                  <c:v>41.08</c:v>
                </c:pt>
                <c:pt idx="198">
                  <c:v>40.81</c:v>
                </c:pt>
                <c:pt idx="199">
                  <c:v>40.869999999999997</c:v>
                </c:pt>
                <c:pt idx="200">
                  <c:v>40.94</c:v>
                </c:pt>
                <c:pt idx="201">
                  <c:v>40.840000000000003</c:v>
                </c:pt>
                <c:pt idx="202">
                  <c:v>40.869999999999997</c:v>
                </c:pt>
                <c:pt idx="203">
                  <c:v>40.75</c:v>
                </c:pt>
                <c:pt idx="204">
                  <c:v>40.770000000000003</c:v>
                </c:pt>
                <c:pt idx="205">
                  <c:v>41.11</c:v>
                </c:pt>
                <c:pt idx="206">
                  <c:v>41.74</c:v>
                </c:pt>
                <c:pt idx="207">
                  <c:v>42.19</c:v>
                </c:pt>
                <c:pt idx="208">
                  <c:v>41.99</c:v>
                </c:pt>
                <c:pt idx="209">
                  <c:v>41.4</c:v>
                </c:pt>
                <c:pt idx="210">
                  <c:v>41.94</c:v>
                </c:pt>
                <c:pt idx="211">
                  <c:v>41.71</c:v>
                </c:pt>
                <c:pt idx="212">
                  <c:v>42.43</c:v>
                </c:pt>
                <c:pt idx="213">
                  <c:v>42.16</c:v>
                </c:pt>
                <c:pt idx="214">
                  <c:v>42.04</c:v>
                </c:pt>
                <c:pt idx="215">
                  <c:v>42.49</c:v>
                </c:pt>
                <c:pt idx="216">
                  <c:v>42.47</c:v>
                </c:pt>
                <c:pt idx="217">
                  <c:v>42.47</c:v>
                </c:pt>
                <c:pt idx="218">
                  <c:v>42.36</c:v>
                </c:pt>
                <c:pt idx="219">
                  <c:v>42.2</c:v>
                </c:pt>
                <c:pt idx="220">
                  <c:v>42.28</c:v>
                </c:pt>
                <c:pt idx="221">
                  <c:v>42.45</c:v>
                </c:pt>
                <c:pt idx="222">
                  <c:v>42.46</c:v>
                </c:pt>
                <c:pt idx="223">
                  <c:v>42.41</c:v>
                </c:pt>
                <c:pt idx="224">
                  <c:v>42.41</c:v>
                </c:pt>
                <c:pt idx="225">
                  <c:v>42.69</c:v>
                </c:pt>
                <c:pt idx="226">
                  <c:v>42.85</c:v>
                </c:pt>
                <c:pt idx="227">
                  <c:v>41.67</c:v>
                </c:pt>
                <c:pt idx="228">
                  <c:v>41.54</c:v>
                </c:pt>
                <c:pt idx="229">
                  <c:v>40.18</c:v>
                </c:pt>
                <c:pt idx="230">
                  <c:v>37.76</c:v>
                </c:pt>
                <c:pt idx="231">
                  <c:v>38.72</c:v>
                </c:pt>
                <c:pt idx="232">
                  <c:v>38.18</c:v>
                </c:pt>
                <c:pt idx="233">
                  <c:v>38.19</c:v>
                </c:pt>
                <c:pt idx="234">
                  <c:v>38.14</c:v>
                </c:pt>
                <c:pt idx="235">
                  <c:v>38.72</c:v>
                </c:pt>
                <c:pt idx="236">
                  <c:v>39.700000000000003</c:v>
                </c:pt>
                <c:pt idx="237">
                  <c:v>40.08</c:v>
                </c:pt>
                <c:pt idx="238">
                  <c:v>40.130000000000003</c:v>
                </c:pt>
                <c:pt idx="239">
                  <c:v>39.450000000000003</c:v>
                </c:pt>
                <c:pt idx="240">
                  <c:v>39.54</c:v>
                </c:pt>
                <c:pt idx="241">
                  <c:v>39.58</c:v>
                </c:pt>
                <c:pt idx="242">
                  <c:v>39.67</c:v>
                </c:pt>
                <c:pt idx="243">
                  <c:v>39.659999999999997</c:v>
                </c:pt>
                <c:pt idx="244">
                  <c:v>39.71</c:v>
                </c:pt>
                <c:pt idx="245">
                  <c:v>39.58</c:v>
                </c:pt>
                <c:pt idx="246">
                  <c:v>39.630000000000003</c:v>
                </c:pt>
                <c:pt idx="247">
                  <c:v>38.83</c:v>
                </c:pt>
                <c:pt idx="248">
                  <c:v>37.229999999999997</c:v>
                </c:pt>
                <c:pt idx="249">
                  <c:v>39.200000000000003</c:v>
                </c:pt>
                <c:pt idx="250">
                  <c:v>40.450000000000003</c:v>
                </c:pt>
                <c:pt idx="251">
                  <c:v>39.86</c:v>
                </c:pt>
                <c:pt idx="252">
                  <c:v>40.82</c:v>
                </c:pt>
                <c:pt idx="253">
                  <c:v>40.4</c:v>
                </c:pt>
                <c:pt idx="254">
                  <c:v>39.6</c:v>
                </c:pt>
                <c:pt idx="255">
                  <c:v>40.090000000000003</c:v>
                </c:pt>
                <c:pt idx="256">
                  <c:v>40.590000000000003</c:v>
                </c:pt>
                <c:pt idx="257">
                  <c:v>40.54</c:v>
                </c:pt>
                <c:pt idx="258">
                  <c:v>40.479999999999997</c:v>
                </c:pt>
                <c:pt idx="259">
                  <c:v>40.46</c:v>
                </c:pt>
                <c:pt idx="260">
                  <c:v>40.72</c:v>
                </c:pt>
                <c:pt idx="261">
                  <c:v>40.11</c:v>
                </c:pt>
                <c:pt idx="262">
                  <c:v>40.31</c:v>
                </c:pt>
                <c:pt idx="263">
                  <c:v>40.090000000000003</c:v>
                </c:pt>
                <c:pt idx="264">
                  <c:v>39.799999999999997</c:v>
                </c:pt>
                <c:pt idx="265">
                  <c:v>39.979999999999997</c:v>
                </c:pt>
                <c:pt idx="266">
                  <c:v>39.68</c:v>
                </c:pt>
                <c:pt idx="267">
                  <c:v>39.57</c:v>
                </c:pt>
                <c:pt idx="268">
                  <c:v>39.549999999999997</c:v>
                </c:pt>
                <c:pt idx="269">
                  <c:v>36.9</c:v>
                </c:pt>
                <c:pt idx="270">
                  <c:v>37.700000000000003</c:v>
                </c:pt>
                <c:pt idx="271">
                  <c:v>39.04</c:v>
                </c:pt>
                <c:pt idx="272">
                  <c:v>38.729999999999997</c:v>
                </c:pt>
                <c:pt idx="273">
                  <c:v>37.42</c:v>
                </c:pt>
                <c:pt idx="274">
                  <c:v>39.78</c:v>
                </c:pt>
                <c:pt idx="275">
                  <c:v>40.520000000000003</c:v>
                </c:pt>
                <c:pt idx="276">
                  <c:v>40.58</c:v>
                </c:pt>
                <c:pt idx="277">
                  <c:v>40.380000000000003</c:v>
                </c:pt>
                <c:pt idx="278">
                  <c:v>39.83</c:v>
                </c:pt>
                <c:pt idx="279">
                  <c:v>40.42</c:v>
                </c:pt>
                <c:pt idx="280">
                  <c:v>40.46</c:v>
                </c:pt>
                <c:pt idx="281">
                  <c:v>40.61</c:v>
                </c:pt>
                <c:pt idx="282">
                  <c:v>40.57</c:v>
                </c:pt>
                <c:pt idx="283">
                  <c:v>40.72</c:v>
                </c:pt>
                <c:pt idx="284">
                  <c:v>40.880000000000003</c:v>
                </c:pt>
                <c:pt idx="285">
                  <c:v>41.25</c:v>
                </c:pt>
                <c:pt idx="286">
                  <c:v>41.37</c:v>
                </c:pt>
                <c:pt idx="287">
                  <c:v>41.36</c:v>
                </c:pt>
                <c:pt idx="288">
                  <c:v>41.35</c:v>
                </c:pt>
                <c:pt idx="289">
                  <c:v>44.61</c:v>
                </c:pt>
                <c:pt idx="290">
                  <c:v>45.3</c:v>
                </c:pt>
                <c:pt idx="291">
                  <c:v>45.62</c:v>
                </c:pt>
                <c:pt idx="292">
                  <c:v>46.16</c:v>
                </c:pt>
                <c:pt idx="293">
                  <c:v>45.76</c:v>
                </c:pt>
                <c:pt idx="294">
                  <c:v>45.64</c:v>
                </c:pt>
                <c:pt idx="295">
                  <c:v>45.58</c:v>
                </c:pt>
                <c:pt idx="296">
                  <c:v>46.44</c:v>
                </c:pt>
                <c:pt idx="297">
                  <c:v>46.3</c:v>
                </c:pt>
                <c:pt idx="298">
                  <c:v>46.54</c:v>
                </c:pt>
                <c:pt idx="299">
                  <c:v>46.89</c:v>
                </c:pt>
                <c:pt idx="300">
                  <c:v>46.99</c:v>
                </c:pt>
                <c:pt idx="301">
                  <c:v>47.24</c:v>
                </c:pt>
                <c:pt idx="302">
                  <c:v>47.53</c:v>
                </c:pt>
                <c:pt idx="303">
                  <c:v>47.06</c:v>
                </c:pt>
                <c:pt idx="304">
                  <c:v>46.76</c:v>
                </c:pt>
                <c:pt idx="305">
                  <c:v>47.06</c:v>
                </c:pt>
                <c:pt idx="306">
                  <c:v>47.09</c:v>
                </c:pt>
                <c:pt idx="307">
                  <c:v>46.97</c:v>
                </c:pt>
                <c:pt idx="308">
                  <c:v>47.03</c:v>
                </c:pt>
                <c:pt idx="309">
                  <c:v>47.06</c:v>
                </c:pt>
                <c:pt idx="310">
                  <c:v>47.07</c:v>
                </c:pt>
                <c:pt idx="311">
                  <c:v>47.67</c:v>
                </c:pt>
                <c:pt idx="312">
                  <c:v>49.84</c:v>
                </c:pt>
                <c:pt idx="313">
                  <c:v>50.46</c:v>
                </c:pt>
                <c:pt idx="314">
                  <c:v>50.62</c:v>
                </c:pt>
                <c:pt idx="315">
                  <c:v>51.72</c:v>
                </c:pt>
                <c:pt idx="316">
                  <c:v>51.73</c:v>
                </c:pt>
                <c:pt idx="317">
                  <c:v>52.39</c:v>
                </c:pt>
                <c:pt idx="318">
                  <c:v>52.21</c:v>
                </c:pt>
                <c:pt idx="319">
                  <c:v>52.59</c:v>
                </c:pt>
                <c:pt idx="320">
                  <c:v>51.96</c:v>
                </c:pt>
                <c:pt idx="321">
                  <c:v>52.23</c:v>
                </c:pt>
                <c:pt idx="322">
                  <c:v>52.37</c:v>
                </c:pt>
                <c:pt idx="323">
                  <c:v>52.3</c:v>
                </c:pt>
                <c:pt idx="324">
                  <c:v>52.03</c:v>
                </c:pt>
                <c:pt idx="325">
                  <c:v>52.16</c:v>
                </c:pt>
                <c:pt idx="326">
                  <c:v>52.13</c:v>
                </c:pt>
                <c:pt idx="327">
                  <c:v>52.16</c:v>
                </c:pt>
                <c:pt idx="328">
                  <c:v>52.11</c:v>
                </c:pt>
                <c:pt idx="329">
                  <c:v>52.1</c:v>
                </c:pt>
                <c:pt idx="330">
                  <c:v>53.52</c:v>
                </c:pt>
                <c:pt idx="331">
                  <c:v>54.67</c:v>
                </c:pt>
                <c:pt idx="332">
                  <c:v>55.5</c:v>
                </c:pt>
                <c:pt idx="333">
                  <c:v>55.95</c:v>
                </c:pt>
                <c:pt idx="334">
                  <c:v>56.44</c:v>
                </c:pt>
                <c:pt idx="335">
                  <c:v>57.27</c:v>
                </c:pt>
                <c:pt idx="336">
                  <c:v>57.54</c:v>
                </c:pt>
                <c:pt idx="337">
                  <c:v>57.74</c:v>
                </c:pt>
                <c:pt idx="338">
                  <c:v>57.49</c:v>
                </c:pt>
                <c:pt idx="339">
                  <c:v>58.14</c:v>
                </c:pt>
                <c:pt idx="340">
                  <c:v>58.44</c:v>
                </c:pt>
                <c:pt idx="341">
                  <c:v>58.9</c:v>
                </c:pt>
                <c:pt idx="342">
                  <c:v>58.67</c:v>
                </c:pt>
                <c:pt idx="343">
                  <c:v>58.26</c:v>
                </c:pt>
                <c:pt idx="344">
                  <c:v>58.9</c:v>
                </c:pt>
                <c:pt idx="345">
                  <c:v>58.89</c:v>
                </c:pt>
                <c:pt idx="346">
                  <c:v>59.14</c:v>
                </c:pt>
                <c:pt idx="347">
                  <c:v>59.17</c:v>
                </c:pt>
                <c:pt idx="348">
                  <c:v>59.06</c:v>
                </c:pt>
                <c:pt idx="349">
                  <c:v>60.57</c:v>
                </c:pt>
                <c:pt idx="350">
                  <c:v>59.73</c:v>
                </c:pt>
                <c:pt idx="351">
                  <c:v>61.13</c:v>
                </c:pt>
                <c:pt idx="352">
                  <c:v>63.34</c:v>
                </c:pt>
                <c:pt idx="353">
                  <c:v>65.22</c:v>
                </c:pt>
                <c:pt idx="354">
                  <c:v>64.42</c:v>
                </c:pt>
                <c:pt idx="355">
                  <c:v>63.68</c:v>
                </c:pt>
                <c:pt idx="356">
                  <c:v>63.98</c:v>
                </c:pt>
                <c:pt idx="357">
                  <c:v>65.010000000000005</c:v>
                </c:pt>
                <c:pt idx="358">
                  <c:v>64.78</c:v>
                </c:pt>
                <c:pt idx="359">
                  <c:v>64.66</c:v>
                </c:pt>
                <c:pt idx="360">
                  <c:v>64.349999999999994</c:v>
                </c:pt>
                <c:pt idx="361">
                  <c:v>64.25</c:v>
                </c:pt>
                <c:pt idx="362">
                  <c:v>62.26</c:v>
                </c:pt>
                <c:pt idx="363">
                  <c:v>62.8</c:v>
                </c:pt>
                <c:pt idx="364">
                  <c:v>62.84</c:v>
                </c:pt>
                <c:pt idx="365">
                  <c:v>61.69</c:v>
                </c:pt>
                <c:pt idx="366">
                  <c:v>62.58</c:v>
                </c:pt>
                <c:pt idx="367">
                  <c:v>62.01</c:v>
                </c:pt>
                <c:pt idx="368">
                  <c:v>62.43</c:v>
                </c:pt>
                <c:pt idx="369">
                  <c:v>62.51</c:v>
                </c:pt>
                <c:pt idx="370">
                  <c:v>62.42</c:v>
                </c:pt>
                <c:pt idx="371">
                  <c:v>62.36</c:v>
                </c:pt>
                <c:pt idx="372">
                  <c:v>61.46</c:v>
                </c:pt>
                <c:pt idx="373">
                  <c:v>58.79</c:v>
                </c:pt>
                <c:pt idx="374">
                  <c:v>59.41</c:v>
                </c:pt>
                <c:pt idx="375">
                  <c:v>59.79</c:v>
                </c:pt>
                <c:pt idx="376">
                  <c:v>59.65</c:v>
                </c:pt>
                <c:pt idx="377">
                  <c:v>59.44</c:v>
                </c:pt>
                <c:pt idx="378">
                  <c:v>59.72</c:v>
                </c:pt>
                <c:pt idx="379">
                  <c:v>60.04</c:v>
                </c:pt>
                <c:pt idx="380">
                  <c:v>61.88</c:v>
                </c:pt>
                <c:pt idx="381">
                  <c:v>62.05</c:v>
                </c:pt>
                <c:pt idx="382">
                  <c:v>61.88</c:v>
                </c:pt>
                <c:pt idx="383">
                  <c:v>62</c:v>
                </c:pt>
                <c:pt idx="384">
                  <c:v>61.66</c:v>
                </c:pt>
                <c:pt idx="385">
                  <c:v>61.16</c:v>
                </c:pt>
                <c:pt idx="386">
                  <c:v>61.19</c:v>
                </c:pt>
                <c:pt idx="387">
                  <c:v>61.39</c:v>
                </c:pt>
                <c:pt idx="388">
                  <c:v>61.33</c:v>
                </c:pt>
                <c:pt idx="389">
                  <c:v>61.53</c:v>
                </c:pt>
                <c:pt idx="390">
                  <c:v>61.66</c:v>
                </c:pt>
                <c:pt idx="391">
                  <c:v>61.77</c:v>
                </c:pt>
                <c:pt idx="392">
                  <c:v>61.7</c:v>
                </c:pt>
                <c:pt idx="393">
                  <c:v>64.47</c:v>
                </c:pt>
                <c:pt idx="394">
                  <c:v>65.61</c:v>
                </c:pt>
                <c:pt idx="395">
                  <c:v>65.56</c:v>
                </c:pt>
                <c:pt idx="396">
                  <c:v>64.78</c:v>
                </c:pt>
                <c:pt idx="397">
                  <c:v>64.94</c:v>
                </c:pt>
                <c:pt idx="398">
                  <c:v>64.959999999999994</c:v>
                </c:pt>
                <c:pt idx="399">
                  <c:v>65.22</c:v>
                </c:pt>
                <c:pt idx="400">
                  <c:v>65.739999999999995</c:v>
                </c:pt>
                <c:pt idx="401">
                  <c:v>64.38</c:v>
                </c:pt>
                <c:pt idx="402">
                  <c:v>65.23</c:v>
                </c:pt>
                <c:pt idx="403">
                  <c:v>65.680000000000007</c:v>
                </c:pt>
                <c:pt idx="404">
                  <c:v>65.33</c:v>
                </c:pt>
                <c:pt idx="405">
                  <c:v>64.47</c:v>
                </c:pt>
                <c:pt idx="406">
                  <c:v>63.99</c:v>
                </c:pt>
                <c:pt idx="407">
                  <c:v>64.48</c:v>
                </c:pt>
                <c:pt idx="408">
                  <c:v>65.09</c:v>
                </c:pt>
                <c:pt idx="409">
                  <c:v>65.099999999999994</c:v>
                </c:pt>
                <c:pt idx="410">
                  <c:v>65.12</c:v>
                </c:pt>
                <c:pt idx="411">
                  <c:v>65.180000000000007</c:v>
                </c:pt>
                <c:pt idx="412">
                  <c:v>65.16</c:v>
                </c:pt>
                <c:pt idx="413">
                  <c:v>67.67</c:v>
                </c:pt>
                <c:pt idx="414">
                  <c:v>68.73</c:v>
                </c:pt>
                <c:pt idx="415">
                  <c:v>68.7</c:v>
                </c:pt>
                <c:pt idx="416">
                  <c:v>69.400000000000006</c:v>
                </c:pt>
                <c:pt idx="417">
                  <c:v>69.09</c:v>
                </c:pt>
                <c:pt idx="418">
                  <c:v>69.73</c:v>
                </c:pt>
                <c:pt idx="419">
                  <c:v>69.66</c:v>
                </c:pt>
                <c:pt idx="420">
                  <c:v>69.88</c:v>
                </c:pt>
                <c:pt idx="421">
                  <c:v>70.25</c:v>
                </c:pt>
                <c:pt idx="422">
                  <c:v>70.239999999999995</c:v>
                </c:pt>
                <c:pt idx="423">
                  <c:v>70.92</c:v>
                </c:pt>
                <c:pt idx="424">
                  <c:v>70.95</c:v>
                </c:pt>
                <c:pt idx="425">
                  <c:v>70.430000000000007</c:v>
                </c:pt>
                <c:pt idx="426">
                  <c:v>70.650000000000006</c:v>
                </c:pt>
                <c:pt idx="427">
                  <c:v>71.33</c:v>
                </c:pt>
                <c:pt idx="428">
                  <c:v>71.23</c:v>
                </c:pt>
                <c:pt idx="429">
                  <c:v>71.290000000000006</c:v>
                </c:pt>
                <c:pt idx="430">
                  <c:v>71.34</c:v>
                </c:pt>
                <c:pt idx="431">
                  <c:v>71.48</c:v>
                </c:pt>
                <c:pt idx="432">
                  <c:v>71.319999999999993</c:v>
                </c:pt>
                <c:pt idx="433">
                  <c:v>71.33</c:v>
                </c:pt>
                <c:pt idx="434">
                  <c:v>71.349999999999994</c:v>
                </c:pt>
                <c:pt idx="435">
                  <c:v>74.89</c:v>
                </c:pt>
                <c:pt idx="436">
                  <c:v>74.86</c:v>
                </c:pt>
                <c:pt idx="437">
                  <c:v>73.239999999999995</c:v>
                </c:pt>
                <c:pt idx="438">
                  <c:v>72.27</c:v>
                </c:pt>
                <c:pt idx="439">
                  <c:v>72.87</c:v>
                </c:pt>
                <c:pt idx="440">
                  <c:v>74.09</c:v>
                </c:pt>
                <c:pt idx="441">
                  <c:v>73.790000000000006</c:v>
                </c:pt>
                <c:pt idx="442">
                  <c:v>74.599999999999994</c:v>
                </c:pt>
                <c:pt idx="443">
                  <c:v>73.31</c:v>
                </c:pt>
                <c:pt idx="444">
                  <c:v>72.55</c:v>
                </c:pt>
                <c:pt idx="445">
                  <c:v>72.64</c:v>
                </c:pt>
                <c:pt idx="446">
                  <c:v>70.14</c:v>
                </c:pt>
                <c:pt idx="447">
                  <c:v>70.52</c:v>
                </c:pt>
                <c:pt idx="448">
                  <c:v>71.7</c:v>
                </c:pt>
                <c:pt idx="449">
                  <c:v>72.23</c:v>
                </c:pt>
                <c:pt idx="450">
                  <c:v>72.28</c:v>
                </c:pt>
                <c:pt idx="451">
                  <c:v>72.239999999999995</c:v>
                </c:pt>
                <c:pt idx="452">
                  <c:v>72.19</c:v>
                </c:pt>
                <c:pt idx="453">
                  <c:v>72.3</c:v>
                </c:pt>
                <c:pt idx="454">
                  <c:v>72.41</c:v>
                </c:pt>
                <c:pt idx="455">
                  <c:v>72.430000000000007</c:v>
                </c:pt>
                <c:pt idx="456">
                  <c:v>71.05</c:v>
                </c:pt>
                <c:pt idx="457">
                  <c:v>70.42</c:v>
                </c:pt>
                <c:pt idx="458">
                  <c:v>68.290000000000006</c:v>
                </c:pt>
                <c:pt idx="459">
                  <c:v>69.099999999999994</c:v>
                </c:pt>
                <c:pt idx="460">
                  <c:v>68.489999999999995</c:v>
                </c:pt>
                <c:pt idx="461">
                  <c:v>67.099999999999994</c:v>
                </c:pt>
                <c:pt idx="462">
                  <c:v>68.400000000000006</c:v>
                </c:pt>
                <c:pt idx="463">
                  <c:v>69.06</c:v>
                </c:pt>
                <c:pt idx="464">
                  <c:v>68.97</c:v>
                </c:pt>
                <c:pt idx="465">
                  <c:v>68.569999999999993</c:v>
                </c:pt>
                <c:pt idx="466">
                  <c:v>67.94</c:v>
                </c:pt>
                <c:pt idx="467">
                  <c:v>67.59</c:v>
                </c:pt>
                <c:pt idx="468">
                  <c:v>67.069999999999993</c:v>
                </c:pt>
                <c:pt idx="469">
                  <c:v>66.37</c:v>
                </c:pt>
                <c:pt idx="470">
                  <c:v>65.87</c:v>
                </c:pt>
                <c:pt idx="471">
                  <c:v>66.989999999999995</c:v>
                </c:pt>
                <c:pt idx="472">
                  <c:v>67.510000000000005</c:v>
                </c:pt>
                <c:pt idx="473">
                  <c:v>67.69</c:v>
                </c:pt>
                <c:pt idx="474">
                  <c:v>67.52</c:v>
                </c:pt>
                <c:pt idx="475">
                  <c:v>67.7</c:v>
                </c:pt>
                <c:pt idx="476">
                  <c:v>67.739999999999995</c:v>
                </c:pt>
                <c:pt idx="477">
                  <c:v>67.709999999999994</c:v>
                </c:pt>
                <c:pt idx="478">
                  <c:v>68.5</c:v>
                </c:pt>
                <c:pt idx="479">
                  <c:v>69.84</c:v>
                </c:pt>
                <c:pt idx="480">
                  <c:v>69.22</c:v>
                </c:pt>
                <c:pt idx="481">
                  <c:v>68.41</c:v>
                </c:pt>
                <c:pt idx="482">
                  <c:v>69.17</c:v>
                </c:pt>
                <c:pt idx="483">
                  <c:v>68.3</c:v>
                </c:pt>
                <c:pt idx="484">
                  <c:v>69.41</c:v>
                </c:pt>
                <c:pt idx="485">
                  <c:v>69.900000000000006</c:v>
                </c:pt>
                <c:pt idx="486">
                  <c:v>69.91</c:v>
                </c:pt>
                <c:pt idx="487">
                  <c:v>71.13</c:v>
                </c:pt>
                <c:pt idx="488">
                  <c:v>71.14</c:v>
                </c:pt>
                <c:pt idx="489">
                  <c:v>70.86</c:v>
                </c:pt>
                <c:pt idx="490">
                  <c:v>70.14</c:v>
                </c:pt>
                <c:pt idx="491">
                  <c:v>70.27</c:v>
                </c:pt>
                <c:pt idx="492">
                  <c:v>70.849999999999994</c:v>
                </c:pt>
                <c:pt idx="493">
                  <c:v>71.16</c:v>
                </c:pt>
                <c:pt idx="494">
                  <c:v>71.319999999999993</c:v>
                </c:pt>
                <c:pt idx="495">
                  <c:v>71.599999999999994</c:v>
                </c:pt>
                <c:pt idx="496">
                  <c:v>71.58</c:v>
                </c:pt>
                <c:pt idx="497">
                  <c:v>71.540000000000006</c:v>
                </c:pt>
                <c:pt idx="498">
                  <c:v>71.13</c:v>
                </c:pt>
                <c:pt idx="499">
                  <c:v>75.78</c:v>
                </c:pt>
                <c:pt idx="500">
                  <c:v>77.44</c:v>
                </c:pt>
                <c:pt idx="501">
                  <c:v>78.599999999999994</c:v>
                </c:pt>
                <c:pt idx="502">
                  <c:v>77.31</c:v>
                </c:pt>
                <c:pt idx="503">
                  <c:v>78.03</c:v>
                </c:pt>
                <c:pt idx="504">
                  <c:v>78.739999999999995</c:v>
                </c:pt>
                <c:pt idx="505">
                  <c:v>79.58</c:v>
                </c:pt>
                <c:pt idx="506">
                  <c:v>79.62</c:v>
                </c:pt>
                <c:pt idx="507">
                  <c:v>79.53</c:v>
                </c:pt>
                <c:pt idx="508">
                  <c:v>80.05</c:v>
                </c:pt>
                <c:pt idx="509">
                  <c:v>80.55</c:v>
                </c:pt>
                <c:pt idx="510">
                  <c:v>80.56</c:v>
                </c:pt>
                <c:pt idx="511">
                  <c:v>80.86</c:v>
                </c:pt>
                <c:pt idx="512">
                  <c:v>81.23</c:v>
                </c:pt>
                <c:pt idx="513">
                  <c:v>80.930000000000007</c:v>
                </c:pt>
                <c:pt idx="514">
                  <c:v>81.290000000000006</c:v>
                </c:pt>
                <c:pt idx="515">
                  <c:v>72.17</c:v>
                </c:pt>
                <c:pt idx="516">
                  <c:v>81.459999999999994</c:v>
                </c:pt>
                <c:pt idx="517">
                  <c:v>81.17</c:v>
                </c:pt>
                <c:pt idx="518">
                  <c:v>81.19</c:v>
                </c:pt>
                <c:pt idx="519">
                  <c:v>81.22</c:v>
                </c:pt>
                <c:pt idx="520">
                  <c:v>83.59</c:v>
                </c:pt>
                <c:pt idx="521">
                  <c:v>83.5</c:v>
                </c:pt>
                <c:pt idx="522">
                  <c:v>80.790000000000006</c:v>
                </c:pt>
                <c:pt idx="523">
                  <c:v>79.08</c:v>
                </c:pt>
                <c:pt idx="524">
                  <c:v>81.069999999999993</c:v>
                </c:pt>
                <c:pt idx="525">
                  <c:v>81.55</c:v>
                </c:pt>
                <c:pt idx="526">
                  <c:v>83.03</c:v>
                </c:pt>
                <c:pt idx="527">
                  <c:v>81.239999999999995</c:v>
                </c:pt>
                <c:pt idx="528">
                  <c:v>81.430000000000007</c:v>
                </c:pt>
                <c:pt idx="529">
                  <c:v>80.989999999999995</c:v>
                </c:pt>
                <c:pt idx="530">
                  <c:v>81.03</c:v>
                </c:pt>
                <c:pt idx="531">
                  <c:v>81</c:v>
                </c:pt>
                <c:pt idx="532">
                  <c:v>80.03</c:v>
                </c:pt>
                <c:pt idx="533">
                  <c:v>80.34</c:v>
                </c:pt>
                <c:pt idx="534">
                  <c:v>79.5</c:v>
                </c:pt>
                <c:pt idx="535">
                  <c:v>79.73</c:v>
                </c:pt>
                <c:pt idx="536">
                  <c:v>80.150000000000006</c:v>
                </c:pt>
                <c:pt idx="537">
                  <c:v>80.12</c:v>
                </c:pt>
                <c:pt idx="538">
                  <c:v>78.66</c:v>
                </c:pt>
                <c:pt idx="539">
                  <c:v>78.83</c:v>
                </c:pt>
                <c:pt idx="540">
                  <c:v>78.650000000000006</c:v>
                </c:pt>
                <c:pt idx="541">
                  <c:v>65.5</c:v>
                </c:pt>
                <c:pt idx="542">
                  <c:v>66.37</c:v>
                </c:pt>
                <c:pt idx="543">
                  <c:v>66.180000000000007</c:v>
                </c:pt>
                <c:pt idx="544">
                  <c:v>68.959999999999994</c:v>
                </c:pt>
                <c:pt idx="545">
                  <c:v>71.05</c:v>
                </c:pt>
                <c:pt idx="546">
                  <c:v>71.3</c:v>
                </c:pt>
                <c:pt idx="547">
                  <c:v>70.28</c:v>
                </c:pt>
                <c:pt idx="548">
                  <c:v>70.760000000000005</c:v>
                </c:pt>
                <c:pt idx="549">
                  <c:v>70.5</c:v>
                </c:pt>
                <c:pt idx="550">
                  <c:v>70.180000000000007</c:v>
                </c:pt>
                <c:pt idx="551">
                  <c:v>70.260000000000005</c:v>
                </c:pt>
                <c:pt idx="552">
                  <c:v>71</c:v>
                </c:pt>
                <c:pt idx="553">
                  <c:v>70.349999999999994</c:v>
                </c:pt>
                <c:pt idx="554">
                  <c:v>69.459999999999994</c:v>
                </c:pt>
                <c:pt idx="555">
                  <c:v>70.37</c:v>
                </c:pt>
                <c:pt idx="556">
                  <c:v>70.89</c:v>
                </c:pt>
                <c:pt idx="557">
                  <c:v>71.17</c:v>
                </c:pt>
                <c:pt idx="558">
                  <c:v>71.58</c:v>
                </c:pt>
                <c:pt idx="559">
                  <c:v>71.650000000000006</c:v>
                </c:pt>
                <c:pt idx="560">
                  <c:v>71.73</c:v>
                </c:pt>
                <c:pt idx="561">
                  <c:v>71.77</c:v>
                </c:pt>
                <c:pt idx="562">
                  <c:v>71.69</c:v>
                </c:pt>
                <c:pt idx="563">
                  <c:v>76</c:v>
                </c:pt>
                <c:pt idx="564">
                  <c:v>76.86</c:v>
                </c:pt>
                <c:pt idx="565">
                  <c:v>77.59</c:v>
                </c:pt>
                <c:pt idx="566">
                  <c:v>78.88</c:v>
                </c:pt>
                <c:pt idx="567">
                  <c:v>78.48</c:v>
                </c:pt>
                <c:pt idx="568">
                  <c:v>77.95</c:v>
                </c:pt>
                <c:pt idx="569">
                  <c:v>80.040000000000006</c:v>
                </c:pt>
                <c:pt idx="570">
                  <c:v>80.94</c:v>
                </c:pt>
                <c:pt idx="571">
                  <c:v>80.67</c:v>
                </c:pt>
                <c:pt idx="572">
                  <c:v>81.59</c:v>
                </c:pt>
                <c:pt idx="573">
                  <c:v>82.37</c:v>
                </c:pt>
                <c:pt idx="574">
                  <c:v>82.86</c:v>
                </c:pt>
                <c:pt idx="575">
                  <c:v>82.77</c:v>
                </c:pt>
                <c:pt idx="576">
                  <c:v>82.63</c:v>
                </c:pt>
                <c:pt idx="577">
                  <c:v>82.08</c:v>
                </c:pt>
                <c:pt idx="578">
                  <c:v>82.65</c:v>
                </c:pt>
                <c:pt idx="579">
                  <c:v>83</c:v>
                </c:pt>
                <c:pt idx="580">
                  <c:v>82.89</c:v>
                </c:pt>
                <c:pt idx="581">
                  <c:v>82.91</c:v>
                </c:pt>
                <c:pt idx="582">
                  <c:v>82.98</c:v>
                </c:pt>
                <c:pt idx="583">
                  <c:v>87.83</c:v>
                </c:pt>
                <c:pt idx="584">
                  <c:v>87.93</c:v>
                </c:pt>
                <c:pt idx="585">
                  <c:v>89.67</c:v>
                </c:pt>
                <c:pt idx="586">
                  <c:v>91.36</c:v>
                </c:pt>
                <c:pt idx="587">
                  <c:v>90.67</c:v>
                </c:pt>
                <c:pt idx="588">
                  <c:v>89.24</c:v>
                </c:pt>
                <c:pt idx="589">
                  <c:v>89.51</c:v>
                </c:pt>
                <c:pt idx="590">
                  <c:v>89.61</c:v>
                </c:pt>
                <c:pt idx="591">
                  <c:v>91.4</c:v>
                </c:pt>
                <c:pt idx="592">
                  <c:v>92.59</c:v>
                </c:pt>
                <c:pt idx="593">
                  <c:v>91</c:v>
                </c:pt>
                <c:pt idx="594">
                  <c:v>91.68</c:v>
                </c:pt>
                <c:pt idx="595">
                  <c:v>91</c:v>
                </c:pt>
                <c:pt idx="596">
                  <c:v>90.96</c:v>
                </c:pt>
                <c:pt idx="597">
                  <c:v>91.39</c:v>
                </c:pt>
                <c:pt idx="598">
                  <c:v>91.43</c:v>
                </c:pt>
                <c:pt idx="599">
                  <c:v>91.54</c:v>
                </c:pt>
                <c:pt idx="600">
                  <c:v>91.41</c:v>
                </c:pt>
                <c:pt idx="601">
                  <c:v>91.63</c:v>
                </c:pt>
                <c:pt idx="602">
                  <c:v>102.44</c:v>
                </c:pt>
                <c:pt idx="603">
                  <c:v>109.21</c:v>
                </c:pt>
                <c:pt idx="604">
                  <c:v>106.68</c:v>
                </c:pt>
                <c:pt idx="605">
                  <c:v>113.49</c:v>
                </c:pt>
                <c:pt idx="606">
                  <c:v>116.55</c:v>
                </c:pt>
                <c:pt idx="607">
                  <c:v>119.78</c:v>
                </c:pt>
                <c:pt idx="608">
                  <c:v>108.82</c:v>
                </c:pt>
                <c:pt idx="609">
                  <c:v>107.14</c:v>
                </c:pt>
                <c:pt idx="610">
                  <c:v>109.3</c:v>
                </c:pt>
                <c:pt idx="611">
                  <c:v>105.82</c:v>
                </c:pt>
                <c:pt idx="612">
                  <c:v>102.16</c:v>
                </c:pt>
                <c:pt idx="613">
                  <c:v>101.49</c:v>
                </c:pt>
                <c:pt idx="614">
                  <c:v>105.32</c:v>
                </c:pt>
                <c:pt idx="615">
                  <c:v>105.99</c:v>
                </c:pt>
                <c:pt idx="616">
                  <c:v>108.73</c:v>
                </c:pt>
                <c:pt idx="617">
                  <c:v>108.5</c:v>
                </c:pt>
                <c:pt idx="618">
                  <c:v>110.22</c:v>
                </c:pt>
                <c:pt idx="619">
                  <c:v>109.54</c:v>
                </c:pt>
                <c:pt idx="620">
                  <c:v>109.88</c:v>
                </c:pt>
                <c:pt idx="621">
                  <c:v>108.5</c:v>
                </c:pt>
                <c:pt idx="622">
                  <c:v>108.28</c:v>
                </c:pt>
                <c:pt idx="623">
                  <c:v>108.59</c:v>
                </c:pt>
                <c:pt idx="624">
                  <c:v>108.26</c:v>
                </c:pt>
                <c:pt idx="625">
                  <c:v>98.79</c:v>
                </c:pt>
                <c:pt idx="626">
                  <c:v>102.58</c:v>
                </c:pt>
                <c:pt idx="627">
                  <c:v>101.44</c:v>
                </c:pt>
                <c:pt idx="628">
                  <c:v>96.73</c:v>
                </c:pt>
                <c:pt idx="629">
                  <c:v>96.68</c:v>
                </c:pt>
                <c:pt idx="630">
                  <c:v>98.35</c:v>
                </c:pt>
                <c:pt idx="631">
                  <c:v>95.63</c:v>
                </c:pt>
                <c:pt idx="632">
                  <c:v>99.7</c:v>
                </c:pt>
                <c:pt idx="633">
                  <c:v>101.89</c:v>
                </c:pt>
                <c:pt idx="634">
                  <c:v>103.33</c:v>
                </c:pt>
                <c:pt idx="635">
                  <c:v>103.95</c:v>
                </c:pt>
                <c:pt idx="636">
                  <c:v>101.44</c:v>
                </c:pt>
                <c:pt idx="637">
                  <c:v>101.5</c:v>
                </c:pt>
                <c:pt idx="638">
                  <c:v>102.06</c:v>
                </c:pt>
                <c:pt idx="639">
                  <c:v>101.54</c:v>
                </c:pt>
                <c:pt idx="640">
                  <c:v>100.66</c:v>
                </c:pt>
                <c:pt idx="641">
                  <c:v>101.29</c:v>
                </c:pt>
                <c:pt idx="642">
                  <c:v>101.34</c:v>
                </c:pt>
                <c:pt idx="643">
                  <c:v>101.67</c:v>
                </c:pt>
                <c:pt idx="644">
                  <c:v>101.64</c:v>
                </c:pt>
                <c:pt idx="645">
                  <c:v>104.67</c:v>
                </c:pt>
                <c:pt idx="646">
                  <c:v>102.11</c:v>
                </c:pt>
                <c:pt idx="647">
                  <c:v>106.97</c:v>
                </c:pt>
                <c:pt idx="648">
                  <c:v>107.38</c:v>
                </c:pt>
                <c:pt idx="649">
                  <c:v>108.62</c:v>
                </c:pt>
                <c:pt idx="650">
                  <c:v>103.57</c:v>
                </c:pt>
                <c:pt idx="651">
                  <c:v>101.19</c:v>
                </c:pt>
                <c:pt idx="652">
                  <c:v>105.05</c:v>
                </c:pt>
                <c:pt idx="653">
                  <c:v>105.3</c:v>
                </c:pt>
                <c:pt idx="654">
                  <c:v>107.75</c:v>
                </c:pt>
                <c:pt idx="655">
                  <c:v>109.55</c:v>
                </c:pt>
                <c:pt idx="656">
                  <c:v>108.58</c:v>
                </c:pt>
                <c:pt idx="657">
                  <c:v>107.44</c:v>
                </c:pt>
                <c:pt idx="658">
                  <c:v>108.5</c:v>
                </c:pt>
                <c:pt idx="659">
                  <c:v>108.66</c:v>
                </c:pt>
                <c:pt idx="660">
                  <c:v>108.67</c:v>
                </c:pt>
                <c:pt idx="661">
                  <c:v>108.54</c:v>
                </c:pt>
                <c:pt idx="662">
                  <c:v>108.65</c:v>
                </c:pt>
                <c:pt idx="663">
                  <c:v>109.19</c:v>
                </c:pt>
                <c:pt idx="664">
                  <c:v>109.28</c:v>
                </c:pt>
                <c:pt idx="665">
                  <c:v>109.26</c:v>
                </c:pt>
                <c:pt idx="666">
                  <c:v>114.41</c:v>
                </c:pt>
                <c:pt idx="667">
                  <c:v>115.94</c:v>
                </c:pt>
                <c:pt idx="668">
                  <c:v>117.72</c:v>
                </c:pt>
                <c:pt idx="669">
                  <c:v>117.47</c:v>
                </c:pt>
                <c:pt idx="670">
                  <c:v>118.25</c:v>
                </c:pt>
                <c:pt idx="671">
                  <c:v>120.3</c:v>
                </c:pt>
                <c:pt idx="672">
                  <c:v>119.84</c:v>
                </c:pt>
                <c:pt idx="673">
                  <c:v>119.24</c:v>
                </c:pt>
                <c:pt idx="674">
                  <c:v>119.36</c:v>
                </c:pt>
                <c:pt idx="675">
                  <c:v>118.22</c:v>
                </c:pt>
                <c:pt idx="676">
                  <c:v>116.47</c:v>
                </c:pt>
                <c:pt idx="677">
                  <c:v>117.52</c:v>
                </c:pt>
                <c:pt idx="678">
                  <c:v>114.33</c:v>
                </c:pt>
                <c:pt idx="679">
                  <c:v>114.9</c:v>
                </c:pt>
                <c:pt idx="680">
                  <c:v>113.79</c:v>
                </c:pt>
                <c:pt idx="681">
                  <c:v>113.24</c:v>
                </c:pt>
                <c:pt idx="682">
                  <c:v>114.03</c:v>
                </c:pt>
                <c:pt idx="683">
                  <c:v>114.41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591-485D-BD1C-E9420C31A05A}"/>
            </c:ext>
          </c:extLst>
        </c:ser>
        <c:ser>
          <c:idx val="1"/>
          <c:order val="1"/>
          <c:tx>
            <c:strRef>
              <c:f>CrudeOilNput!$C$1</c:f>
              <c:strCache>
                <c:ptCount val="1"/>
                <c:pt idx="0">
                  <c:v>Opec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CrudeOilNput!$A$2:$A$685</c:f>
              <c:strCache>
                <c:ptCount val="684"/>
                <c:pt idx="0">
                  <c:v>10/31/2019</c:v>
                </c:pt>
                <c:pt idx="1">
                  <c:v>11/1/2019</c:v>
                </c:pt>
                <c:pt idx="2">
                  <c:v>11/4/2019</c:v>
                </c:pt>
                <c:pt idx="3">
                  <c:v>11/5/2019</c:v>
                </c:pt>
                <c:pt idx="4">
                  <c:v>11/6/2019</c:v>
                </c:pt>
                <c:pt idx="5">
                  <c:v>11/7/2019</c:v>
                </c:pt>
                <c:pt idx="6">
                  <c:v>11/8/2019</c:v>
                </c:pt>
                <c:pt idx="7">
                  <c:v>11/11/2019</c:v>
                </c:pt>
                <c:pt idx="8">
                  <c:v>11/12/2019</c:v>
                </c:pt>
                <c:pt idx="9">
                  <c:v>11/13/2019</c:v>
                </c:pt>
                <c:pt idx="10">
                  <c:v>11/14/2019</c:v>
                </c:pt>
                <c:pt idx="11">
                  <c:v>11/15/2019</c:v>
                </c:pt>
                <c:pt idx="12">
                  <c:v>11/18/2019</c:v>
                </c:pt>
                <c:pt idx="13">
                  <c:v>11/19/2019</c:v>
                </c:pt>
                <c:pt idx="14">
                  <c:v>11/20/2019</c:v>
                </c:pt>
                <c:pt idx="15">
                  <c:v>11/21/2019</c:v>
                </c:pt>
                <c:pt idx="16">
                  <c:v>11/22/2019</c:v>
                </c:pt>
                <c:pt idx="17">
                  <c:v>11/25/2019</c:v>
                </c:pt>
                <c:pt idx="18">
                  <c:v>11/26/2019</c:v>
                </c:pt>
                <c:pt idx="19">
                  <c:v>11/27/2019</c:v>
                </c:pt>
                <c:pt idx="20">
                  <c:v>11/28/2019</c:v>
                </c:pt>
                <c:pt idx="21">
                  <c:v>11/29/2019</c:v>
                </c:pt>
                <c:pt idx="22">
                  <c:v>12/2/2019</c:v>
                </c:pt>
                <c:pt idx="23">
                  <c:v>12/3/2019</c:v>
                </c:pt>
                <c:pt idx="24">
                  <c:v>12/4/2019</c:v>
                </c:pt>
                <c:pt idx="25">
                  <c:v>12/5/2019</c:v>
                </c:pt>
                <c:pt idx="26">
                  <c:v>12/6/2019</c:v>
                </c:pt>
                <c:pt idx="27">
                  <c:v>12/9/2019</c:v>
                </c:pt>
                <c:pt idx="28">
                  <c:v>12/10/2019</c:v>
                </c:pt>
                <c:pt idx="29">
                  <c:v>12/11/2019</c:v>
                </c:pt>
                <c:pt idx="30">
                  <c:v>12/12/2019</c:v>
                </c:pt>
                <c:pt idx="31">
                  <c:v>12/13/2019</c:v>
                </c:pt>
                <c:pt idx="32">
                  <c:v>12/16/2019</c:v>
                </c:pt>
                <c:pt idx="33">
                  <c:v>12/17/2019</c:v>
                </c:pt>
                <c:pt idx="34">
                  <c:v>12/18/2019</c:v>
                </c:pt>
                <c:pt idx="35">
                  <c:v>12/19/2019</c:v>
                </c:pt>
                <c:pt idx="36">
                  <c:v>12/20/2019</c:v>
                </c:pt>
                <c:pt idx="37">
                  <c:v>12/23/2019</c:v>
                </c:pt>
                <c:pt idx="38">
                  <c:v>12/24/2019</c:v>
                </c:pt>
                <c:pt idx="39">
                  <c:v>12/26/2019</c:v>
                </c:pt>
                <c:pt idx="40">
                  <c:v>12/27/2019</c:v>
                </c:pt>
                <c:pt idx="41">
                  <c:v>12/30/2019</c:v>
                </c:pt>
                <c:pt idx="42">
                  <c:v>12/31/2019</c:v>
                </c:pt>
                <c:pt idx="43">
                  <c:v>1/2/2020</c:v>
                </c:pt>
                <c:pt idx="44">
                  <c:v>1/3/2020</c:v>
                </c:pt>
                <c:pt idx="45">
                  <c:v>1/6/2020</c:v>
                </c:pt>
                <c:pt idx="46">
                  <c:v>1/7/2020</c:v>
                </c:pt>
                <c:pt idx="47">
                  <c:v>1/8/2020</c:v>
                </c:pt>
                <c:pt idx="48">
                  <c:v>1/9/2020</c:v>
                </c:pt>
                <c:pt idx="49">
                  <c:v>1/10/2020</c:v>
                </c:pt>
                <c:pt idx="50">
                  <c:v>1/13/2020</c:v>
                </c:pt>
                <c:pt idx="51">
                  <c:v>1/14/2020</c:v>
                </c:pt>
                <c:pt idx="52">
                  <c:v>1/15/2020</c:v>
                </c:pt>
                <c:pt idx="53">
                  <c:v>1/16/2020</c:v>
                </c:pt>
                <c:pt idx="54">
                  <c:v>1/17/2020</c:v>
                </c:pt>
                <c:pt idx="55">
                  <c:v>1/20/2020</c:v>
                </c:pt>
                <c:pt idx="56">
                  <c:v>1/21/2020</c:v>
                </c:pt>
                <c:pt idx="57">
                  <c:v>1/22/2020</c:v>
                </c:pt>
                <c:pt idx="58">
                  <c:v>1/23/2020</c:v>
                </c:pt>
                <c:pt idx="59">
                  <c:v>1/24/2020</c:v>
                </c:pt>
                <c:pt idx="60">
                  <c:v>1/27/2020</c:v>
                </c:pt>
                <c:pt idx="61">
                  <c:v>1/28/2020</c:v>
                </c:pt>
                <c:pt idx="62">
                  <c:v>1/29/2020</c:v>
                </c:pt>
                <c:pt idx="63">
                  <c:v>1/30/2020</c:v>
                </c:pt>
                <c:pt idx="64">
                  <c:v>1/31/2020</c:v>
                </c:pt>
                <c:pt idx="65">
                  <c:v>2/3/2020</c:v>
                </c:pt>
                <c:pt idx="66">
                  <c:v>2/4/2020</c:v>
                </c:pt>
                <c:pt idx="67">
                  <c:v>2/5/2020</c:v>
                </c:pt>
                <c:pt idx="68">
                  <c:v>2/6/2020</c:v>
                </c:pt>
                <c:pt idx="69">
                  <c:v>2/7/2020</c:v>
                </c:pt>
                <c:pt idx="70">
                  <c:v>2/10/2020</c:v>
                </c:pt>
                <c:pt idx="71">
                  <c:v>2/11/2020</c:v>
                </c:pt>
                <c:pt idx="72">
                  <c:v>2/12/2020</c:v>
                </c:pt>
                <c:pt idx="73">
                  <c:v>2/13/2020</c:v>
                </c:pt>
                <c:pt idx="74">
                  <c:v>2/14/2020</c:v>
                </c:pt>
                <c:pt idx="75">
                  <c:v>2/17/2020</c:v>
                </c:pt>
                <c:pt idx="76">
                  <c:v>2/18/2020</c:v>
                </c:pt>
                <c:pt idx="77">
                  <c:v>2/19/2020</c:v>
                </c:pt>
                <c:pt idx="78">
                  <c:v>2/20/2020</c:v>
                </c:pt>
                <c:pt idx="79">
                  <c:v>2/21/2020</c:v>
                </c:pt>
                <c:pt idx="80">
                  <c:v>2/24/2020</c:v>
                </c:pt>
                <c:pt idx="81">
                  <c:v>2/25/2020</c:v>
                </c:pt>
                <c:pt idx="82">
                  <c:v>2/26/2020</c:v>
                </c:pt>
                <c:pt idx="83">
                  <c:v>2/27/2020</c:v>
                </c:pt>
                <c:pt idx="84">
                  <c:v>2/28/2020</c:v>
                </c:pt>
                <c:pt idx="85">
                  <c:v>3/2/2020</c:v>
                </c:pt>
                <c:pt idx="86">
                  <c:v>3/3/2020</c:v>
                </c:pt>
                <c:pt idx="87">
                  <c:v>3/4/2020</c:v>
                </c:pt>
                <c:pt idx="88">
                  <c:v>3/5/2020</c:v>
                </c:pt>
                <c:pt idx="89">
                  <c:v>3/6/2020</c:v>
                </c:pt>
                <c:pt idx="90">
                  <c:v>3/9/2020</c:v>
                </c:pt>
                <c:pt idx="91">
                  <c:v>3/10/2020</c:v>
                </c:pt>
                <c:pt idx="92">
                  <c:v>3/11/2020</c:v>
                </c:pt>
                <c:pt idx="93">
                  <c:v>3/12/2020</c:v>
                </c:pt>
                <c:pt idx="94">
                  <c:v>3/13/2020</c:v>
                </c:pt>
                <c:pt idx="95">
                  <c:v>3/16/2020</c:v>
                </c:pt>
                <c:pt idx="96">
                  <c:v>3/17/2020</c:v>
                </c:pt>
                <c:pt idx="97">
                  <c:v>3/18/2020</c:v>
                </c:pt>
                <c:pt idx="98">
                  <c:v>3/19/2020</c:v>
                </c:pt>
                <c:pt idx="99">
                  <c:v>3/20/2020</c:v>
                </c:pt>
                <c:pt idx="100">
                  <c:v>3/23/2020</c:v>
                </c:pt>
                <c:pt idx="101">
                  <c:v>3/24/2020</c:v>
                </c:pt>
                <c:pt idx="102">
                  <c:v>3/25/2020</c:v>
                </c:pt>
                <c:pt idx="103">
                  <c:v>3/26/2020</c:v>
                </c:pt>
                <c:pt idx="104">
                  <c:v>3/27/2020</c:v>
                </c:pt>
                <c:pt idx="105">
                  <c:v>3/30/2020</c:v>
                </c:pt>
                <c:pt idx="106">
                  <c:v>3/31/2020</c:v>
                </c:pt>
                <c:pt idx="107">
                  <c:v>4/1/2020</c:v>
                </c:pt>
                <c:pt idx="108">
                  <c:v>4/2/2020</c:v>
                </c:pt>
                <c:pt idx="109">
                  <c:v>4/3/2020</c:v>
                </c:pt>
                <c:pt idx="110">
                  <c:v>4/6/2020</c:v>
                </c:pt>
                <c:pt idx="111">
                  <c:v>4/7/2020</c:v>
                </c:pt>
                <c:pt idx="112">
                  <c:v>4/8/2020</c:v>
                </c:pt>
                <c:pt idx="113">
                  <c:v>4/9/2020</c:v>
                </c:pt>
                <c:pt idx="114">
                  <c:v>4/13/2020</c:v>
                </c:pt>
                <c:pt idx="115">
                  <c:v>4/14/2020</c:v>
                </c:pt>
                <c:pt idx="116">
                  <c:v>4/15/2020</c:v>
                </c:pt>
                <c:pt idx="117">
                  <c:v>4/16/2020</c:v>
                </c:pt>
                <c:pt idx="118">
                  <c:v>4/17/2020</c:v>
                </c:pt>
                <c:pt idx="119">
                  <c:v>4/20/2020</c:v>
                </c:pt>
                <c:pt idx="120">
                  <c:v>4/21/2020</c:v>
                </c:pt>
                <c:pt idx="121">
                  <c:v>4/22/2020</c:v>
                </c:pt>
                <c:pt idx="122">
                  <c:v>4/23/2020</c:v>
                </c:pt>
                <c:pt idx="123">
                  <c:v>4/24/2020</c:v>
                </c:pt>
                <c:pt idx="124">
                  <c:v>4/27/2020</c:v>
                </c:pt>
                <c:pt idx="125">
                  <c:v>4/28/2020</c:v>
                </c:pt>
                <c:pt idx="126">
                  <c:v>4/29/2020</c:v>
                </c:pt>
                <c:pt idx="127">
                  <c:v>4/30/2020</c:v>
                </c:pt>
                <c:pt idx="128">
                  <c:v>5/1/2020</c:v>
                </c:pt>
                <c:pt idx="129">
                  <c:v>5/4/2020</c:v>
                </c:pt>
                <c:pt idx="130">
                  <c:v>5/5/2020</c:v>
                </c:pt>
                <c:pt idx="131">
                  <c:v>5/6/2020</c:v>
                </c:pt>
                <c:pt idx="132">
                  <c:v>5/7/2020</c:v>
                </c:pt>
                <c:pt idx="133">
                  <c:v>5/8/2020</c:v>
                </c:pt>
                <c:pt idx="134">
                  <c:v>5/11/2020</c:v>
                </c:pt>
                <c:pt idx="135">
                  <c:v>5/12/2020</c:v>
                </c:pt>
                <c:pt idx="136">
                  <c:v>5/13/2020</c:v>
                </c:pt>
                <c:pt idx="137">
                  <c:v>5/14/2020</c:v>
                </c:pt>
                <c:pt idx="138">
                  <c:v>5/15/2020</c:v>
                </c:pt>
                <c:pt idx="139">
                  <c:v>5/18/2020</c:v>
                </c:pt>
                <c:pt idx="140">
                  <c:v>5/19/2020</c:v>
                </c:pt>
                <c:pt idx="141">
                  <c:v>5/20/2020</c:v>
                </c:pt>
                <c:pt idx="142">
                  <c:v>5/21/2020</c:v>
                </c:pt>
                <c:pt idx="143">
                  <c:v>5/22/2020</c:v>
                </c:pt>
                <c:pt idx="144">
                  <c:v>5/26/2020</c:v>
                </c:pt>
                <c:pt idx="145">
                  <c:v>5/27/2020</c:v>
                </c:pt>
                <c:pt idx="146">
                  <c:v>5/28/2020</c:v>
                </c:pt>
                <c:pt idx="147">
                  <c:v>5/29/2020</c:v>
                </c:pt>
                <c:pt idx="148">
                  <c:v>6/1/2020</c:v>
                </c:pt>
                <c:pt idx="149">
                  <c:v>6/2/2020</c:v>
                </c:pt>
                <c:pt idx="150">
                  <c:v>6/3/2020</c:v>
                </c:pt>
                <c:pt idx="151">
                  <c:v>6/4/2020</c:v>
                </c:pt>
                <c:pt idx="152">
                  <c:v>6/5/2020</c:v>
                </c:pt>
                <c:pt idx="153">
                  <c:v>6/8/2020</c:v>
                </c:pt>
                <c:pt idx="154">
                  <c:v>6/9/2020</c:v>
                </c:pt>
                <c:pt idx="155">
                  <c:v>6/10/2020</c:v>
                </c:pt>
                <c:pt idx="156">
                  <c:v>6/11/2020</c:v>
                </c:pt>
                <c:pt idx="157">
                  <c:v>6/12/2020</c:v>
                </c:pt>
                <c:pt idx="158">
                  <c:v>6/15/2020</c:v>
                </c:pt>
                <c:pt idx="159">
                  <c:v>6/16/2020</c:v>
                </c:pt>
                <c:pt idx="160">
                  <c:v>6/17/2020</c:v>
                </c:pt>
                <c:pt idx="161">
                  <c:v>6/18/2020</c:v>
                </c:pt>
                <c:pt idx="162">
                  <c:v>6/19/2020</c:v>
                </c:pt>
                <c:pt idx="163">
                  <c:v>6/22/2020</c:v>
                </c:pt>
                <c:pt idx="164">
                  <c:v>6/23/2020</c:v>
                </c:pt>
                <c:pt idx="165">
                  <c:v>6/24/2020</c:v>
                </c:pt>
                <c:pt idx="166">
                  <c:v>6/25/2020</c:v>
                </c:pt>
                <c:pt idx="167">
                  <c:v>6/26/2020</c:v>
                </c:pt>
                <c:pt idx="168">
                  <c:v>6/29/2020</c:v>
                </c:pt>
                <c:pt idx="169">
                  <c:v>6/30/2020</c:v>
                </c:pt>
                <c:pt idx="170">
                  <c:v>7/1/2020</c:v>
                </c:pt>
                <c:pt idx="171">
                  <c:v>7/2/2020</c:v>
                </c:pt>
                <c:pt idx="172">
                  <c:v>7/3/2020</c:v>
                </c:pt>
                <c:pt idx="173">
                  <c:v>7/6/2020</c:v>
                </c:pt>
                <c:pt idx="174">
                  <c:v>7/7/2020</c:v>
                </c:pt>
                <c:pt idx="175">
                  <c:v>7/8/2020</c:v>
                </c:pt>
                <c:pt idx="176">
                  <c:v>7/9/2020</c:v>
                </c:pt>
                <c:pt idx="177">
                  <c:v>7/10/2020</c:v>
                </c:pt>
                <c:pt idx="178">
                  <c:v>7/13/2020</c:v>
                </c:pt>
                <c:pt idx="179">
                  <c:v>7/14/2020</c:v>
                </c:pt>
                <c:pt idx="180">
                  <c:v>7/15/2020</c:v>
                </c:pt>
                <c:pt idx="181">
                  <c:v>7/16/2020</c:v>
                </c:pt>
                <c:pt idx="182">
                  <c:v>7/17/2020</c:v>
                </c:pt>
                <c:pt idx="183">
                  <c:v>7/20/2020</c:v>
                </c:pt>
                <c:pt idx="184">
                  <c:v>7/21/2020</c:v>
                </c:pt>
                <c:pt idx="185">
                  <c:v>7/22/2020</c:v>
                </c:pt>
                <c:pt idx="186">
                  <c:v>7/23/2020</c:v>
                </c:pt>
                <c:pt idx="187">
                  <c:v>7/24/2020</c:v>
                </c:pt>
                <c:pt idx="188">
                  <c:v>7/27/2020</c:v>
                </c:pt>
                <c:pt idx="189">
                  <c:v>7/28/2020</c:v>
                </c:pt>
                <c:pt idx="190">
                  <c:v>7/29/2020</c:v>
                </c:pt>
                <c:pt idx="191">
                  <c:v>7/30/2020</c:v>
                </c:pt>
                <c:pt idx="192">
                  <c:v>7/31/2020</c:v>
                </c:pt>
                <c:pt idx="193">
                  <c:v>8/3/2020</c:v>
                </c:pt>
                <c:pt idx="194">
                  <c:v>8/4/2020</c:v>
                </c:pt>
                <c:pt idx="195">
                  <c:v>8/5/2020</c:v>
                </c:pt>
                <c:pt idx="196">
                  <c:v>8/6/2020</c:v>
                </c:pt>
                <c:pt idx="197">
                  <c:v>8/7/2020</c:v>
                </c:pt>
                <c:pt idx="198">
                  <c:v>8/10/2020</c:v>
                </c:pt>
                <c:pt idx="199">
                  <c:v>8/11/2020</c:v>
                </c:pt>
                <c:pt idx="200">
                  <c:v>8/12/2020</c:v>
                </c:pt>
                <c:pt idx="201">
                  <c:v>8/13/2020</c:v>
                </c:pt>
                <c:pt idx="202">
                  <c:v>8/14/2020</c:v>
                </c:pt>
                <c:pt idx="203">
                  <c:v>8/17/2020</c:v>
                </c:pt>
                <c:pt idx="204">
                  <c:v>8/18/2020</c:v>
                </c:pt>
                <c:pt idx="205">
                  <c:v>8/19/2020</c:v>
                </c:pt>
                <c:pt idx="206">
                  <c:v>8/20/2020</c:v>
                </c:pt>
                <c:pt idx="207">
                  <c:v>8/21/2020</c:v>
                </c:pt>
                <c:pt idx="208">
                  <c:v>8/24/2020</c:v>
                </c:pt>
                <c:pt idx="209">
                  <c:v>8/25/2020</c:v>
                </c:pt>
                <c:pt idx="210">
                  <c:v>8/26/2020</c:v>
                </c:pt>
                <c:pt idx="211">
                  <c:v>8/27/2020</c:v>
                </c:pt>
                <c:pt idx="212">
                  <c:v>8/28/2020</c:v>
                </c:pt>
                <c:pt idx="213">
                  <c:v>8/31/2020</c:v>
                </c:pt>
                <c:pt idx="214">
                  <c:v>9/1/2020</c:v>
                </c:pt>
                <c:pt idx="215">
                  <c:v>9/2/2020</c:v>
                </c:pt>
                <c:pt idx="216">
                  <c:v>9/3/2020</c:v>
                </c:pt>
                <c:pt idx="217">
                  <c:v>9/4/2020</c:v>
                </c:pt>
                <c:pt idx="218">
                  <c:v>9/7/2020</c:v>
                </c:pt>
                <c:pt idx="219">
                  <c:v>9/8/2020</c:v>
                </c:pt>
                <c:pt idx="220">
                  <c:v>9/9/2020</c:v>
                </c:pt>
                <c:pt idx="221">
                  <c:v>9/10/2020</c:v>
                </c:pt>
                <c:pt idx="222">
                  <c:v>9/11/2020</c:v>
                </c:pt>
                <c:pt idx="223">
                  <c:v>9/14/2020</c:v>
                </c:pt>
                <c:pt idx="224">
                  <c:v>9/15/2020</c:v>
                </c:pt>
                <c:pt idx="225">
                  <c:v>9/16/2020</c:v>
                </c:pt>
                <c:pt idx="226">
                  <c:v>9/17/2020</c:v>
                </c:pt>
                <c:pt idx="227">
                  <c:v>9/18/2020</c:v>
                </c:pt>
                <c:pt idx="228">
                  <c:v>9/21/2020</c:v>
                </c:pt>
                <c:pt idx="229">
                  <c:v>9/22/2020</c:v>
                </c:pt>
                <c:pt idx="230">
                  <c:v>9/23/2020</c:v>
                </c:pt>
                <c:pt idx="231">
                  <c:v>9/24/2020</c:v>
                </c:pt>
                <c:pt idx="232">
                  <c:v>9/25/2020</c:v>
                </c:pt>
                <c:pt idx="233">
                  <c:v>9/28/2020</c:v>
                </c:pt>
                <c:pt idx="234">
                  <c:v>9/29/2020</c:v>
                </c:pt>
                <c:pt idx="235">
                  <c:v>9/30/2020</c:v>
                </c:pt>
                <c:pt idx="236">
                  <c:v>10/1/2020</c:v>
                </c:pt>
                <c:pt idx="237">
                  <c:v>10/2/2020</c:v>
                </c:pt>
                <c:pt idx="238">
                  <c:v>10/5/2020</c:v>
                </c:pt>
                <c:pt idx="239">
                  <c:v>10/6/2020</c:v>
                </c:pt>
                <c:pt idx="240">
                  <c:v>10/7/2020</c:v>
                </c:pt>
                <c:pt idx="241">
                  <c:v>10/8/2020</c:v>
                </c:pt>
                <c:pt idx="242">
                  <c:v>10/9/2020</c:v>
                </c:pt>
                <c:pt idx="243">
                  <c:v>10/12/2020</c:v>
                </c:pt>
                <c:pt idx="244">
                  <c:v>10/13/2020</c:v>
                </c:pt>
                <c:pt idx="245">
                  <c:v>10/14/2020</c:v>
                </c:pt>
                <c:pt idx="246">
                  <c:v>10/15/2020</c:v>
                </c:pt>
                <c:pt idx="247">
                  <c:v>10/16/2020</c:v>
                </c:pt>
                <c:pt idx="248">
                  <c:v>10/19/2020</c:v>
                </c:pt>
                <c:pt idx="249">
                  <c:v>10/20/2020</c:v>
                </c:pt>
                <c:pt idx="250">
                  <c:v>10/21/2020</c:v>
                </c:pt>
                <c:pt idx="251">
                  <c:v>10/22/2020</c:v>
                </c:pt>
                <c:pt idx="252">
                  <c:v>10/23/2020</c:v>
                </c:pt>
                <c:pt idx="253">
                  <c:v>10/26/2020</c:v>
                </c:pt>
                <c:pt idx="254">
                  <c:v>10/27/2020</c:v>
                </c:pt>
                <c:pt idx="255">
                  <c:v>10/28/2020</c:v>
                </c:pt>
                <c:pt idx="256">
                  <c:v>10/29/2020</c:v>
                </c:pt>
                <c:pt idx="257">
                  <c:v>10/30/2020</c:v>
                </c:pt>
                <c:pt idx="258">
                  <c:v>11/2/2020</c:v>
                </c:pt>
                <c:pt idx="259">
                  <c:v>11/3/2020</c:v>
                </c:pt>
                <c:pt idx="260">
                  <c:v>11/4/2020</c:v>
                </c:pt>
                <c:pt idx="261">
                  <c:v>11/5/2020</c:v>
                </c:pt>
                <c:pt idx="262">
                  <c:v>11/6/2020</c:v>
                </c:pt>
                <c:pt idx="263">
                  <c:v>11/9/2020</c:v>
                </c:pt>
                <c:pt idx="264">
                  <c:v>11/10/2020</c:v>
                </c:pt>
                <c:pt idx="265">
                  <c:v>11/11/2020</c:v>
                </c:pt>
                <c:pt idx="266">
                  <c:v>11/12/2020</c:v>
                </c:pt>
                <c:pt idx="267">
                  <c:v>11/13/2020</c:v>
                </c:pt>
                <c:pt idx="268">
                  <c:v>11/16/2020</c:v>
                </c:pt>
                <c:pt idx="269">
                  <c:v>11/17/2020</c:v>
                </c:pt>
                <c:pt idx="270">
                  <c:v>11/18/2020</c:v>
                </c:pt>
                <c:pt idx="271">
                  <c:v>11/19/2020</c:v>
                </c:pt>
                <c:pt idx="272">
                  <c:v>11/20/2020</c:v>
                </c:pt>
                <c:pt idx="273">
                  <c:v>11/23/2020</c:v>
                </c:pt>
                <c:pt idx="274">
                  <c:v>11/24/2020</c:v>
                </c:pt>
                <c:pt idx="275">
                  <c:v>11/25/2020</c:v>
                </c:pt>
                <c:pt idx="276">
                  <c:v>11/26/2020</c:v>
                </c:pt>
                <c:pt idx="277">
                  <c:v>11/27/2020</c:v>
                </c:pt>
                <c:pt idx="278">
                  <c:v>11/30/2020</c:v>
                </c:pt>
                <c:pt idx="279">
                  <c:v>12/1/2020</c:v>
                </c:pt>
                <c:pt idx="280">
                  <c:v>12/2/2020</c:v>
                </c:pt>
                <c:pt idx="281">
                  <c:v>12/3/2020</c:v>
                </c:pt>
                <c:pt idx="282">
                  <c:v>12/4/2020</c:v>
                </c:pt>
                <c:pt idx="283">
                  <c:v>12/7/2020</c:v>
                </c:pt>
                <c:pt idx="284">
                  <c:v>12/8/2020</c:v>
                </c:pt>
                <c:pt idx="285">
                  <c:v>12/9/2020</c:v>
                </c:pt>
                <c:pt idx="286">
                  <c:v>12/10/2020</c:v>
                </c:pt>
                <c:pt idx="287">
                  <c:v>12/11/2020</c:v>
                </c:pt>
                <c:pt idx="288">
                  <c:v>12/14/2020</c:v>
                </c:pt>
                <c:pt idx="289">
                  <c:v>12/15/2020</c:v>
                </c:pt>
                <c:pt idx="290">
                  <c:v>12/16/2020</c:v>
                </c:pt>
                <c:pt idx="291">
                  <c:v>12/17/2020</c:v>
                </c:pt>
                <c:pt idx="292">
                  <c:v>12/18/2020</c:v>
                </c:pt>
                <c:pt idx="293">
                  <c:v>12/21/2020</c:v>
                </c:pt>
                <c:pt idx="294">
                  <c:v>12/22/2020</c:v>
                </c:pt>
                <c:pt idx="295">
                  <c:v>12/23/2020</c:v>
                </c:pt>
                <c:pt idx="296">
                  <c:v>12/24/2020</c:v>
                </c:pt>
                <c:pt idx="297">
                  <c:v>12/28/2020</c:v>
                </c:pt>
                <c:pt idx="298">
                  <c:v>12/29/2020</c:v>
                </c:pt>
                <c:pt idx="299">
                  <c:v>12/30/2020</c:v>
                </c:pt>
                <c:pt idx="300">
                  <c:v>12/31/2020</c:v>
                </c:pt>
                <c:pt idx="301">
                  <c:v>1/4/2021</c:v>
                </c:pt>
                <c:pt idx="302">
                  <c:v>1/5/2021</c:v>
                </c:pt>
                <c:pt idx="303">
                  <c:v>1/6/2021</c:v>
                </c:pt>
                <c:pt idx="304">
                  <c:v>1/7/2021</c:v>
                </c:pt>
                <c:pt idx="305">
                  <c:v>1/8/2021</c:v>
                </c:pt>
                <c:pt idx="306">
                  <c:v>1/11/2021</c:v>
                </c:pt>
                <c:pt idx="307">
                  <c:v>1/12/2021</c:v>
                </c:pt>
                <c:pt idx="308">
                  <c:v>1/13/2021</c:v>
                </c:pt>
                <c:pt idx="309">
                  <c:v>1/14/2021</c:v>
                </c:pt>
                <c:pt idx="310">
                  <c:v>1/15/2021</c:v>
                </c:pt>
                <c:pt idx="311">
                  <c:v>1/18/2021</c:v>
                </c:pt>
                <c:pt idx="312">
                  <c:v>1/19/2021</c:v>
                </c:pt>
                <c:pt idx="313">
                  <c:v>1/20/2021</c:v>
                </c:pt>
                <c:pt idx="314">
                  <c:v>1/21/2021</c:v>
                </c:pt>
                <c:pt idx="315">
                  <c:v>1/22/2021</c:v>
                </c:pt>
                <c:pt idx="316">
                  <c:v>1/25/2021</c:v>
                </c:pt>
                <c:pt idx="317">
                  <c:v>1/26/2021</c:v>
                </c:pt>
                <c:pt idx="318">
                  <c:v>1/27/2021</c:v>
                </c:pt>
                <c:pt idx="319">
                  <c:v>1/28/2021</c:v>
                </c:pt>
                <c:pt idx="320">
                  <c:v>1/29/2021</c:v>
                </c:pt>
                <c:pt idx="321">
                  <c:v>2/1/2021</c:v>
                </c:pt>
                <c:pt idx="322">
                  <c:v>2/2/2021</c:v>
                </c:pt>
                <c:pt idx="323">
                  <c:v>2/3/2021</c:v>
                </c:pt>
                <c:pt idx="324">
                  <c:v>2/4/2021</c:v>
                </c:pt>
                <c:pt idx="325">
                  <c:v>2/5/2021</c:v>
                </c:pt>
                <c:pt idx="326">
                  <c:v>2/8/2021</c:v>
                </c:pt>
                <c:pt idx="327">
                  <c:v>2/9/2021</c:v>
                </c:pt>
                <c:pt idx="328">
                  <c:v>2/10/2021</c:v>
                </c:pt>
                <c:pt idx="329">
                  <c:v>2/11/2021</c:v>
                </c:pt>
                <c:pt idx="330">
                  <c:v>2/12/2021</c:v>
                </c:pt>
                <c:pt idx="331">
                  <c:v>2/15/2021</c:v>
                </c:pt>
                <c:pt idx="332">
                  <c:v>2/16/2021</c:v>
                </c:pt>
                <c:pt idx="333">
                  <c:v>2/17/2021</c:v>
                </c:pt>
                <c:pt idx="334">
                  <c:v>2/18/2021</c:v>
                </c:pt>
                <c:pt idx="335">
                  <c:v>2/19/2021</c:v>
                </c:pt>
                <c:pt idx="336">
                  <c:v>2/22/2021</c:v>
                </c:pt>
                <c:pt idx="337">
                  <c:v>2/23/2021</c:v>
                </c:pt>
                <c:pt idx="338">
                  <c:v>2/24/2021</c:v>
                </c:pt>
                <c:pt idx="339">
                  <c:v>2/25/2021</c:v>
                </c:pt>
                <c:pt idx="340">
                  <c:v>2/26/2021</c:v>
                </c:pt>
                <c:pt idx="341">
                  <c:v>3/1/2021</c:v>
                </c:pt>
                <c:pt idx="342">
                  <c:v>3/2/2021</c:v>
                </c:pt>
                <c:pt idx="343">
                  <c:v>3/3/2021</c:v>
                </c:pt>
                <c:pt idx="344">
                  <c:v>3/4/2021</c:v>
                </c:pt>
                <c:pt idx="345">
                  <c:v>3/5/2021</c:v>
                </c:pt>
                <c:pt idx="346">
                  <c:v>3/8/2021</c:v>
                </c:pt>
                <c:pt idx="347">
                  <c:v>3/9/2021</c:v>
                </c:pt>
                <c:pt idx="348">
                  <c:v>3/10/2021</c:v>
                </c:pt>
                <c:pt idx="349">
                  <c:v>3/11/2021</c:v>
                </c:pt>
                <c:pt idx="350">
                  <c:v>3/12/2021</c:v>
                </c:pt>
                <c:pt idx="351">
                  <c:v>3/15/2021</c:v>
                </c:pt>
                <c:pt idx="352">
                  <c:v>3/16/2021</c:v>
                </c:pt>
                <c:pt idx="353">
                  <c:v>3/17/2021</c:v>
                </c:pt>
                <c:pt idx="354">
                  <c:v>3/18/2021</c:v>
                </c:pt>
                <c:pt idx="355">
                  <c:v>3/19/2021</c:v>
                </c:pt>
                <c:pt idx="356">
                  <c:v>3/22/2021</c:v>
                </c:pt>
                <c:pt idx="357">
                  <c:v>3/23/2021</c:v>
                </c:pt>
                <c:pt idx="358">
                  <c:v>3/24/2021</c:v>
                </c:pt>
                <c:pt idx="359">
                  <c:v>3/25/2021</c:v>
                </c:pt>
                <c:pt idx="360">
                  <c:v>3/26/2021</c:v>
                </c:pt>
                <c:pt idx="361">
                  <c:v>3/29/2021</c:v>
                </c:pt>
                <c:pt idx="362">
                  <c:v>3/30/2021</c:v>
                </c:pt>
                <c:pt idx="363">
                  <c:v>3/31/2021</c:v>
                </c:pt>
                <c:pt idx="364">
                  <c:v>4/1/2021</c:v>
                </c:pt>
                <c:pt idx="365">
                  <c:v>4/5/2021</c:v>
                </c:pt>
                <c:pt idx="366">
                  <c:v>4/6/2021</c:v>
                </c:pt>
                <c:pt idx="367">
                  <c:v>4/7/2021</c:v>
                </c:pt>
                <c:pt idx="368">
                  <c:v>4/8/2021</c:v>
                </c:pt>
                <c:pt idx="369">
                  <c:v>4/9/2021</c:v>
                </c:pt>
                <c:pt idx="370">
                  <c:v>4/12/2021</c:v>
                </c:pt>
                <c:pt idx="371">
                  <c:v>4/13/2021</c:v>
                </c:pt>
                <c:pt idx="372">
                  <c:v>4/14/2021</c:v>
                </c:pt>
                <c:pt idx="373">
                  <c:v>4/15/2021</c:v>
                </c:pt>
                <c:pt idx="374">
                  <c:v>4/16/2021</c:v>
                </c:pt>
                <c:pt idx="375">
                  <c:v>4/19/2021</c:v>
                </c:pt>
                <c:pt idx="376">
                  <c:v>4/20/2021</c:v>
                </c:pt>
                <c:pt idx="377">
                  <c:v>4/21/2021</c:v>
                </c:pt>
                <c:pt idx="378">
                  <c:v>4/22/2021</c:v>
                </c:pt>
                <c:pt idx="379">
                  <c:v>4/23/2021</c:v>
                </c:pt>
                <c:pt idx="380">
                  <c:v>4/26/2021</c:v>
                </c:pt>
                <c:pt idx="381">
                  <c:v>4/27/2021</c:v>
                </c:pt>
                <c:pt idx="382">
                  <c:v>4/28/2021</c:v>
                </c:pt>
                <c:pt idx="383">
                  <c:v>4/29/2021</c:v>
                </c:pt>
                <c:pt idx="384">
                  <c:v>4/30/2021</c:v>
                </c:pt>
                <c:pt idx="385">
                  <c:v>5/3/2021</c:v>
                </c:pt>
                <c:pt idx="386">
                  <c:v>5/4/2021</c:v>
                </c:pt>
                <c:pt idx="387">
                  <c:v>5/5/2021</c:v>
                </c:pt>
                <c:pt idx="388">
                  <c:v>5/6/2021</c:v>
                </c:pt>
                <c:pt idx="389">
                  <c:v>5/7/2021</c:v>
                </c:pt>
                <c:pt idx="390">
                  <c:v>5/10/2021</c:v>
                </c:pt>
                <c:pt idx="391">
                  <c:v>5/11/2021</c:v>
                </c:pt>
                <c:pt idx="392">
                  <c:v>5/12/2021</c:v>
                </c:pt>
                <c:pt idx="393">
                  <c:v>5/13/2021</c:v>
                </c:pt>
                <c:pt idx="394">
                  <c:v>5/14/2021</c:v>
                </c:pt>
                <c:pt idx="395">
                  <c:v>5/17/2021</c:v>
                </c:pt>
                <c:pt idx="396">
                  <c:v>5/18/2021</c:v>
                </c:pt>
                <c:pt idx="397">
                  <c:v>5/19/2021</c:v>
                </c:pt>
                <c:pt idx="398">
                  <c:v>5/20/2021</c:v>
                </c:pt>
                <c:pt idx="399">
                  <c:v>5/21/2021</c:v>
                </c:pt>
                <c:pt idx="400">
                  <c:v>5/24/2021</c:v>
                </c:pt>
                <c:pt idx="401">
                  <c:v>5/25/2021</c:v>
                </c:pt>
                <c:pt idx="402">
                  <c:v>5/26/2021</c:v>
                </c:pt>
                <c:pt idx="403">
                  <c:v>5/27/2021</c:v>
                </c:pt>
                <c:pt idx="404">
                  <c:v>5/28/2021</c:v>
                </c:pt>
                <c:pt idx="405">
                  <c:v>5/31/2021</c:v>
                </c:pt>
                <c:pt idx="406">
                  <c:v>6/1/2021</c:v>
                </c:pt>
                <c:pt idx="407">
                  <c:v>6/2/2021</c:v>
                </c:pt>
                <c:pt idx="408">
                  <c:v>6/3/2021</c:v>
                </c:pt>
                <c:pt idx="409">
                  <c:v>6/4/2021</c:v>
                </c:pt>
                <c:pt idx="410">
                  <c:v>6/7/2021</c:v>
                </c:pt>
                <c:pt idx="411">
                  <c:v>6/8/2021</c:v>
                </c:pt>
                <c:pt idx="412">
                  <c:v>6/9/2021</c:v>
                </c:pt>
                <c:pt idx="413">
                  <c:v>6/10/2021</c:v>
                </c:pt>
                <c:pt idx="414">
                  <c:v>6/11/2021</c:v>
                </c:pt>
                <c:pt idx="415">
                  <c:v>6/14/2021</c:v>
                </c:pt>
                <c:pt idx="416">
                  <c:v>6/15/2021</c:v>
                </c:pt>
                <c:pt idx="417">
                  <c:v>6/16/2021</c:v>
                </c:pt>
                <c:pt idx="418">
                  <c:v>6/17/2021</c:v>
                </c:pt>
                <c:pt idx="419">
                  <c:v>6/18/2021</c:v>
                </c:pt>
                <c:pt idx="420">
                  <c:v>6/21/2021</c:v>
                </c:pt>
                <c:pt idx="421">
                  <c:v>6/22/2021</c:v>
                </c:pt>
                <c:pt idx="422">
                  <c:v>6/23/2021</c:v>
                </c:pt>
                <c:pt idx="423">
                  <c:v>6/24/2021</c:v>
                </c:pt>
                <c:pt idx="424">
                  <c:v>6/25/2021</c:v>
                </c:pt>
                <c:pt idx="425">
                  <c:v>6/28/2021</c:v>
                </c:pt>
                <c:pt idx="426">
                  <c:v>6/29/2021</c:v>
                </c:pt>
                <c:pt idx="427">
                  <c:v>6/30/2021</c:v>
                </c:pt>
                <c:pt idx="428">
                  <c:v>7/1/2021</c:v>
                </c:pt>
                <c:pt idx="429">
                  <c:v>7/2/2021</c:v>
                </c:pt>
                <c:pt idx="430">
                  <c:v>7/5/2021</c:v>
                </c:pt>
                <c:pt idx="431">
                  <c:v>7/6/2021</c:v>
                </c:pt>
                <c:pt idx="432">
                  <c:v>7/7/2021</c:v>
                </c:pt>
                <c:pt idx="433">
                  <c:v>7/8/2021</c:v>
                </c:pt>
                <c:pt idx="434">
                  <c:v>7/9/2021</c:v>
                </c:pt>
                <c:pt idx="435">
                  <c:v>7/12/2021</c:v>
                </c:pt>
                <c:pt idx="436">
                  <c:v>7/13/2021</c:v>
                </c:pt>
                <c:pt idx="437">
                  <c:v>7/14/2021</c:v>
                </c:pt>
                <c:pt idx="438">
                  <c:v>7/15/2021</c:v>
                </c:pt>
                <c:pt idx="439">
                  <c:v>7/16/2021</c:v>
                </c:pt>
                <c:pt idx="440">
                  <c:v>7/19/2021</c:v>
                </c:pt>
                <c:pt idx="441">
                  <c:v>7/20/2021</c:v>
                </c:pt>
                <c:pt idx="442">
                  <c:v>7/21/2021</c:v>
                </c:pt>
                <c:pt idx="443">
                  <c:v>7/22/2021</c:v>
                </c:pt>
                <c:pt idx="444">
                  <c:v>7/23/2021</c:v>
                </c:pt>
                <c:pt idx="445">
                  <c:v>7/26/2021</c:v>
                </c:pt>
                <c:pt idx="446">
                  <c:v>7/27/2021</c:v>
                </c:pt>
                <c:pt idx="447">
                  <c:v>7/28/2021</c:v>
                </c:pt>
                <c:pt idx="448">
                  <c:v>7/29/2021</c:v>
                </c:pt>
                <c:pt idx="449">
                  <c:v>7/30/2021</c:v>
                </c:pt>
                <c:pt idx="450">
                  <c:v>8/2/2021</c:v>
                </c:pt>
                <c:pt idx="451">
                  <c:v>8/3/2021</c:v>
                </c:pt>
                <c:pt idx="452">
                  <c:v>8/4/2021</c:v>
                </c:pt>
                <c:pt idx="453">
                  <c:v>8/5/2021</c:v>
                </c:pt>
                <c:pt idx="454">
                  <c:v>8/6/2021</c:v>
                </c:pt>
                <c:pt idx="455">
                  <c:v>8/9/2021</c:v>
                </c:pt>
                <c:pt idx="456">
                  <c:v>8/10/2021</c:v>
                </c:pt>
                <c:pt idx="457">
                  <c:v>8/11/2021</c:v>
                </c:pt>
                <c:pt idx="458">
                  <c:v>8/12/2021</c:v>
                </c:pt>
                <c:pt idx="459">
                  <c:v>8/13/2021</c:v>
                </c:pt>
                <c:pt idx="460">
                  <c:v>8/16/2021</c:v>
                </c:pt>
                <c:pt idx="461">
                  <c:v>8/17/2021</c:v>
                </c:pt>
                <c:pt idx="462">
                  <c:v>8/18/2021</c:v>
                </c:pt>
                <c:pt idx="463">
                  <c:v>8/19/2021</c:v>
                </c:pt>
                <c:pt idx="464">
                  <c:v>8/20/2021</c:v>
                </c:pt>
                <c:pt idx="465">
                  <c:v>8/23/2021</c:v>
                </c:pt>
                <c:pt idx="466">
                  <c:v>8/24/2021</c:v>
                </c:pt>
                <c:pt idx="467">
                  <c:v>8/25/2021</c:v>
                </c:pt>
                <c:pt idx="468">
                  <c:v>8/26/2021</c:v>
                </c:pt>
                <c:pt idx="469">
                  <c:v>8/27/2021</c:v>
                </c:pt>
                <c:pt idx="470">
                  <c:v>8/30/2021</c:v>
                </c:pt>
                <c:pt idx="471">
                  <c:v>8/31/2021</c:v>
                </c:pt>
                <c:pt idx="472">
                  <c:v>9/1/2021</c:v>
                </c:pt>
                <c:pt idx="473">
                  <c:v>9/2/2021</c:v>
                </c:pt>
                <c:pt idx="474">
                  <c:v>9/3/2021</c:v>
                </c:pt>
                <c:pt idx="475">
                  <c:v>9/6/2021</c:v>
                </c:pt>
                <c:pt idx="476">
                  <c:v>9/7/2021</c:v>
                </c:pt>
                <c:pt idx="477">
                  <c:v>9/8/2021</c:v>
                </c:pt>
                <c:pt idx="478">
                  <c:v>9/9/2021</c:v>
                </c:pt>
                <c:pt idx="479">
                  <c:v>9/10/2021</c:v>
                </c:pt>
                <c:pt idx="480">
                  <c:v>9/13/2021</c:v>
                </c:pt>
                <c:pt idx="481">
                  <c:v>9/14/2021</c:v>
                </c:pt>
                <c:pt idx="482">
                  <c:v>9/15/2021</c:v>
                </c:pt>
                <c:pt idx="483">
                  <c:v>9/16/2021</c:v>
                </c:pt>
                <c:pt idx="484">
                  <c:v>9/17/2021</c:v>
                </c:pt>
                <c:pt idx="485">
                  <c:v>9/20/2021</c:v>
                </c:pt>
                <c:pt idx="486">
                  <c:v>9/21/2021</c:v>
                </c:pt>
                <c:pt idx="487">
                  <c:v>9/22/2021</c:v>
                </c:pt>
                <c:pt idx="488">
                  <c:v>9/23/2021</c:v>
                </c:pt>
                <c:pt idx="489">
                  <c:v>9/24/2021</c:v>
                </c:pt>
                <c:pt idx="490">
                  <c:v>9/27/2021</c:v>
                </c:pt>
                <c:pt idx="491">
                  <c:v>9/28/2021</c:v>
                </c:pt>
                <c:pt idx="492">
                  <c:v>9/29/2021</c:v>
                </c:pt>
                <c:pt idx="493">
                  <c:v>9/30/2021</c:v>
                </c:pt>
                <c:pt idx="494">
                  <c:v>10/1/2021</c:v>
                </c:pt>
                <c:pt idx="495">
                  <c:v>10/4/2021</c:v>
                </c:pt>
                <c:pt idx="496">
                  <c:v>10/5/2021</c:v>
                </c:pt>
                <c:pt idx="497">
                  <c:v>10/6/2021</c:v>
                </c:pt>
                <c:pt idx="498">
                  <c:v>10/7/2021</c:v>
                </c:pt>
                <c:pt idx="499">
                  <c:v>10/8/2021</c:v>
                </c:pt>
                <c:pt idx="500">
                  <c:v>10/11/2021</c:v>
                </c:pt>
                <c:pt idx="501">
                  <c:v>10/12/2021</c:v>
                </c:pt>
                <c:pt idx="502">
                  <c:v>10/13/2021</c:v>
                </c:pt>
                <c:pt idx="503">
                  <c:v>10/14/2021</c:v>
                </c:pt>
                <c:pt idx="504">
                  <c:v>10/15/2021</c:v>
                </c:pt>
                <c:pt idx="505">
                  <c:v>10/18/2021</c:v>
                </c:pt>
                <c:pt idx="506">
                  <c:v>10/19/2021</c:v>
                </c:pt>
                <c:pt idx="507">
                  <c:v>10/20/2021</c:v>
                </c:pt>
                <c:pt idx="508">
                  <c:v>10/21/2021</c:v>
                </c:pt>
                <c:pt idx="509">
                  <c:v>10/22/2021</c:v>
                </c:pt>
                <c:pt idx="510">
                  <c:v>10/25/2021</c:v>
                </c:pt>
                <c:pt idx="511">
                  <c:v>10/26/2021</c:v>
                </c:pt>
                <c:pt idx="512">
                  <c:v>10/27/2021</c:v>
                </c:pt>
                <c:pt idx="513">
                  <c:v>10/28/2021</c:v>
                </c:pt>
                <c:pt idx="514">
                  <c:v>10/29/2021</c:v>
                </c:pt>
                <c:pt idx="515">
                  <c:v>11/1/2021</c:v>
                </c:pt>
                <c:pt idx="516">
                  <c:v>11/2/2021</c:v>
                </c:pt>
                <c:pt idx="517">
                  <c:v>11/3/2021</c:v>
                </c:pt>
                <c:pt idx="518">
                  <c:v>11/4/2021</c:v>
                </c:pt>
                <c:pt idx="519">
                  <c:v>11/5/2021</c:v>
                </c:pt>
                <c:pt idx="520">
                  <c:v>11/8/2021</c:v>
                </c:pt>
                <c:pt idx="521">
                  <c:v>11/9/2021</c:v>
                </c:pt>
                <c:pt idx="522">
                  <c:v>11/10/2021</c:v>
                </c:pt>
                <c:pt idx="523">
                  <c:v>11/11/2021</c:v>
                </c:pt>
                <c:pt idx="524">
                  <c:v>11/12/2021</c:v>
                </c:pt>
                <c:pt idx="525">
                  <c:v>11/15/2021</c:v>
                </c:pt>
                <c:pt idx="526">
                  <c:v>11/16/2021</c:v>
                </c:pt>
                <c:pt idx="527">
                  <c:v>11/17/2021</c:v>
                </c:pt>
                <c:pt idx="528">
                  <c:v>11/18/2021</c:v>
                </c:pt>
                <c:pt idx="529">
                  <c:v>11/19/2021</c:v>
                </c:pt>
                <c:pt idx="530">
                  <c:v>11/22/2021</c:v>
                </c:pt>
                <c:pt idx="531">
                  <c:v>11/23/2021</c:v>
                </c:pt>
                <c:pt idx="532">
                  <c:v>11/24/2021</c:v>
                </c:pt>
                <c:pt idx="533">
                  <c:v>11/25/2021</c:v>
                </c:pt>
                <c:pt idx="534">
                  <c:v>11/26/2021</c:v>
                </c:pt>
                <c:pt idx="535">
                  <c:v>11/29/2021</c:v>
                </c:pt>
                <c:pt idx="536">
                  <c:v>11/30/2021</c:v>
                </c:pt>
                <c:pt idx="537">
                  <c:v>12/1/2021</c:v>
                </c:pt>
                <c:pt idx="538">
                  <c:v>12/2/2021</c:v>
                </c:pt>
                <c:pt idx="539">
                  <c:v>12/3/2021</c:v>
                </c:pt>
                <c:pt idx="540">
                  <c:v>12/6/2021</c:v>
                </c:pt>
                <c:pt idx="541">
                  <c:v>12/7/2021</c:v>
                </c:pt>
                <c:pt idx="542">
                  <c:v>12/8/2021</c:v>
                </c:pt>
                <c:pt idx="543">
                  <c:v>12/9/2021</c:v>
                </c:pt>
                <c:pt idx="544">
                  <c:v>12/10/2021</c:v>
                </c:pt>
                <c:pt idx="545">
                  <c:v>12/13/2021</c:v>
                </c:pt>
                <c:pt idx="546">
                  <c:v>12/14/2021</c:v>
                </c:pt>
                <c:pt idx="547">
                  <c:v>12/15/2021</c:v>
                </c:pt>
                <c:pt idx="548">
                  <c:v>12/16/2021</c:v>
                </c:pt>
                <c:pt idx="549">
                  <c:v>12/17/2021</c:v>
                </c:pt>
                <c:pt idx="550">
                  <c:v>12/20/2021</c:v>
                </c:pt>
                <c:pt idx="551">
                  <c:v>12/21/2021</c:v>
                </c:pt>
                <c:pt idx="552">
                  <c:v>12/22/2021</c:v>
                </c:pt>
                <c:pt idx="553">
                  <c:v>12/23/2021</c:v>
                </c:pt>
                <c:pt idx="554">
                  <c:v>12/24/2021</c:v>
                </c:pt>
                <c:pt idx="555">
                  <c:v>12/27/2021</c:v>
                </c:pt>
                <c:pt idx="556">
                  <c:v>12/28/2021</c:v>
                </c:pt>
                <c:pt idx="557">
                  <c:v>12/29/2021</c:v>
                </c:pt>
                <c:pt idx="558">
                  <c:v>12/30/2021</c:v>
                </c:pt>
                <c:pt idx="559">
                  <c:v>12/31/2021</c:v>
                </c:pt>
                <c:pt idx="560">
                  <c:v>1/3/2022</c:v>
                </c:pt>
                <c:pt idx="561">
                  <c:v>1/4/2022</c:v>
                </c:pt>
                <c:pt idx="562">
                  <c:v>1/5/2022</c:v>
                </c:pt>
                <c:pt idx="563">
                  <c:v>1/6/2022</c:v>
                </c:pt>
                <c:pt idx="564">
                  <c:v>1/7/2022</c:v>
                </c:pt>
                <c:pt idx="565">
                  <c:v>1/10/2022</c:v>
                </c:pt>
                <c:pt idx="566">
                  <c:v>1/11/2022</c:v>
                </c:pt>
                <c:pt idx="567">
                  <c:v>1/12/2022</c:v>
                </c:pt>
                <c:pt idx="568">
                  <c:v>1/13/2022</c:v>
                </c:pt>
                <c:pt idx="569">
                  <c:v>1/14/2022</c:v>
                </c:pt>
                <c:pt idx="570">
                  <c:v>1/17/2022</c:v>
                </c:pt>
                <c:pt idx="571">
                  <c:v>1/18/2022</c:v>
                </c:pt>
                <c:pt idx="572">
                  <c:v>1/19/2022</c:v>
                </c:pt>
                <c:pt idx="573">
                  <c:v>1/20/2022</c:v>
                </c:pt>
                <c:pt idx="574">
                  <c:v>1/21/2022</c:v>
                </c:pt>
                <c:pt idx="575">
                  <c:v>1/24/2022</c:v>
                </c:pt>
                <c:pt idx="576">
                  <c:v>1/25/2022</c:v>
                </c:pt>
                <c:pt idx="577">
                  <c:v>1/26/2022</c:v>
                </c:pt>
                <c:pt idx="578">
                  <c:v>1/27/2022</c:v>
                </c:pt>
                <c:pt idx="579">
                  <c:v>1/28/2022</c:v>
                </c:pt>
                <c:pt idx="580">
                  <c:v>1/31/2022</c:v>
                </c:pt>
                <c:pt idx="581">
                  <c:v>2/1/2022</c:v>
                </c:pt>
                <c:pt idx="582">
                  <c:v>2/2/2022</c:v>
                </c:pt>
                <c:pt idx="583">
                  <c:v>2/3/2022</c:v>
                </c:pt>
                <c:pt idx="584">
                  <c:v>2/4/2022</c:v>
                </c:pt>
                <c:pt idx="585">
                  <c:v>2/7/2022</c:v>
                </c:pt>
                <c:pt idx="586">
                  <c:v>2/8/2022</c:v>
                </c:pt>
                <c:pt idx="587">
                  <c:v>2/9/2022</c:v>
                </c:pt>
                <c:pt idx="588">
                  <c:v>2/10/2022</c:v>
                </c:pt>
                <c:pt idx="589">
                  <c:v>2/11/2022</c:v>
                </c:pt>
                <c:pt idx="590">
                  <c:v>2/14/2022</c:v>
                </c:pt>
                <c:pt idx="591">
                  <c:v>2/15/2022</c:v>
                </c:pt>
                <c:pt idx="592">
                  <c:v>2/16/2022</c:v>
                </c:pt>
                <c:pt idx="593">
                  <c:v>2/17/2022</c:v>
                </c:pt>
                <c:pt idx="594">
                  <c:v>2/18/2022</c:v>
                </c:pt>
                <c:pt idx="595">
                  <c:v>2/21/2022</c:v>
                </c:pt>
                <c:pt idx="596">
                  <c:v>2/22/2022</c:v>
                </c:pt>
                <c:pt idx="597">
                  <c:v>2/23/2022</c:v>
                </c:pt>
                <c:pt idx="598">
                  <c:v>2/24/2022</c:v>
                </c:pt>
                <c:pt idx="599">
                  <c:v>2/25/2022</c:v>
                </c:pt>
                <c:pt idx="600">
                  <c:v>2/28/2022</c:v>
                </c:pt>
                <c:pt idx="601">
                  <c:v>3/1/2022</c:v>
                </c:pt>
                <c:pt idx="602">
                  <c:v>3/2/2022</c:v>
                </c:pt>
                <c:pt idx="603">
                  <c:v>3/3/2022</c:v>
                </c:pt>
                <c:pt idx="604">
                  <c:v>3/4/2022</c:v>
                </c:pt>
                <c:pt idx="605">
                  <c:v>3/7/2022</c:v>
                </c:pt>
                <c:pt idx="606">
                  <c:v>3/8/2022</c:v>
                </c:pt>
                <c:pt idx="607">
                  <c:v>3/9/2022</c:v>
                </c:pt>
                <c:pt idx="608">
                  <c:v>3/10/2022</c:v>
                </c:pt>
                <c:pt idx="609">
                  <c:v>3/11/2022</c:v>
                </c:pt>
                <c:pt idx="610">
                  <c:v>3/14/2022</c:v>
                </c:pt>
                <c:pt idx="611">
                  <c:v>3/15/2022</c:v>
                </c:pt>
                <c:pt idx="612">
                  <c:v>3/16/2022</c:v>
                </c:pt>
                <c:pt idx="613">
                  <c:v>3/17/2022</c:v>
                </c:pt>
                <c:pt idx="614">
                  <c:v>3/18/2022</c:v>
                </c:pt>
                <c:pt idx="615">
                  <c:v>3/21/2022</c:v>
                </c:pt>
                <c:pt idx="616">
                  <c:v>3/22/2022</c:v>
                </c:pt>
                <c:pt idx="617">
                  <c:v>3/23/2022</c:v>
                </c:pt>
                <c:pt idx="618">
                  <c:v>3/24/2022</c:v>
                </c:pt>
                <c:pt idx="619">
                  <c:v>3/25/2022</c:v>
                </c:pt>
                <c:pt idx="620">
                  <c:v>3/28/2022</c:v>
                </c:pt>
                <c:pt idx="621">
                  <c:v>3/29/2022</c:v>
                </c:pt>
                <c:pt idx="622">
                  <c:v>3/30/2022</c:v>
                </c:pt>
                <c:pt idx="623">
                  <c:v>3/31/2022</c:v>
                </c:pt>
                <c:pt idx="624">
                  <c:v>4/1/2022</c:v>
                </c:pt>
                <c:pt idx="625">
                  <c:v>4/4/2022</c:v>
                </c:pt>
                <c:pt idx="626">
                  <c:v>4/5/2022</c:v>
                </c:pt>
                <c:pt idx="627">
                  <c:v>4/6/2022</c:v>
                </c:pt>
                <c:pt idx="628">
                  <c:v>4/7/2022</c:v>
                </c:pt>
                <c:pt idx="629">
                  <c:v>4/8/2022</c:v>
                </c:pt>
                <c:pt idx="630">
                  <c:v>4/11/2022</c:v>
                </c:pt>
                <c:pt idx="631">
                  <c:v>4/12/2022</c:v>
                </c:pt>
                <c:pt idx="632">
                  <c:v>4/13/2022</c:v>
                </c:pt>
                <c:pt idx="633">
                  <c:v>4/14/2022</c:v>
                </c:pt>
                <c:pt idx="634">
                  <c:v>4/18/2022</c:v>
                </c:pt>
                <c:pt idx="635">
                  <c:v>4/19/2022</c:v>
                </c:pt>
                <c:pt idx="636">
                  <c:v>4/20/2022</c:v>
                </c:pt>
                <c:pt idx="637">
                  <c:v>4/21/2022</c:v>
                </c:pt>
                <c:pt idx="638">
                  <c:v>4/22/2022</c:v>
                </c:pt>
                <c:pt idx="639">
                  <c:v>4/25/2022</c:v>
                </c:pt>
                <c:pt idx="640">
                  <c:v>4/26/2022</c:v>
                </c:pt>
                <c:pt idx="641">
                  <c:v>4/27/2022</c:v>
                </c:pt>
                <c:pt idx="642">
                  <c:v>4/28/2022</c:v>
                </c:pt>
                <c:pt idx="643">
                  <c:v>4/29/2022</c:v>
                </c:pt>
                <c:pt idx="644">
                  <c:v>5/2/2022</c:v>
                </c:pt>
                <c:pt idx="645">
                  <c:v>5/3/2022</c:v>
                </c:pt>
                <c:pt idx="646">
                  <c:v>5/4/2022</c:v>
                </c:pt>
                <c:pt idx="647">
                  <c:v>5/5/2022</c:v>
                </c:pt>
                <c:pt idx="648">
                  <c:v>5/6/2022</c:v>
                </c:pt>
                <c:pt idx="649">
                  <c:v>5/9/2022</c:v>
                </c:pt>
                <c:pt idx="650">
                  <c:v>5/10/2022</c:v>
                </c:pt>
                <c:pt idx="651">
                  <c:v>5/11/2022</c:v>
                </c:pt>
                <c:pt idx="652">
                  <c:v>5/12/2022</c:v>
                </c:pt>
                <c:pt idx="653">
                  <c:v>5/13/2022</c:v>
                </c:pt>
                <c:pt idx="654">
                  <c:v>5/16/2022</c:v>
                </c:pt>
                <c:pt idx="655">
                  <c:v>5/17/2022</c:v>
                </c:pt>
                <c:pt idx="656">
                  <c:v>5/18/2022</c:v>
                </c:pt>
                <c:pt idx="657">
                  <c:v>5/19/2022</c:v>
                </c:pt>
                <c:pt idx="658">
                  <c:v>5/20/2022</c:v>
                </c:pt>
                <c:pt idx="659">
                  <c:v>5/23/2022</c:v>
                </c:pt>
                <c:pt idx="660">
                  <c:v>5/24/2022</c:v>
                </c:pt>
                <c:pt idx="661">
                  <c:v>5/25/2022</c:v>
                </c:pt>
                <c:pt idx="662">
                  <c:v>5/26/2022</c:v>
                </c:pt>
                <c:pt idx="663">
                  <c:v>5/27/2022</c:v>
                </c:pt>
                <c:pt idx="664">
                  <c:v>5/30/2022</c:v>
                </c:pt>
                <c:pt idx="665">
                  <c:v>5/31/2022</c:v>
                </c:pt>
                <c:pt idx="666">
                  <c:v>6/1/2022</c:v>
                </c:pt>
                <c:pt idx="667">
                  <c:v>6/2/2022</c:v>
                </c:pt>
                <c:pt idx="668">
                  <c:v>6/3/2022</c:v>
                </c:pt>
                <c:pt idx="669">
                  <c:v>6/6/2022</c:v>
                </c:pt>
                <c:pt idx="670">
                  <c:v>6/7/2022</c:v>
                </c:pt>
                <c:pt idx="671">
                  <c:v>6/8/2022</c:v>
                </c:pt>
                <c:pt idx="672">
                  <c:v>6/9/2022</c:v>
                </c:pt>
                <c:pt idx="673">
                  <c:v>6/10/2022</c:v>
                </c:pt>
                <c:pt idx="674">
                  <c:v>6/13/2022</c:v>
                </c:pt>
                <c:pt idx="675">
                  <c:v>6/14/2022</c:v>
                </c:pt>
                <c:pt idx="676">
                  <c:v>6/15/2022</c:v>
                </c:pt>
                <c:pt idx="677">
                  <c:v>6/16/2022</c:v>
                </c:pt>
                <c:pt idx="678">
                  <c:v>6/17/2022</c:v>
                </c:pt>
                <c:pt idx="679">
                  <c:v>6/21/2022</c:v>
                </c:pt>
                <c:pt idx="680">
                  <c:v>6/22/2022</c:v>
                </c:pt>
                <c:pt idx="681">
                  <c:v>6/23/2022</c:v>
                </c:pt>
                <c:pt idx="682">
                  <c:v>6/24/2022</c:v>
                </c:pt>
                <c:pt idx="683">
                  <c:v>6/27/2022</c:v>
                </c:pt>
              </c:strCache>
            </c:strRef>
          </c:cat>
          <c:val>
            <c:numRef>
              <c:f>CrudeOilNput!$C$2:$C$685</c:f>
              <c:numCache>
                <c:formatCode>"$"#,##0.00</c:formatCode>
                <c:ptCount val="684"/>
                <c:pt idx="0">
                  <c:v>60.52</c:v>
                </c:pt>
                <c:pt idx="1">
                  <c:v>60.19</c:v>
                </c:pt>
                <c:pt idx="2">
                  <c:v>62</c:v>
                </c:pt>
                <c:pt idx="3">
                  <c:v>62.57</c:v>
                </c:pt>
                <c:pt idx="4">
                  <c:v>62.39</c:v>
                </c:pt>
                <c:pt idx="5">
                  <c:v>62.32</c:v>
                </c:pt>
                <c:pt idx="6">
                  <c:v>61.98</c:v>
                </c:pt>
                <c:pt idx="7">
                  <c:v>62.26</c:v>
                </c:pt>
                <c:pt idx="8">
                  <c:v>62.82</c:v>
                </c:pt>
                <c:pt idx="9">
                  <c:v>62.48</c:v>
                </c:pt>
                <c:pt idx="10">
                  <c:v>63</c:v>
                </c:pt>
                <c:pt idx="11">
                  <c:v>63.12</c:v>
                </c:pt>
                <c:pt idx="12">
                  <c:v>63.44</c:v>
                </c:pt>
                <c:pt idx="13">
                  <c:v>62.51</c:v>
                </c:pt>
                <c:pt idx="14">
                  <c:v>62.22</c:v>
                </c:pt>
                <c:pt idx="15">
                  <c:v>63.68</c:v>
                </c:pt>
                <c:pt idx="16">
                  <c:v>64.56</c:v>
                </c:pt>
                <c:pt idx="17">
                  <c:v>64.209999999999994</c:v>
                </c:pt>
                <c:pt idx="18">
                  <c:v>63.92</c:v>
                </c:pt>
                <c:pt idx="19">
                  <c:v>64.400000000000006</c:v>
                </c:pt>
                <c:pt idx="20">
                  <c:v>63.94</c:v>
                </c:pt>
                <c:pt idx="21">
                  <c:v>63.83</c:v>
                </c:pt>
                <c:pt idx="22">
                  <c:v>62.5</c:v>
                </c:pt>
                <c:pt idx="23">
                  <c:v>62.57</c:v>
                </c:pt>
                <c:pt idx="24">
                  <c:v>63.39</c:v>
                </c:pt>
                <c:pt idx="25">
                  <c:v>64.81</c:v>
                </c:pt>
                <c:pt idx="26">
                  <c:v>65.239999999999995</c:v>
                </c:pt>
                <c:pt idx="27">
                  <c:v>65.569999999999993</c:v>
                </c:pt>
                <c:pt idx="28">
                  <c:v>65.66</c:v>
                </c:pt>
                <c:pt idx="29">
                  <c:v>65.38</c:v>
                </c:pt>
                <c:pt idx="30">
                  <c:v>65.81</c:v>
                </c:pt>
                <c:pt idx="31">
                  <c:v>66.760000000000005</c:v>
                </c:pt>
                <c:pt idx="32">
                  <c:v>67.22</c:v>
                </c:pt>
                <c:pt idx="33">
                  <c:v>67.48</c:v>
                </c:pt>
                <c:pt idx="34">
                  <c:v>67.77</c:v>
                </c:pt>
                <c:pt idx="35">
                  <c:v>67.930000000000007</c:v>
                </c:pt>
                <c:pt idx="36">
                  <c:v>68</c:v>
                </c:pt>
                <c:pt idx="37">
                  <c:v>67.58</c:v>
                </c:pt>
                <c:pt idx="38">
                  <c:v>67.989999999999995</c:v>
                </c:pt>
                <c:pt idx="39">
                  <c:v>68.48</c:v>
                </c:pt>
                <c:pt idx="40">
                  <c:v>69.069999999999993</c:v>
                </c:pt>
                <c:pt idx="41">
                  <c:v>68.89</c:v>
                </c:pt>
                <c:pt idx="42">
                  <c:v>67.959999999999994</c:v>
                </c:pt>
                <c:pt idx="43">
                  <c:v>67.12</c:v>
                </c:pt>
                <c:pt idx="44">
                  <c:v>69.38</c:v>
                </c:pt>
                <c:pt idx="45">
                  <c:v>70.87</c:v>
                </c:pt>
                <c:pt idx="46">
                  <c:v>69.599999999999994</c:v>
                </c:pt>
                <c:pt idx="47">
                  <c:v>69.58</c:v>
                </c:pt>
                <c:pt idx="48">
                  <c:v>67.239999999999995</c:v>
                </c:pt>
                <c:pt idx="49">
                  <c:v>67.02</c:v>
                </c:pt>
                <c:pt idx="50">
                  <c:v>66.069999999999993</c:v>
                </c:pt>
                <c:pt idx="51">
                  <c:v>65.63</c:v>
                </c:pt>
                <c:pt idx="52">
                  <c:v>65.319999999999993</c:v>
                </c:pt>
                <c:pt idx="53">
                  <c:v>65.62</c:v>
                </c:pt>
                <c:pt idx="54">
                  <c:v>65.58</c:v>
                </c:pt>
                <c:pt idx="55">
                  <c:v>66.11</c:v>
                </c:pt>
                <c:pt idx="56">
                  <c:v>65.260000000000005</c:v>
                </c:pt>
                <c:pt idx="57">
                  <c:v>64.66</c:v>
                </c:pt>
                <c:pt idx="58">
                  <c:v>63.26</c:v>
                </c:pt>
                <c:pt idx="59">
                  <c:v>62.52</c:v>
                </c:pt>
                <c:pt idx="60">
                  <c:v>61.98</c:v>
                </c:pt>
                <c:pt idx="61">
                  <c:v>60.67</c:v>
                </c:pt>
                <c:pt idx="62">
                  <c:v>61.04</c:v>
                </c:pt>
                <c:pt idx="63">
                  <c:v>58.8</c:v>
                </c:pt>
                <c:pt idx="64">
                  <c:v>58.94</c:v>
                </c:pt>
                <c:pt idx="65">
                  <c:v>55.53</c:v>
                </c:pt>
                <c:pt idx="66">
                  <c:v>54.68</c:v>
                </c:pt>
                <c:pt idx="67">
                  <c:v>55.01</c:v>
                </c:pt>
                <c:pt idx="68">
                  <c:v>55.74</c:v>
                </c:pt>
                <c:pt idx="69">
                  <c:v>55.13</c:v>
                </c:pt>
                <c:pt idx="70">
                  <c:v>54.21</c:v>
                </c:pt>
                <c:pt idx="71">
                  <c:v>54.2</c:v>
                </c:pt>
                <c:pt idx="72">
                  <c:v>55.59</c:v>
                </c:pt>
                <c:pt idx="73">
                  <c:v>55.9</c:v>
                </c:pt>
                <c:pt idx="74">
                  <c:v>56.77</c:v>
                </c:pt>
                <c:pt idx="75">
                  <c:v>57.28</c:v>
                </c:pt>
                <c:pt idx="76">
                  <c:v>56.72</c:v>
                </c:pt>
                <c:pt idx="77">
                  <c:v>58.39</c:v>
                </c:pt>
                <c:pt idx="78">
                  <c:v>58.98</c:v>
                </c:pt>
                <c:pt idx="79">
                  <c:v>58.21</c:v>
                </c:pt>
                <c:pt idx="80">
                  <c:v>56.14</c:v>
                </c:pt>
                <c:pt idx="81">
                  <c:v>55.91</c:v>
                </c:pt>
                <c:pt idx="82">
                  <c:v>54.04</c:v>
                </c:pt>
                <c:pt idx="83">
                  <c:v>51.92</c:v>
                </c:pt>
                <c:pt idx="84">
                  <c:v>50.19</c:v>
                </c:pt>
                <c:pt idx="85">
                  <c:v>51.68</c:v>
                </c:pt>
                <c:pt idx="86">
                  <c:v>52.66</c:v>
                </c:pt>
                <c:pt idx="87">
                  <c:v>52.01</c:v>
                </c:pt>
                <c:pt idx="88">
                  <c:v>51.75</c:v>
                </c:pt>
                <c:pt idx="89">
                  <c:v>48.35</c:v>
                </c:pt>
                <c:pt idx="90">
                  <c:v>34.72</c:v>
                </c:pt>
                <c:pt idx="91">
                  <c:v>35.729999999999997</c:v>
                </c:pt>
                <c:pt idx="92">
                  <c:v>35.56</c:v>
                </c:pt>
                <c:pt idx="93">
                  <c:v>33.270000000000003</c:v>
                </c:pt>
                <c:pt idx="94">
                  <c:v>34.14</c:v>
                </c:pt>
                <c:pt idx="95">
                  <c:v>30.63</c:v>
                </c:pt>
                <c:pt idx="96">
                  <c:v>30.36</c:v>
                </c:pt>
                <c:pt idx="97">
                  <c:v>27.31</c:v>
                </c:pt>
                <c:pt idx="98">
                  <c:v>26.73</c:v>
                </c:pt>
                <c:pt idx="99">
                  <c:v>28.57</c:v>
                </c:pt>
                <c:pt idx="100">
                  <c:v>24.72</c:v>
                </c:pt>
                <c:pt idx="101">
                  <c:v>26.53</c:v>
                </c:pt>
                <c:pt idx="102">
                  <c:v>26.94</c:v>
                </c:pt>
                <c:pt idx="103">
                  <c:v>26.04</c:v>
                </c:pt>
                <c:pt idx="104">
                  <c:v>24.26</c:v>
                </c:pt>
                <c:pt idx="105">
                  <c:v>21.66</c:v>
                </c:pt>
                <c:pt idx="106">
                  <c:v>22.61</c:v>
                </c:pt>
                <c:pt idx="107">
                  <c:v>16.850000000000001</c:v>
                </c:pt>
                <c:pt idx="108">
                  <c:v>18.91</c:v>
                </c:pt>
                <c:pt idx="109">
                  <c:v>23.01</c:v>
                </c:pt>
                <c:pt idx="110">
                  <c:v>23.48</c:v>
                </c:pt>
                <c:pt idx="111">
                  <c:v>22.67</c:v>
                </c:pt>
                <c:pt idx="112">
                  <c:v>21.19</c:v>
                </c:pt>
                <c:pt idx="113">
                  <c:v>21.77</c:v>
                </c:pt>
                <c:pt idx="114">
                  <c:v>21.18</c:v>
                </c:pt>
                <c:pt idx="115">
                  <c:v>19.7</c:v>
                </c:pt>
                <c:pt idx="116">
                  <c:v>17.510000000000002</c:v>
                </c:pt>
                <c:pt idx="117">
                  <c:v>17.73</c:v>
                </c:pt>
                <c:pt idx="118">
                  <c:v>18.170000000000002</c:v>
                </c:pt>
                <c:pt idx="119">
                  <c:v>14.19</c:v>
                </c:pt>
                <c:pt idx="120">
                  <c:v>14.63</c:v>
                </c:pt>
                <c:pt idx="121">
                  <c:v>12.22</c:v>
                </c:pt>
                <c:pt idx="122">
                  <c:v>15.23</c:v>
                </c:pt>
                <c:pt idx="123">
                  <c:v>14.31</c:v>
                </c:pt>
                <c:pt idx="124">
                  <c:v>13.3</c:v>
                </c:pt>
                <c:pt idx="125">
                  <c:v>12.41</c:v>
                </c:pt>
                <c:pt idx="126">
                  <c:v>14.36</c:v>
                </c:pt>
                <c:pt idx="127">
                  <c:v>18.05</c:v>
                </c:pt>
                <c:pt idx="128">
                  <c:v>16.52</c:v>
                </c:pt>
                <c:pt idx="129">
                  <c:v>18.36</c:v>
                </c:pt>
                <c:pt idx="130">
                  <c:v>21.43</c:v>
                </c:pt>
                <c:pt idx="131">
                  <c:v>22.4</c:v>
                </c:pt>
                <c:pt idx="132">
                  <c:v>22.91</c:v>
                </c:pt>
                <c:pt idx="133">
                  <c:v>22.21</c:v>
                </c:pt>
                <c:pt idx="134">
                  <c:v>22.71</c:v>
                </c:pt>
                <c:pt idx="135">
                  <c:v>22.83</c:v>
                </c:pt>
                <c:pt idx="136">
                  <c:v>23.25</c:v>
                </c:pt>
                <c:pt idx="137">
                  <c:v>24.93</c:v>
                </c:pt>
                <c:pt idx="138">
                  <c:v>26.54</c:v>
                </c:pt>
                <c:pt idx="139">
                  <c:v>28.21</c:v>
                </c:pt>
                <c:pt idx="140">
                  <c:v>28.43</c:v>
                </c:pt>
                <c:pt idx="141">
                  <c:v>28.68</c:v>
                </c:pt>
                <c:pt idx="142">
                  <c:v>29.7</c:v>
                </c:pt>
                <c:pt idx="143">
                  <c:v>28.06</c:v>
                </c:pt>
                <c:pt idx="144">
                  <c:v>29.75</c:v>
                </c:pt>
                <c:pt idx="145">
                  <c:v>29.03</c:v>
                </c:pt>
                <c:pt idx="146">
                  <c:v>28.45</c:v>
                </c:pt>
                <c:pt idx="147">
                  <c:v>29.01</c:v>
                </c:pt>
                <c:pt idx="148">
                  <c:v>33.69</c:v>
                </c:pt>
                <c:pt idx="149">
                  <c:v>34.96</c:v>
                </c:pt>
                <c:pt idx="150">
                  <c:v>35.47</c:v>
                </c:pt>
                <c:pt idx="151">
                  <c:v>34.85</c:v>
                </c:pt>
                <c:pt idx="152">
                  <c:v>36.840000000000003</c:v>
                </c:pt>
                <c:pt idx="153">
                  <c:v>38.89</c:v>
                </c:pt>
                <c:pt idx="154">
                  <c:v>37.1</c:v>
                </c:pt>
                <c:pt idx="155">
                  <c:v>37.46</c:v>
                </c:pt>
                <c:pt idx="156">
                  <c:v>36.56</c:v>
                </c:pt>
                <c:pt idx="157">
                  <c:v>35.06</c:v>
                </c:pt>
                <c:pt idx="158">
                  <c:v>35.090000000000003</c:v>
                </c:pt>
                <c:pt idx="159">
                  <c:v>36.75</c:v>
                </c:pt>
                <c:pt idx="160">
                  <c:v>37.590000000000003</c:v>
                </c:pt>
                <c:pt idx="161">
                  <c:v>37.700000000000003</c:v>
                </c:pt>
                <c:pt idx="162">
                  <c:v>39.450000000000003</c:v>
                </c:pt>
                <c:pt idx="163">
                  <c:v>38.96</c:v>
                </c:pt>
                <c:pt idx="164">
                  <c:v>39.85</c:v>
                </c:pt>
                <c:pt idx="165">
                  <c:v>38.17</c:v>
                </c:pt>
                <c:pt idx="166">
                  <c:v>37.18</c:v>
                </c:pt>
                <c:pt idx="167">
                  <c:v>37.99</c:v>
                </c:pt>
                <c:pt idx="168">
                  <c:v>37.340000000000003</c:v>
                </c:pt>
                <c:pt idx="169">
                  <c:v>38.22</c:v>
                </c:pt>
                <c:pt idx="170">
                  <c:v>42.69</c:v>
                </c:pt>
                <c:pt idx="171">
                  <c:v>42.93</c:v>
                </c:pt>
                <c:pt idx="172">
                  <c:v>42.96</c:v>
                </c:pt>
                <c:pt idx="173">
                  <c:v>43.57</c:v>
                </c:pt>
                <c:pt idx="174">
                  <c:v>43.15</c:v>
                </c:pt>
                <c:pt idx="175">
                  <c:v>43.44</c:v>
                </c:pt>
                <c:pt idx="176">
                  <c:v>43.31</c:v>
                </c:pt>
                <c:pt idx="177">
                  <c:v>43.47</c:v>
                </c:pt>
                <c:pt idx="178">
                  <c:v>43.38</c:v>
                </c:pt>
                <c:pt idx="179">
                  <c:v>43.02</c:v>
                </c:pt>
                <c:pt idx="180">
                  <c:v>44.12</c:v>
                </c:pt>
                <c:pt idx="181">
                  <c:v>43.8</c:v>
                </c:pt>
                <c:pt idx="182">
                  <c:v>43.22</c:v>
                </c:pt>
                <c:pt idx="183">
                  <c:v>43.03</c:v>
                </c:pt>
                <c:pt idx="184">
                  <c:v>44.29</c:v>
                </c:pt>
                <c:pt idx="185">
                  <c:v>44.24</c:v>
                </c:pt>
                <c:pt idx="186">
                  <c:v>44.62</c:v>
                </c:pt>
                <c:pt idx="187">
                  <c:v>43.38</c:v>
                </c:pt>
                <c:pt idx="188">
                  <c:v>43.14</c:v>
                </c:pt>
                <c:pt idx="189">
                  <c:v>43.4</c:v>
                </c:pt>
                <c:pt idx="190">
                  <c:v>43.59</c:v>
                </c:pt>
                <c:pt idx="191">
                  <c:v>42.99</c:v>
                </c:pt>
                <c:pt idx="192">
                  <c:v>43.02</c:v>
                </c:pt>
                <c:pt idx="193">
                  <c:v>44.02</c:v>
                </c:pt>
                <c:pt idx="194">
                  <c:v>44.27</c:v>
                </c:pt>
                <c:pt idx="195">
                  <c:v>45.34</c:v>
                </c:pt>
                <c:pt idx="196">
                  <c:v>45.17</c:v>
                </c:pt>
                <c:pt idx="197">
                  <c:v>44.87</c:v>
                </c:pt>
                <c:pt idx="198">
                  <c:v>45.01</c:v>
                </c:pt>
                <c:pt idx="199">
                  <c:v>45.21</c:v>
                </c:pt>
                <c:pt idx="200">
                  <c:v>45.08</c:v>
                </c:pt>
                <c:pt idx="201">
                  <c:v>45.34</c:v>
                </c:pt>
                <c:pt idx="202">
                  <c:v>44.62</c:v>
                </c:pt>
                <c:pt idx="203">
                  <c:v>44.94</c:v>
                </c:pt>
                <c:pt idx="204">
                  <c:v>45.49</c:v>
                </c:pt>
                <c:pt idx="205">
                  <c:v>45.19</c:v>
                </c:pt>
                <c:pt idx="206">
                  <c:v>45.05</c:v>
                </c:pt>
                <c:pt idx="207">
                  <c:v>44.92</c:v>
                </c:pt>
                <c:pt idx="208">
                  <c:v>45.19</c:v>
                </c:pt>
                <c:pt idx="209">
                  <c:v>45.87</c:v>
                </c:pt>
                <c:pt idx="210">
                  <c:v>46.05</c:v>
                </c:pt>
                <c:pt idx="211">
                  <c:v>45.81</c:v>
                </c:pt>
                <c:pt idx="212">
                  <c:v>45.33</c:v>
                </c:pt>
                <c:pt idx="213">
                  <c:v>46.27</c:v>
                </c:pt>
                <c:pt idx="214">
                  <c:v>45.3</c:v>
                </c:pt>
                <c:pt idx="215">
                  <c:v>45.02</c:v>
                </c:pt>
                <c:pt idx="216">
                  <c:v>43.36</c:v>
                </c:pt>
                <c:pt idx="217">
                  <c:v>43.42</c:v>
                </c:pt>
                <c:pt idx="218">
                  <c:v>41.64</c:v>
                </c:pt>
                <c:pt idx="219">
                  <c:v>40.29</c:v>
                </c:pt>
                <c:pt idx="220">
                  <c:v>39.82</c:v>
                </c:pt>
                <c:pt idx="221">
                  <c:v>39.83</c:v>
                </c:pt>
                <c:pt idx="222">
                  <c:v>39.369999999999997</c:v>
                </c:pt>
                <c:pt idx="223">
                  <c:v>38.96</c:v>
                </c:pt>
                <c:pt idx="224">
                  <c:v>39.35</c:v>
                </c:pt>
                <c:pt idx="225">
                  <c:v>41.29</c:v>
                </c:pt>
                <c:pt idx="226">
                  <c:v>42.07</c:v>
                </c:pt>
                <c:pt idx="227">
                  <c:v>42.98</c:v>
                </c:pt>
                <c:pt idx="228">
                  <c:v>41.49</c:v>
                </c:pt>
                <c:pt idx="229">
                  <c:v>41.32</c:v>
                </c:pt>
                <c:pt idx="230">
                  <c:v>41.4</c:v>
                </c:pt>
                <c:pt idx="231">
                  <c:v>41.22</c:v>
                </c:pt>
                <c:pt idx="232">
                  <c:v>41.93</c:v>
                </c:pt>
                <c:pt idx="233">
                  <c:v>41.61</c:v>
                </c:pt>
                <c:pt idx="234">
                  <c:v>41.46</c:v>
                </c:pt>
                <c:pt idx="235">
                  <c:v>40.65</c:v>
                </c:pt>
                <c:pt idx="236">
                  <c:v>39.94</c:v>
                </c:pt>
                <c:pt idx="237">
                  <c:v>38.090000000000003</c:v>
                </c:pt>
                <c:pt idx="238">
                  <c:v>39.07</c:v>
                </c:pt>
                <c:pt idx="239">
                  <c:v>40.33</c:v>
                </c:pt>
                <c:pt idx="240">
                  <c:v>40.450000000000003</c:v>
                </c:pt>
                <c:pt idx="241">
                  <c:v>41.06</c:v>
                </c:pt>
                <c:pt idx="242">
                  <c:v>41.61</c:v>
                </c:pt>
                <c:pt idx="243">
                  <c:v>40.57</c:v>
                </c:pt>
                <c:pt idx="244">
                  <c:v>40.68</c:v>
                </c:pt>
                <c:pt idx="245">
                  <c:v>41.2</c:v>
                </c:pt>
                <c:pt idx="246">
                  <c:v>41.29</c:v>
                </c:pt>
                <c:pt idx="247">
                  <c:v>41.37</c:v>
                </c:pt>
                <c:pt idx="248">
                  <c:v>41.38</c:v>
                </c:pt>
                <c:pt idx="249">
                  <c:v>41.04</c:v>
                </c:pt>
                <c:pt idx="250">
                  <c:v>40.880000000000003</c:v>
                </c:pt>
                <c:pt idx="251">
                  <c:v>40.909999999999997</c:v>
                </c:pt>
                <c:pt idx="252">
                  <c:v>41.05</c:v>
                </c:pt>
                <c:pt idx="253">
                  <c:v>39.22</c:v>
                </c:pt>
                <c:pt idx="254">
                  <c:v>39.53</c:v>
                </c:pt>
                <c:pt idx="255">
                  <c:v>38.42</c:v>
                </c:pt>
                <c:pt idx="256">
                  <c:v>37.119999999999997</c:v>
                </c:pt>
                <c:pt idx="257">
                  <c:v>36.5</c:v>
                </c:pt>
                <c:pt idx="258">
                  <c:v>35.89</c:v>
                </c:pt>
                <c:pt idx="259">
                  <c:v>38.44</c:v>
                </c:pt>
                <c:pt idx="260">
                  <c:v>39.090000000000003</c:v>
                </c:pt>
                <c:pt idx="261">
                  <c:v>39.79</c:v>
                </c:pt>
                <c:pt idx="262">
                  <c:v>39.22</c:v>
                </c:pt>
                <c:pt idx="263">
                  <c:v>39.97</c:v>
                </c:pt>
                <c:pt idx="264">
                  <c:v>41.72</c:v>
                </c:pt>
                <c:pt idx="265">
                  <c:v>43.42</c:v>
                </c:pt>
                <c:pt idx="266">
                  <c:v>42.97</c:v>
                </c:pt>
                <c:pt idx="267">
                  <c:v>42.05</c:v>
                </c:pt>
                <c:pt idx="268">
                  <c:v>42.93</c:v>
                </c:pt>
                <c:pt idx="269">
                  <c:v>42.76</c:v>
                </c:pt>
                <c:pt idx="270">
                  <c:v>43.05</c:v>
                </c:pt>
                <c:pt idx="271">
                  <c:v>43.12</c:v>
                </c:pt>
                <c:pt idx="272">
                  <c:v>43.38</c:v>
                </c:pt>
                <c:pt idx="273">
                  <c:v>44.75</c:v>
                </c:pt>
                <c:pt idx="274">
                  <c:v>45.51</c:v>
                </c:pt>
                <c:pt idx="275">
                  <c:v>46.91</c:v>
                </c:pt>
                <c:pt idx="276">
                  <c:v>46.66</c:v>
                </c:pt>
                <c:pt idx="277">
                  <c:v>46.79</c:v>
                </c:pt>
                <c:pt idx="278">
                  <c:v>46.43</c:v>
                </c:pt>
                <c:pt idx="279">
                  <c:v>46.73</c:v>
                </c:pt>
                <c:pt idx="280">
                  <c:v>46.69</c:v>
                </c:pt>
                <c:pt idx="281">
                  <c:v>47.46</c:v>
                </c:pt>
                <c:pt idx="282">
                  <c:v>48.35</c:v>
                </c:pt>
                <c:pt idx="283">
                  <c:v>47.77</c:v>
                </c:pt>
                <c:pt idx="284">
                  <c:v>47.79</c:v>
                </c:pt>
                <c:pt idx="285">
                  <c:v>48.31</c:v>
                </c:pt>
                <c:pt idx="286">
                  <c:v>48.87</c:v>
                </c:pt>
                <c:pt idx="287">
                  <c:v>49.58</c:v>
                </c:pt>
                <c:pt idx="288">
                  <c:v>49.65</c:v>
                </c:pt>
                <c:pt idx="289">
                  <c:v>49.61</c:v>
                </c:pt>
                <c:pt idx="290">
                  <c:v>50.12</c:v>
                </c:pt>
                <c:pt idx="291">
                  <c:v>50.78</c:v>
                </c:pt>
                <c:pt idx="292">
                  <c:v>50.69</c:v>
                </c:pt>
                <c:pt idx="293">
                  <c:v>49.57</c:v>
                </c:pt>
                <c:pt idx="294">
                  <c:v>49.22</c:v>
                </c:pt>
                <c:pt idx="295">
                  <c:v>49.46</c:v>
                </c:pt>
                <c:pt idx="296">
                  <c:v>50.31</c:v>
                </c:pt>
                <c:pt idx="297">
                  <c:v>50.1</c:v>
                </c:pt>
                <c:pt idx="298">
                  <c:v>50.16</c:v>
                </c:pt>
                <c:pt idx="299">
                  <c:v>50.22</c:v>
                </c:pt>
                <c:pt idx="300">
                  <c:v>50.24</c:v>
                </c:pt>
                <c:pt idx="301">
                  <c:v>51.35</c:v>
                </c:pt>
                <c:pt idx="302">
                  <c:v>50.75</c:v>
                </c:pt>
                <c:pt idx="303">
                  <c:v>53.29</c:v>
                </c:pt>
                <c:pt idx="304">
                  <c:v>53.84</c:v>
                </c:pt>
                <c:pt idx="305">
                  <c:v>54.39</c:v>
                </c:pt>
                <c:pt idx="306">
                  <c:v>54.76</c:v>
                </c:pt>
                <c:pt idx="307">
                  <c:v>55.41</c:v>
                </c:pt>
                <c:pt idx="308">
                  <c:v>55.81</c:v>
                </c:pt>
                <c:pt idx="309">
                  <c:v>55.19</c:v>
                </c:pt>
                <c:pt idx="310">
                  <c:v>54.68</c:v>
                </c:pt>
                <c:pt idx="311">
                  <c:v>53.92</c:v>
                </c:pt>
                <c:pt idx="312">
                  <c:v>54.85</c:v>
                </c:pt>
                <c:pt idx="313">
                  <c:v>55.75</c:v>
                </c:pt>
                <c:pt idx="314">
                  <c:v>55.14</c:v>
                </c:pt>
                <c:pt idx="315">
                  <c:v>54.69</c:v>
                </c:pt>
                <c:pt idx="316">
                  <c:v>54.85</c:v>
                </c:pt>
                <c:pt idx="317">
                  <c:v>54.87</c:v>
                </c:pt>
                <c:pt idx="318">
                  <c:v>55.31</c:v>
                </c:pt>
                <c:pt idx="319">
                  <c:v>54.36</c:v>
                </c:pt>
                <c:pt idx="320">
                  <c:v>54.41</c:v>
                </c:pt>
                <c:pt idx="321">
                  <c:v>55.14</c:v>
                </c:pt>
                <c:pt idx="322">
                  <c:v>56.82</c:v>
                </c:pt>
                <c:pt idx="323">
                  <c:v>57.74</c:v>
                </c:pt>
                <c:pt idx="324">
                  <c:v>58.26</c:v>
                </c:pt>
                <c:pt idx="325">
                  <c:v>58.94</c:v>
                </c:pt>
                <c:pt idx="326">
                  <c:v>59.59</c:v>
                </c:pt>
                <c:pt idx="327">
                  <c:v>60.3</c:v>
                </c:pt>
                <c:pt idx="328">
                  <c:v>60.47</c:v>
                </c:pt>
                <c:pt idx="329">
                  <c:v>60.55</c:v>
                </c:pt>
                <c:pt idx="330">
                  <c:v>60.79</c:v>
                </c:pt>
                <c:pt idx="331">
                  <c:v>62.61</c:v>
                </c:pt>
                <c:pt idx="332">
                  <c:v>62.49</c:v>
                </c:pt>
                <c:pt idx="333">
                  <c:v>63.06</c:v>
                </c:pt>
                <c:pt idx="334">
                  <c:v>63.44</c:v>
                </c:pt>
                <c:pt idx="335">
                  <c:v>61.32</c:v>
                </c:pt>
                <c:pt idx="336">
                  <c:v>62.01</c:v>
                </c:pt>
                <c:pt idx="337">
                  <c:v>63.73</c:v>
                </c:pt>
                <c:pt idx="338">
                  <c:v>64</c:v>
                </c:pt>
                <c:pt idx="339">
                  <c:v>65.42</c:v>
                </c:pt>
                <c:pt idx="340">
                  <c:v>64.37</c:v>
                </c:pt>
                <c:pt idx="341">
                  <c:v>64.209999999999994</c:v>
                </c:pt>
                <c:pt idx="342">
                  <c:v>61.94</c:v>
                </c:pt>
                <c:pt idx="343">
                  <c:v>62.12</c:v>
                </c:pt>
                <c:pt idx="344">
                  <c:v>64.23</c:v>
                </c:pt>
                <c:pt idx="345">
                  <c:v>67.03</c:v>
                </c:pt>
                <c:pt idx="346">
                  <c:v>68.17</c:v>
                </c:pt>
                <c:pt idx="347">
                  <c:v>66.38</c:v>
                </c:pt>
                <c:pt idx="348">
                  <c:v>65.599999999999994</c:v>
                </c:pt>
                <c:pt idx="349">
                  <c:v>67.39</c:v>
                </c:pt>
                <c:pt idx="350">
                  <c:v>68.14</c:v>
                </c:pt>
                <c:pt idx="351">
                  <c:v>68.180000000000007</c:v>
                </c:pt>
                <c:pt idx="352">
                  <c:v>66.89</c:v>
                </c:pt>
                <c:pt idx="353">
                  <c:v>66.760000000000005</c:v>
                </c:pt>
                <c:pt idx="354">
                  <c:v>64.790000000000006</c:v>
                </c:pt>
                <c:pt idx="355">
                  <c:v>62.47</c:v>
                </c:pt>
                <c:pt idx="356">
                  <c:v>63.22</c:v>
                </c:pt>
                <c:pt idx="357">
                  <c:v>62.27</c:v>
                </c:pt>
                <c:pt idx="358">
                  <c:v>61.61</c:v>
                </c:pt>
                <c:pt idx="359">
                  <c:v>61.63</c:v>
                </c:pt>
                <c:pt idx="360">
                  <c:v>62.56</c:v>
                </c:pt>
                <c:pt idx="361">
                  <c:v>62.86</c:v>
                </c:pt>
                <c:pt idx="362">
                  <c:v>63.37</c:v>
                </c:pt>
                <c:pt idx="363">
                  <c:v>63.07</c:v>
                </c:pt>
                <c:pt idx="364">
                  <c:v>61.75</c:v>
                </c:pt>
                <c:pt idx="365">
                  <c:v>61.68</c:v>
                </c:pt>
                <c:pt idx="366">
                  <c:v>61.31</c:v>
                </c:pt>
                <c:pt idx="367">
                  <c:v>60.67</c:v>
                </c:pt>
                <c:pt idx="368">
                  <c:v>61.2</c:v>
                </c:pt>
                <c:pt idx="369">
                  <c:v>61.12</c:v>
                </c:pt>
                <c:pt idx="370">
                  <c:v>61.44</c:v>
                </c:pt>
                <c:pt idx="371">
                  <c:v>61.85</c:v>
                </c:pt>
                <c:pt idx="372">
                  <c:v>63.39</c:v>
                </c:pt>
                <c:pt idx="373">
                  <c:v>64.48</c:v>
                </c:pt>
                <c:pt idx="374">
                  <c:v>65.209999999999994</c:v>
                </c:pt>
                <c:pt idx="375">
                  <c:v>65.099999999999994</c:v>
                </c:pt>
                <c:pt idx="376">
                  <c:v>65.36</c:v>
                </c:pt>
                <c:pt idx="377">
                  <c:v>64.02</c:v>
                </c:pt>
                <c:pt idx="378">
                  <c:v>63.06</c:v>
                </c:pt>
                <c:pt idx="379">
                  <c:v>63.63</c:v>
                </c:pt>
                <c:pt idx="380">
                  <c:v>63.22</c:v>
                </c:pt>
                <c:pt idx="381">
                  <c:v>63.91</c:v>
                </c:pt>
                <c:pt idx="382">
                  <c:v>64.53</c:v>
                </c:pt>
                <c:pt idx="383">
                  <c:v>65.709999999999994</c:v>
                </c:pt>
                <c:pt idx="384">
                  <c:v>65.42</c:v>
                </c:pt>
                <c:pt idx="385">
                  <c:v>65.09</c:v>
                </c:pt>
                <c:pt idx="386">
                  <c:v>66.67</c:v>
                </c:pt>
                <c:pt idx="387">
                  <c:v>68.2</c:v>
                </c:pt>
                <c:pt idx="388">
                  <c:v>67.489999999999995</c:v>
                </c:pt>
                <c:pt idx="389">
                  <c:v>66.569999999999993</c:v>
                </c:pt>
                <c:pt idx="390">
                  <c:v>67.099999999999994</c:v>
                </c:pt>
                <c:pt idx="391">
                  <c:v>66.39</c:v>
                </c:pt>
                <c:pt idx="392">
                  <c:v>67.459999999999994</c:v>
                </c:pt>
                <c:pt idx="393">
                  <c:v>66.78</c:v>
                </c:pt>
                <c:pt idx="394">
                  <c:v>66.16</c:v>
                </c:pt>
                <c:pt idx="395">
                  <c:v>67.52</c:v>
                </c:pt>
                <c:pt idx="396">
                  <c:v>68.39</c:v>
                </c:pt>
                <c:pt idx="397">
                  <c:v>65.95</c:v>
                </c:pt>
                <c:pt idx="398">
                  <c:v>65.290000000000006</c:v>
                </c:pt>
                <c:pt idx="399">
                  <c:v>64.180000000000007</c:v>
                </c:pt>
                <c:pt idx="400">
                  <c:v>66.930000000000007</c:v>
                </c:pt>
                <c:pt idx="401">
                  <c:v>67.41</c:v>
                </c:pt>
                <c:pt idx="402">
                  <c:v>67.47</c:v>
                </c:pt>
                <c:pt idx="403">
                  <c:v>67.319999999999993</c:v>
                </c:pt>
                <c:pt idx="404">
                  <c:v>68.2</c:v>
                </c:pt>
                <c:pt idx="405">
                  <c:v>68.53</c:v>
                </c:pt>
                <c:pt idx="406">
                  <c:v>69.03</c:v>
                </c:pt>
                <c:pt idx="407">
                  <c:v>69.39</c:v>
                </c:pt>
                <c:pt idx="408">
                  <c:v>69.91</c:v>
                </c:pt>
                <c:pt idx="409">
                  <c:v>70.23</c:v>
                </c:pt>
                <c:pt idx="410">
                  <c:v>70.150000000000006</c:v>
                </c:pt>
                <c:pt idx="411">
                  <c:v>69.83</c:v>
                </c:pt>
                <c:pt idx="412">
                  <c:v>71.209999999999994</c:v>
                </c:pt>
                <c:pt idx="413">
                  <c:v>70.900000000000006</c:v>
                </c:pt>
                <c:pt idx="414">
                  <c:v>71.31</c:v>
                </c:pt>
                <c:pt idx="415">
                  <c:v>71.989999999999995</c:v>
                </c:pt>
                <c:pt idx="416">
                  <c:v>72.05</c:v>
                </c:pt>
                <c:pt idx="417">
                  <c:v>73.16</c:v>
                </c:pt>
                <c:pt idx="418">
                  <c:v>72.290000000000006</c:v>
                </c:pt>
                <c:pt idx="419">
                  <c:v>71.56</c:v>
                </c:pt>
                <c:pt idx="420">
                  <c:v>72.45</c:v>
                </c:pt>
                <c:pt idx="421">
                  <c:v>73.13</c:v>
                </c:pt>
                <c:pt idx="422">
                  <c:v>74.010000000000005</c:v>
                </c:pt>
                <c:pt idx="423">
                  <c:v>74.09</c:v>
                </c:pt>
                <c:pt idx="424">
                  <c:v>74.19</c:v>
                </c:pt>
                <c:pt idx="425">
                  <c:v>73.84</c:v>
                </c:pt>
                <c:pt idx="426">
                  <c:v>73.34</c:v>
                </c:pt>
                <c:pt idx="427">
                  <c:v>73.599999999999994</c:v>
                </c:pt>
                <c:pt idx="428">
                  <c:v>74.87</c:v>
                </c:pt>
                <c:pt idx="429">
                  <c:v>75.209999999999994</c:v>
                </c:pt>
                <c:pt idx="430">
                  <c:v>75.709999999999994</c:v>
                </c:pt>
                <c:pt idx="431">
                  <c:v>75.94</c:v>
                </c:pt>
                <c:pt idx="432">
                  <c:v>73.58</c:v>
                </c:pt>
                <c:pt idx="433">
                  <c:v>71.97</c:v>
                </c:pt>
                <c:pt idx="434">
                  <c:v>74.180000000000007</c:v>
                </c:pt>
                <c:pt idx="435">
                  <c:v>74.33</c:v>
                </c:pt>
                <c:pt idx="436">
                  <c:v>75.13</c:v>
                </c:pt>
                <c:pt idx="437">
                  <c:v>75.290000000000006</c:v>
                </c:pt>
                <c:pt idx="438">
                  <c:v>73.150000000000006</c:v>
                </c:pt>
                <c:pt idx="439">
                  <c:v>72.84</c:v>
                </c:pt>
                <c:pt idx="440">
                  <c:v>70.540000000000006</c:v>
                </c:pt>
                <c:pt idx="441">
                  <c:v>70.5</c:v>
                </c:pt>
                <c:pt idx="442">
                  <c:v>69.930000000000007</c:v>
                </c:pt>
                <c:pt idx="443">
                  <c:v>72.09</c:v>
                </c:pt>
                <c:pt idx="444">
                  <c:v>73.03</c:v>
                </c:pt>
                <c:pt idx="445">
                  <c:v>72.680000000000007</c:v>
                </c:pt>
                <c:pt idx="446">
                  <c:v>73.62</c:v>
                </c:pt>
                <c:pt idx="447">
                  <c:v>73.569999999999993</c:v>
                </c:pt>
                <c:pt idx="448">
                  <c:v>74.42</c:v>
                </c:pt>
                <c:pt idx="449">
                  <c:v>74.98</c:v>
                </c:pt>
                <c:pt idx="450">
                  <c:v>73.89</c:v>
                </c:pt>
                <c:pt idx="451">
                  <c:v>72.709999999999994</c:v>
                </c:pt>
                <c:pt idx="452">
                  <c:v>71.83</c:v>
                </c:pt>
                <c:pt idx="453">
                  <c:v>70.34</c:v>
                </c:pt>
                <c:pt idx="454">
                  <c:v>71.3</c:v>
                </c:pt>
                <c:pt idx="455">
                  <c:v>70.66</c:v>
                </c:pt>
                <c:pt idx="456">
                  <c:v>70.13</c:v>
                </c:pt>
                <c:pt idx="457">
                  <c:v>70.52</c:v>
                </c:pt>
                <c:pt idx="458">
                  <c:v>71.319999999999993</c:v>
                </c:pt>
                <c:pt idx="459">
                  <c:v>70.900000000000006</c:v>
                </c:pt>
                <c:pt idx="460">
                  <c:v>69.650000000000006</c:v>
                </c:pt>
                <c:pt idx="461">
                  <c:v>69.400000000000006</c:v>
                </c:pt>
                <c:pt idx="462">
                  <c:v>69.319999999999993</c:v>
                </c:pt>
                <c:pt idx="463">
                  <c:v>66.08</c:v>
                </c:pt>
                <c:pt idx="464">
                  <c:v>66.13</c:v>
                </c:pt>
                <c:pt idx="465">
                  <c:v>67.33</c:v>
                </c:pt>
                <c:pt idx="466">
                  <c:v>69.709999999999994</c:v>
                </c:pt>
                <c:pt idx="467">
                  <c:v>70.59</c:v>
                </c:pt>
                <c:pt idx="468">
                  <c:v>70.75</c:v>
                </c:pt>
                <c:pt idx="469">
                  <c:v>71.48</c:v>
                </c:pt>
                <c:pt idx="470">
                  <c:v>71.88</c:v>
                </c:pt>
                <c:pt idx="471">
                  <c:v>71.430000000000007</c:v>
                </c:pt>
                <c:pt idx="472">
                  <c:v>71.25</c:v>
                </c:pt>
                <c:pt idx="473">
                  <c:v>71.63</c:v>
                </c:pt>
                <c:pt idx="474">
                  <c:v>72.56</c:v>
                </c:pt>
                <c:pt idx="475">
                  <c:v>71.290000000000006</c:v>
                </c:pt>
                <c:pt idx="476">
                  <c:v>71.34</c:v>
                </c:pt>
                <c:pt idx="477">
                  <c:v>71.17</c:v>
                </c:pt>
                <c:pt idx="478">
                  <c:v>71.819999999999993</c:v>
                </c:pt>
                <c:pt idx="479">
                  <c:v>71.98</c:v>
                </c:pt>
                <c:pt idx="480">
                  <c:v>72.77</c:v>
                </c:pt>
                <c:pt idx="481">
                  <c:v>73.290000000000006</c:v>
                </c:pt>
                <c:pt idx="482">
                  <c:v>73.78</c:v>
                </c:pt>
                <c:pt idx="483">
                  <c:v>74.17</c:v>
                </c:pt>
                <c:pt idx="484">
                  <c:v>74.14</c:v>
                </c:pt>
                <c:pt idx="485">
                  <c:v>73.47</c:v>
                </c:pt>
                <c:pt idx="486">
                  <c:v>73.680000000000007</c:v>
                </c:pt>
                <c:pt idx="487">
                  <c:v>74.459999999999994</c:v>
                </c:pt>
                <c:pt idx="488">
                  <c:v>75.44</c:v>
                </c:pt>
                <c:pt idx="489">
                  <c:v>76.209999999999994</c:v>
                </c:pt>
                <c:pt idx="490">
                  <c:v>77.73</c:v>
                </c:pt>
                <c:pt idx="491">
                  <c:v>78.37</c:v>
                </c:pt>
                <c:pt idx="492">
                  <c:v>77.13</c:v>
                </c:pt>
                <c:pt idx="493">
                  <c:v>77.72</c:v>
                </c:pt>
                <c:pt idx="494">
                  <c:v>76.36</c:v>
                </c:pt>
                <c:pt idx="495">
                  <c:v>78.260000000000005</c:v>
                </c:pt>
                <c:pt idx="496">
                  <c:v>80.44</c:v>
                </c:pt>
                <c:pt idx="497">
                  <c:v>80.63</c:v>
                </c:pt>
                <c:pt idx="498">
                  <c:v>78.58</c:v>
                </c:pt>
                <c:pt idx="499">
                  <c:v>81.540000000000006</c:v>
                </c:pt>
                <c:pt idx="500">
                  <c:v>82.53</c:v>
                </c:pt>
                <c:pt idx="501">
                  <c:v>82.37</c:v>
                </c:pt>
                <c:pt idx="502">
                  <c:v>81.790000000000006</c:v>
                </c:pt>
                <c:pt idx="503">
                  <c:v>82.5</c:v>
                </c:pt>
                <c:pt idx="504">
                  <c:v>83.54</c:v>
                </c:pt>
                <c:pt idx="505">
                  <c:v>84.04</c:v>
                </c:pt>
                <c:pt idx="506">
                  <c:v>83.48</c:v>
                </c:pt>
                <c:pt idx="507">
                  <c:v>83.3</c:v>
                </c:pt>
                <c:pt idx="508">
                  <c:v>83.36</c:v>
                </c:pt>
                <c:pt idx="509">
                  <c:v>83.4</c:v>
                </c:pt>
                <c:pt idx="510">
                  <c:v>84.66</c:v>
                </c:pt>
                <c:pt idx="511">
                  <c:v>84.52</c:v>
                </c:pt>
                <c:pt idx="512">
                  <c:v>83.72</c:v>
                </c:pt>
                <c:pt idx="513">
                  <c:v>82.41</c:v>
                </c:pt>
                <c:pt idx="514">
                  <c:v>82.87</c:v>
                </c:pt>
                <c:pt idx="515">
                  <c:v>82.55</c:v>
                </c:pt>
                <c:pt idx="516">
                  <c:v>83.43</c:v>
                </c:pt>
                <c:pt idx="517">
                  <c:v>81.64</c:v>
                </c:pt>
                <c:pt idx="518">
                  <c:v>81.48</c:v>
                </c:pt>
                <c:pt idx="519">
                  <c:v>80.16</c:v>
                </c:pt>
                <c:pt idx="520">
                  <c:v>82.39</c:v>
                </c:pt>
                <c:pt idx="521">
                  <c:v>82.7</c:v>
                </c:pt>
                <c:pt idx="522">
                  <c:v>83.75</c:v>
                </c:pt>
                <c:pt idx="523">
                  <c:v>81.99</c:v>
                </c:pt>
                <c:pt idx="524">
                  <c:v>81.7</c:v>
                </c:pt>
                <c:pt idx="525">
                  <c:v>80.900000000000006</c:v>
                </c:pt>
                <c:pt idx="526">
                  <c:v>82.01</c:v>
                </c:pt>
                <c:pt idx="527">
                  <c:v>81.099999999999994</c:v>
                </c:pt>
                <c:pt idx="528">
                  <c:v>79.37</c:v>
                </c:pt>
                <c:pt idx="529">
                  <c:v>80.319999999999993</c:v>
                </c:pt>
                <c:pt idx="530">
                  <c:v>78.900000000000006</c:v>
                </c:pt>
                <c:pt idx="531">
                  <c:v>79.400000000000006</c:v>
                </c:pt>
                <c:pt idx="532">
                  <c:v>81.75</c:v>
                </c:pt>
                <c:pt idx="533">
                  <c:v>81.31</c:v>
                </c:pt>
                <c:pt idx="534">
                  <c:v>76.09</c:v>
                </c:pt>
                <c:pt idx="535">
                  <c:v>74.2</c:v>
                </c:pt>
                <c:pt idx="536">
                  <c:v>71.010000000000005</c:v>
                </c:pt>
                <c:pt idx="537">
                  <c:v>71.67</c:v>
                </c:pt>
                <c:pt idx="538">
                  <c:v>70.069999999999993</c:v>
                </c:pt>
                <c:pt idx="539">
                  <c:v>71.650000000000006</c:v>
                </c:pt>
                <c:pt idx="540">
                  <c:v>71.45</c:v>
                </c:pt>
                <c:pt idx="541">
                  <c:v>74.650000000000006</c:v>
                </c:pt>
                <c:pt idx="542">
                  <c:v>75.13</c:v>
                </c:pt>
                <c:pt idx="543">
                  <c:v>75.41</c:v>
                </c:pt>
                <c:pt idx="544">
                  <c:v>74.069999999999993</c:v>
                </c:pt>
                <c:pt idx="545">
                  <c:v>75.040000000000006</c:v>
                </c:pt>
                <c:pt idx="546">
                  <c:v>74.28</c:v>
                </c:pt>
                <c:pt idx="547">
                  <c:v>73.12</c:v>
                </c:pt>
                <c:pt idx="548">
                  <c:v>74.66</c:v>
                </c:pt>
                <c:pt idx="549">
                  <c:v>74.23</c:v>
                </c:pt>
                <c:pt idx="550">
                  <c:v>70.94</c:v>
                </c:pt>
                <c:pt idx="551">
                  <c:v>72.180000000000007</c:v>
                </c:pt>
                <c:pt idx="552">
                  <c:v>73.989999999999995</c:v>
                </c:pt>
                <c:pt idx="553">
                  <c:v>75.16</c:v>
                </c:pt>
                <c:pt idx="554">
                  <c:v>75.5</c:v>
                </c:pt>
                <c:pt idx="555">
                  <c:v>75.63</c:v>
                </c:pt>
                <c:pt idx="556">
                  <c:v>77.39</c:v>
                </c:pt>
                <c:pt idx="557">
                  <c:v>78.17</c:v>
                </c:pt>
                <c:pt idx="558">
                  <c:v>78.33</c:v>
                </c:pt>
                <c:pt idx="559">
                  <c:v>77.97</c:v>
                </c:pt>
                <c:pt idx="560">
                  <c:v>77.86</c:v>
                </c:pt>
                <c:pt idx="561">
                  <c:v>78.78</c:v>
                </c:pt>
                <c:pt idx="562">
                  <c:v>79.92</c:v>
                </c:pt>
                <c:pt idx="563">
                  <c:v>80.650000000000006</c:v>
                </c:pt>
                <c:pt idx="564">
                  <c:v>82</c:v>
                </c:pt>
                <c:pt idx="565">
                  <c:v>81.599999999999994</c:v>
                </c:pt>
                <c:pt idx="566">
                  <c:v>81.97</c:v>
                </c:pt>
                <c:pt idx="567">
                  <c:v>84.19</c:v>
                </c:pt>
                <c:pt idx="568">
                  <c:v>84.56</c:v>
                </c:pt>
                <c:pt idx="569">
                  <c:v>85.3</c:v>
                </c:pt>
                <c:pt idx="570">
                  <c:v>86.38</c:v>
                </c:pt>
                <c:pt idx="571">
                  <c:v>87.93</c:v>
                </c:pt>
                <c:pt idx="572">
                  <c:v>88.33</c:v>
                </c:pt>
                <c:pt idx="573">
                  <c:v>88.39</c:v>
                </c:pt>
                <c:pt idx="574">
                  <c:v>87.3</c:v>
                </c:pt>
                <c:pt idx="575">
                  <c:v>87.83</c:v>
                </c:pt>
                <c:pt idx="576">
                  <c:v>87.19</c:v>
                </c:pt>
                <c:pt idx="577">
                  <c:v>89.18</c:v>
                </c:pt>
                <c:pt idx="578">
                  <c:v>90.04</c:v>
                </c:pt>
                <c:pt idx="579">
                  <c:v>89.97</c:v>
                </c:pt>
                <c:pt idx="580">
                  <c:v>90.73</c:v>
                </c:pt>
                <c:pt idx="581">
                  <c:v>90.22</c:v>
                </c:pt>
                <c:pt idx="582">
                  <c:v>89.94</c:v>
                </c:pt>
                <c:pt idx="583">
                  <c:v>89.73</c:v>
                </c:pt>
                <c:pt idx="584">
                  <c:v>92.59</c:v>
                </c:pt>
                <c:pt idx="585">
                  <c:v>93.18</c:v>
                </c:pt>
                <c:pt idx="586">
                  <c:v>91.92</c:v>
                </c:pt>
                <c:pt idx="587">
                  <c:v>91.59</c:v>
                </c:pt>
                <c:pt idx="588">
                  <c:v>92.62</c:v>
                </c:pt>
                <c:pt idx="589">
                  <c:v>92.61</c:v>
                </c:pt>
                <c:pt idx="590">
                  <c:v>94.92</c:v>
                </c:pt>
                <c:pt idx="591">
                  <c:v>94.48</c:v>
                </c:pt>
                <c:pt idx="592">
                  <c:v>95.07</c:v>
                </c:pt>
                <c:pt idx="593">
                  <c:v>93.78</c:v>
                </c:pt>
                <c:pt idx="594">
                  <c:v>92.55</c:v>
                </c:pt>
                <c:pt idx="595">
                  <c:v>94.04</c:v>
                </c:pt>
                <c:pt idx="596">
                  <c:v>97.68</c:v>
                </c:pt>
                <c:pt idx="597">
                  <c:v>95.84</c:v>
                </c:pt>
                <c:pt idx="598">
                  <c:v>100.95</c:v>
                </c:pt>
                <c:pt idx="599">
                  <c:v>96.41</c:v>
                </c:pt>
                <c:pt idx="600">
                  <c:v>98.96</c:v>
                </c:pt>
                <c:pt idx="601">
                  <c:v>103.7</c:v>
                </c:pt>
                <c:pt idx="602">
                  <c:v>112.01</c:v>
                </c:pt>
                <c:pt idx="603">
                  <c:v>116.87</c:v>
                </c:pt>
                <c:pt idx="604">
                  <c:v>112.96</c:v>
                </c:pt>
                <c:pt idx="605">
                  <c:v>126.32</c:v>
                </c:pt>
                <c:pt idx="606">
                  <c:v>127.74</c:v>
                </c:pt>
                <c:pt idx="607">
                  <c:v>128.27000000000001</c:v>
                </c:pt>
                <c:pt idx="608">
                  <c:v>117.04</c:v>
                </c:pt>
                <c:pt idx="609">
                  <c:v>113.1</c:v>
                </c:pt>
                <c:pt idx="610">
                  <c:v>110.48</c:v>
                </c:pt>
                <c:pt idx="611">
                  <c:v>102.67</c:v>
                </c:pt>
                <c:pt idx="612">
                  <c:v>103.87</c:v>
                </c:pt>
                <c:pt idx="613">
                  <c:v>104.77</c:v>
                </c:pt>
                <c:pt idx="614">
                  <c:v>108.93</c:v>
                </c:pt>
                <c:pt idx="615">
                  <c:v>113.65</c:v>
                </c:pt>
                <c:pt idx="616">
                  <c:v>114.44</c:v>
                </c:pt>
                <c:pt idx="617">
                  <c:v>116.79</c:v>
                </c:pt>
                <c:pt idx="618">
                  <c:v>118.72</c:v>
                </c:pt>
                <c:pt idx="619">
                  <c:v>115.99</c:v>
                </c:pt>
                <c:pt idx="620">
                  <c:v>113.39</c:v>
                </c:pt>
                <c:pt idx="621">
                  <c:v>110.05</c:v>
                </c:pt>
                <c:pt idx="622">
                  <c:v>110.46</c:v>
                </c:pt>
                <c:pt idx="623">
                  <c:v>107.74</c:v>
                </c:pt>
                <c:pt idx="624">
                  <c:v>104.93</c:v>
                </c:pt>
                <c:pt idx="625">
                  <c:v>106.26</c:v>
                </c:pt>
                <c:pt idx="626">
                  <c:v>108.08</c:v>
                </c:pt>
                <c:pt idx="627">
                  <c:v>106.17</c:v>
                </c:pt>
                <c:pt idx="628">
                  <c:v>100.16</c:v>
                </c:pt>
                <c:pt idx="629">
                  <c:v>101.06</c:v>
                </c:pt>
                <c:pt idx="630">
                  <c:v>100.08</c:v>
                </c:pt>
                <c:pt idx="631">
                  <c:v>102.41</c:v>
                </c:pt>
                <c:pt idx="632">
                  <c:v>106.07</c:v>
                </c:pt>
                <c:pt idx="633">
                  <c:v>108.52</c:v>
                </c:pt>
                <c:pt idx="634">
                  <c:v>110.54</c:v>
                </c:pt>
                <c:pt idx="635">
                  <c:v>110.52</c:v>
                </c:pt>
                <c:pt idx="636">
                  <c:v>107.97</c:v>
                </c:pt>
                <c:pt idx="637">
                  <c:v>108.81</c:v>
                </c:pt>
                <c:pt idx="638">
                  <c:v>107.66</c:v>
                </c:pt>
                <c:pt idx="639">
                  <c:v>101.93</c:v>
                </c:pt>
                <c:pt idx="640">
                  <c:v>102.94</c:v>
                </c:pt>
                <c:pt idx="641">
                  <c:v>105.33</c:v>
                </c:pt>
                <c:pt idx="642">
                  <c:v>105.3</c:v>
                </c:pt>
                <c:pt idx="643">
                  <c:v>107.99</c:v>
                </c:pt>
                <c:pt idx="644">
                  <c:v>110.09</c:v>
                </c:pt>
                <c:pt idx="645">
                  <c:v>109.7</c:v>
                </c:pt>
                <c:pt idx="646">
                  <c:v>110.73</c:v>
                </c:pt>
                <c:pt idx="647">
                  <c:v>112.94</c:v>
                </c:pt>
                <c:pt idx="648">
                  <c:v>114.27</c:v>
                </c:pt>
                <c:pt idx="649">
                  <c:v>112.38</c:v>
                </c:pt>
                <c:pt idx="650">
                  <c:v>108.08</c:v>
                </c:pt>
                <c:pt idx="651">
                  <c:v>108.92</c:v>
                </c:pt>
                <c:pt idx="652">
                  <c:v>109.2</c:v>
                </c:pt>
                <c:pt idx="653">
                  <c:v>112.27</c:v>
                </c:pt>
                <c:pt idx="654">
                  <c:v>112.98</c:v>
                </c:pt>
                <c:pt idx="655">
                  <c:v>117.1</c:v>
                </c:pt>
                <c:pt idx="656">
                  <c:v>114.84</c:v>
                </c:pt>
                <c:pt idx="657">
                  <c:v>111.94</c:v>
                </c:pt>
                <c:pt idx="658">
                  <c:v>114.69</c:v>
                </c:pt>
                <c:pt idx="659">
                  <c:v>115.95</c:v>
                </c:pt>
                <c:pt idx="660">
                  <c:v>114.96</c:v>
                </c:pt>
                <c:pt idx="661">
                  <c:v>115.83</c:v>
                </c:pt>
                <c:pt idx="662">
                  <c:v>116.5</c:v>
                </c:pt>
                <c:pt idx="663">
                  <c:v>118.84</c:v>
                </c:pt>
                <c:pt idx="664">
                  <c:v>120.01</c:v>
                </c:pt>
                <c:pt idx="665">
                  <c:v>122.94</c:v>
                </c:pt>
                <c:pt idx="666">
                  <c:v>117.07</c:v>
                </c:pt>
                <c:pt idx="667">
                  <c:v>114.62</c:v>
                </c:pt>
                <c:pt idx="668">
                  <c:v>117.15</c:v>
                </c:pt>
                <c:pt idx="669">
                  <c:v>119.85</c:v>
                </c:pt>
                <c:pt idx="670">
                  <c:v>120.16</c:v>
                </c:pt>
                <c:pt idx="671">
                  <c:v>121.54</c:v>
                </c:pt>
                <c:pt idx="672">
                  <c:v>123.21</c:v>
                </c:pt>
                <c:pt idx="673">
                  <c:v>123.19</c:v>
                </c:pt>
                <c:pt idx="674">
                  <c:v>120.66</c:v>
                </c:pt>
                <c:pt idx="675">
                  <c:v>123.73</c:v>
                </c:pt>
                <c:pt idx="676">
                  <c:v>121.07</c:v>
                </c:pt>
                <c:pt idx="677">
                  <c:v>119.24</c:v>
                </c:pt>
                <c:pt idx="678">
                  <c:v>118.97</c:v>
                </c:pt>
                <c:pt idx="679">
                  <c:v>115.97</c:v>
                </c:pt>
                <c:pt idx="680">
                  <c:v>113.39</c:v>
                </c:pt>
                <c:pt idx="681">
                  <c:v>115.07</c:v>
                </c:pt>
                <c:pt idx="682">
                  <c:v>111</c:v>
                </c:pt>
                <c:pt idx="683">
                  <c:v>114.88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591-485D-BD1C-E9420C31A05A}"/>
            </c:ext>
          </c:extLst>
        </c:ser>
        <c:ser>
          <c:idx val="2"/>
          <c:order val="2"/>
          <c:tx>
            <c:strRef>
              <c:f>CrudeOilNput!$D$1</c:f>
              <c:strCache>
                <c:ptCount val="1"/>
                <c:pt idx="0">
                  <c:v>Brent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CrudeOilNput!$A$2:$A$685</c:f>
              <c:strCache>
                <c:ptCount val="684"/>
                <c:pt idx="0">
                  <c:v>10/31/2019</c:v>
                </c:pt>
                <c:pt idx="1">
                  <c:v>11/1/2019</c:v>
                </c:pt>
                <c:pt idx="2">
                  <c:v>11/4/2019</c:v>
                </c:pt>
                <c:pt idx="3">
                  <c:v>11/5/2019</c:v>
                </c:pt>
                <c:pt idx="4">
                  <c:v>11/6/2019</c:v>
                </c:pt>
                <c:pt idx="5">
                  <c:v>11/7/2019</c:v>
                </c:pt>
                <c:pt idx="6">
                  <c:v>11/8/2019</c:v>
                </c:pt>
                <c:pt idx="7">
                  <c:v>11/11/2019</c:v>
                </c:pt>
                <c:pt idx="8">
                  <c:v>11/12/2019</c:v>
                </c:pt>
                <c:pt idx="9">
                  <c:v>11/13/2019</c:v>
                </c:pt>
                <c:pt idx="10">
                  <c:v>11/14/2019</c:v>
                </c:pt>
                <c:pt idx="11">
                  <c:v>11/15/2019</c:v>
                </c:pt>
                <c:pt idx="12">
                  <c:v>11/18/2019</c:v>
                </c:pt>
                <c:pt idx="13">
                  <c:v>11/19/2019</c:v>
                </c:pt>
                <c:pt idx="14">
                  <c:v>11/20/2019</c:v>
                </c:pt>
                <c:pt idx="15">
                  <c:v>11/21/2019</c:v>
                </c:pt>
                <c:pt idx="16">
                  <c:v>11/22/2019</c:v>
                </c:pt>
                <c:pt idx="17">
                  <c:v>11/25/2019</c:v>
                </c:pt>
                <c:pt idx="18">
                  <c:v>11/26/2019</c:v>
                </c:pt>
                <c:pt idx="19">
                  <c:v>11/27/2019</c:v>
                </c:pt>
                <c:pt idx="20">
                  <c:v>11/28/2019</c:v>
                </c:pt>
                <c:pt idx="21">
                  <c:v>11/29/2019</c:v>
                </c:pt>
                <c:pt idx="22">
                  <c:v>12/2/2019</c:v>
                </c:pt>
                <c:pt idx="23">
                  <c:v>12/3/2019</c:v>
                </c:pt>
                <c:pt idx="24">
                  <c:v>12/4/2019</c:v>
                </c:pt>
                <c:pt idx="25">
                  <c:v>12/5/2019</c:v>
                </c:pt>
                <c:pt idx="26">
                  <c:v>12/6/2019</c:v>
                </c:pt>
                <c:pt idx="27">
                  <c:v>12/9/2019</c:v>
                </c:pt>
                <c:pt idx="28">
                  <c:v>12/10/2019</c:v>
                </c:pt>
                <c:pt idx="29">
                  <c:v>12/11/2019</c:v>
                </c:pt>
                <c:pt idx="30">
                  <c:v>12/12/2019</c:v>
                </c:pt>
                <c:pt idx="31">
                  <c:v>12/13/2019</c:v>
                </c:pt>
                <c:pt idx="32">
                  <c:v>12/16/2019</c:v>
                </c:pt>
                <c:pt idx="33">
                  <c:v>12/17/2019</c:v>
                </c:pt>
                <c:pt idx="34">
                  <c:v>12/18/2019</c:v>
                </c:pt>
                <c:pt idx="35">
                  <c:v>12/19/2019</c:v>
                </c:pt>
                <c:pt idx="36">
                  <c:v>12/20/2019</c:v>
                </c:pt>
                <c:pt idx="37">
                  <c:v>12/23/2019</c:v>
                </c:pt>
                <c:pt idx="38">
                  <c:v>12/24/2019</c:v>
                </c:pt>
                <c:pt idx="39">
                  <c:v>12/26/2019</c:v>
                </c:pt>
                <c:pt idx="40">
                  <c:v>12/27/2019</c:v>
                </c:pt>
                <c:pt idx="41">
                  <c:v>12/30/2019</c:v>
                </c:pt>
                <c:pt idx="42">
                  <c:v>12/31/2019</c:v>
                </c:pt>
                <c:pt idx="43">
                  <c:v>1/2/2020</c:v>
                </c:pt>
                <c:pt idx="44">
                  <c:v>1/3/2020</c:v>
                </c:pt>
                <c:pt idx="45">
                  <c:v>1/6/2020</c:v>
                </c:pt>
                <c:pt idx="46">
                  <c:v>1/7/2020</c:v>
                </c:pt>
                <c:pt idx="47">
                  <c:v>1/8/2020</c:v>
                </c:pt>
                <c:pt idx="48">
                  <c:v>1/9/2020</c:v>
                </c:pt>
                <c:pt idx="49">
                  <c:v>1/10/2020</c:v>
                </c:pt>
                <c:pt idx="50">
                  <c:v>1/13/2020</c:v>
                </c:pt>
                <c:pt idx="51">
                  <c:v>1/14/2020</c:v>
                </c:pt>
                <c:pt idx="52">
                  <c:v>1/15/2020</c:v>
                </c:pt>
                <c:pt idx="53">
                  <c:v>1/16/2020</c:v>
                </c:pt>
                <c:pt idx="54">
                  <c:v>1/17/2020</c:v>
                </c:pt>
                <c:pt idx="55">
                  <c:v>1/20/2020</c:v>
                </c:pt>
                <c:pt idx="56">
                  <c:v>1/21/2020</c:v>
                </c:pt>
                <c:pt idx="57">
                  <c:v>1/22/2020</c:v>
                </c:pt>
                <c:pt idx="58">
                  <c:v>1/23/2020</c:v>
                </c:pt>
                <c:pt idx="59">
                  <c:v>1/24/2020</c:v>
                </c:pt>
                <c:pt idx="60">
                  <c:v>1/27/2020</c:v>
                </c:pt>
                <c:pt idx="61">
                  <c:v>1/28/2020</c:v>
                </c:pt>
                <c:pt idx="62">
                  <c:v>1/29/2020</c:v>
                </c:pt>
                <c:pt idx="63">
                  <c:v>1/30/2020</c:v>
                </c:pt>
                <c:pt idx="64">
                  <c:v>1/31/2020</c:v>
                </c:pt>
                <c:pt idx="65">
                  <c:v>2/3/2020</c:v>
                </c:pt>
                <c:pt idx="66">
                  <c:v>2/4/2020</c:v>
                </c:pt>
                <c:pt idx="67">
                  <c:v>2/5/2020</c:v>
                </c:pt>
                <c:pt idx="68">
                  <c:v>2/6/2020</c:v>
                </c:pt>
                <c:pt idx="69">
                  <c:v>2/7/2020</c:v>
                </c:pt>
                <c:pt idx="70">
                  <c:v>2/10/2020</c:v>
                </c:pt>
                <c:pt idx="71">
                  <c:v>2/11/2020</c:v>
                </c:pt>
                <c:pt idx="72">
                  <c:v>2/12/2020</c:v>
                </c:pt>
                <c:pt idx="73">
                  <c:v>2/13/2020</c:v>
                </c:pt>
                <c:pt idx="74">
                  <c:v>2/14/2020</c:v>
                </c:pt>
                <c:pt idx="75">
                  <c:v>2/17/2020</c:v>
                </c:pt>
                <c:pt idx="76">
                  <c:v>2/18/2020</c:v>
                </c:pt>
                <c:pt idx="77">
                  <c:v>2/19/2020</c:v>
                </c:pt>
                <c:pt idx="78">
                  <c:v>2/20/2020</c:v>
                </c:pt>
                <c:pt idx="79">
                  <c:v>2/21/2020</c:v>
                </c:pt>
                <c:pt idx="80">
                  <c:v>2/24/2020</c:v>
                </c:pt>
                <c:pt idx="81">
                  <c:v>2/25/2020</c:v>
                </c:pt>
                <c:pt idx="82">
                  <c:v>2/26/2020</c:v>
                </c:pt>
                <c:pt idx="83">
                  <c:v>2/27/2020</c:v>
                </c:pt>
                <c:pt idx="84">
                  <c:v>2/28/2020</c:v>
                </c:pt>
                <c:pt idx="85">
                  <c:v>3/2/2020</c:v>
                </c:pt>
                <c:pt idx="86">
                  <c:v>3/3/2020</c:v>
                </c:pt>
                <c:pt idx="87">
                  <c:v>3/4/2020</c:v>
                </c:pt>
                <c:pt idx="88">
                  <c:v>3/5/2020</c:v>
                </c:pt>
                <c:pt idx="89">
                  <c:v>3/6/2020</c:v>
                </c:pt>
                <c:pt idx="90">
                  <c:v>3/9/2020</c:v>
                </c:pt>
                <c:pt idx="91">
                  <c:v>3/10/2020</c:v>
                </c:pt>
                <c:pt idx="92">
                  <c:v>3/11/2020</c:v>
                </c:pt>
                <c:pt idx="93">
                  <c:v>3/12/2020</c:v>
                </c:pt>
                <c:pt idx="94">
                  <c:v>3/13/2020</c:v>
                </c:pt>
                <c:pt idx="95">
                  <c:v>3/16/2020</c:v>
                </c:pt>
                <c:pt idx="96">
                  <c:v>3/17/2020</c:v>
                </c:pt>
                <c:pt idx="97">
                  <c:v>3/18/2020</c:v>
                </c:pt>
                <c:pt idx="98">
                  <c:v>3/19/2020</c:v>
                </c:pt>
                <c:pt idx="99">
                  <c:v>3/20/2020</c:v>
                </c:pt>
                <c:pt idx="100">
                  <c:v>3/23/2020</c:v>
                </c:pt>
                <c:pt idx="101">
                  <c:v>3/24/2020</c:v>
                </c:pt>
                <c:pt idx="102">
                  <c:v>3/25/2020</c:v>
                </c:pt>
                <c:pt idx="103">
                  <c:v>3/26/2020</c:v>
                </c:pt>
                <c:pt idx="104">
                  <c:v>3/27/2020</c:v>
                </c:pt>
                <c:pt idx="105">
                  <c:v>3/30/2020</c:v>
                </c:pt>
                <c:pt idx="106">
                  <c:v>3/31/2020</c:v>
                </c:pt>
                <c:pt idx="107">
                  <c:v>4/1/2020</c:v>
                </c:pt>
                <c:pt idx="108">
                  <c:v>4/2/2020</c:v>
                </c:pt>
                <c:pt idx="109">
                  <c:v>4/3/2020</c:v>
                </c:pt>
                <c:pt idx="110">
                  <c:v>4/6/2020</c:v>
                </c:pt>
                <c:pt idx="111">
                  <c:v>4/7/2020</c:v>
                </c:pt>
                <c:pt idx="112">
                  <c:v>4/8/2020</c:v>
                </c:pt>
                <c:pt idx="113">
                  <c:v>4/9/2020</c:v>
                </c:pt>
                <c:pt idx="114">
                  <c:v>4/13/2020</c:v>
                </c:pt>
                <c:pt idx="115">
                  <c:v>4/14/2020</c:v>
                </c:pt>
                <c:pt idx="116">
                  <c:v>4/15/2020</c:v>
                </c:pt>
                <c:pt idx="117">
                  <c:v>4/16/2020</c:v>
                </c:pt>
                <c:pt idx="118">
                  <c:v>4/17/2020</c:v>
                </c:pt>
                <c:pt idx="119">
                  <c:v>4/20/2020</c:v>
                </c:pt>
                <c:pt idx="120">
                  <c:v>4/21/2020</c:v>
                </c:pt>
                <c:pt idx="121">
                  <c:v>4/22/2020</c:v>
                </c:pt>
                <c:pt idx="122">
                  <c:v>4/23/2020</c:v>
                </c:pt>
                <c:pt idx="123">
                  <c:v>4/24/2020</c:v>
                </c:pt>
                <c:pt idx="124">
                  <c:v>4/27/2020</c:v>
                </c:pt>
                <c:pt idx="125">
                  <c:v>4/28/2020</c:v>
                </c:pt>
                <c:pt idx="126">
                  <c:v>4/29/2020</c:v>
                </c:pt>
                <c:pt idx="127">
                  <c:v>4/30/2020</c:v>
                </c:pt>
                <c:pt idx="128">
                  <c:v>5/1/2020</c:v>
                </c:pt>
                <c:pt idx="129">
                  <c:v>5/4/2020</c:v>
                </c:pt>
                <c:pt idx="130">
                  <c:v>5/5/2020</c:v>
                </c:pt>
                <c:pt idx="131">
                  <c:v>5/6/2020</c:v>
                </c:pt>
                <c:pt idx="132">
                  <c:v>5/7/2020</c:v>
                </c:pt>
                <c:pt idx="133">
                  <c:v>5/8/2020</c:v>
                </c:pt>
                <c:pt idx="134">
                  <c:v>5/11/2020</c:v>
                </c:pt>
                <c:pt idx="135">
                  <c:v>5/12/2020</c:v>
                </c:pt>
                <c:pt idx="136">
                  <c:v>5/13/2020</c:v>
                </c:pt>
                <c:pt idx="137">
                  <c:v>5/14/2020</c:v>
                </c:pt>
                <c:pt idx="138">
                  <c:v>5/15/2020</c:v>
                </c:pt>
                <c:pt idx="139">
                  <c:v>5/18/2020</c:v>
                </c:pt>
                <c:pt idx="140">
                  <c:v>5/19/2020</c:v>
                </c:pt>
                <c:pt idx="141">
                  <c:v>5/20/2020</c:v>
                </c:pt>
                <c:pt idx="142">
                  <c:v>5/21/2020</c:v>
                </c:pt>
                <c:pt idx="143">
                  <c:v>5/22/2020</c:v>
                </c:pt>
                <c:pt idx="144">
                  <c:v>5/26/2020</c:v>
                </c:pt>
                <c:pt idx="145">
                  <c:v>5/27/2020</c:v>
                </c:pt>
                <c:pt idx="146">
                  <c:v>5/28/2020</c:v>
                </c:pt>
                <c:pt idx="147">
                  <c:v>5/29/2020</c:v>
                </c:pt>
                <c:pt idx="148">
                  <c:v>6/1/2020</c:v>
                </c:pt>
                <c:pt idx="149">
                  <c:v>6/2/2020</c:v>
                </c:pt>
                <c:pt idx="150">
                  <c:v>6/3/2020</c:v>
                </c:pt>
                <c:pt idx="151">
                  <c:v>6/4/2020</c:v>
                </c:pt>
                <c:pt idx="152">
                  <c:v>6/5/2020</c:v>
                </c:pt>
                <c:pt idx="153">
                  <c:v>6/8/2020</c:v>
                </c:pt>
                <c:pt idx="154">
                  <c:v>6/9/2020</c:v>
                </c:pt>
                <c:pt idx="155">
                  <c:v>6/10/2020</c:v>
                </c:pt>
                <c:pt idx="156">
                  <c:v>6/11/2020</c:v>
                </c:pt>
                <c:pt idx="157">
                  <c:v>6/12/2020</c:v>
                </c:pt>
                <c:pt idx="158">
                  <c:v>6/15/2020</c:v>
                </c:pt>
                <c:pt idx="159">
                  <c:v>6/16/2020</c:v>
                </c:pt>
                <c:pt idx="160">
                  <c:v>6/17/2020</c:v>
                </c:pt>
                <c:pt idx="161">
                  <c:v>6/18/2020</c:v>
                </c:pt>
                <c:pt idx="162">
                  <c:v>6/19/2020</c:v>
                </c:pt>
                <c:pt idx="163">
                  <c:v>6/22/2020</c:v>
                </c:pt>
                <c:pt idx="164">
                  <c:v>6/23/2020</c:v>
                </c:pt>
                <c:pt idx="165">
                  <c:v>6/24/2020</c:v>
                </c:pt>
                <c:pt idx="166">
                  <c:v>6/25/2020</c:v>
                </c:pt>
                <c:pt idx="167">
                  <c:v>6/26/2020</c:v>
                </c:pt>
                <c:pt idx="168">
                  <c:v>6/29/2020</c:v>
                </c:pt>
                <c:pt idx="169">
                  <c:v>6/30/2020</c:v>
                </c:pt>
                <c:pt idx="170">
                  <c:v>7/1/2020</c:v>
                </c:pt>
                <c:pt idx="171">
                  <c:v>7/2/2020</c:v>
                </c:pt>
                <c:pt idx="172">
                  <c:v>7/3/2020</c:v>
                </c:pt>
                <c:pt idx="173">
                  <c:v>7/6/2020</c:v>
                </c:pt>
                <c:pt idx="174">
                  <c:v>7/7/2020</c:v>
                </c:pt>
                <c:pt idx="175">
                  <c:v>7/8/2020</c:v>
                </c:pt>
                <c:pt idx="176">
                  <c:v>7/9/2020</c:v>
                </c:pt>
                <c:pt idx="177">
                  <c:v>7/10/2020</c:v>
                </c:pt>
                <c:pt idx="178">
                  <c:v>7/13/2020</c:v>
                </c:pt>
                <c:pt idx="179">
                  <c:v>7/14/2020</c:v>
                </c:pt>
                <c:pt idx="180">
                  <c:v>7/15/2020</c:v>
                </c:pt>
                <c:pt idx="181">
                  <c:v>7/16/2020</c:v>
                </c:pt>
                <c:pt idx="182">
                  <c:v>7/17/2020</c:v>
                </c:pt>
                <c:pt idx="183">
                  <c:v>7/20/2020</c:v>
                </c:pt>
                <c:pt idx="184">
                  <c:v>7/21/2020</c:v>
                </c:pt>
                <c:pt idx="185">
                  <c:v>7/22/2020</c:v>
                </c:pt>
                <c:pt idx="186">
                  <c:v>7/23/2020</c:v>
                </c:pt>
                <c:pt idx="187">
                  <c:v>7/24/2020</c:v>
                </c:pt>
                <c:pt idx="188">
                  <c:v>7/27/2020</c:v>
                </c:pt>
                <c:pt idx="189">
                  <c:v>7/28/2020</c:v>
                </c:pt>
                <c:pt idx="190">
                  <c:v>7/29/2020</c:v>
                </c:pt>
                <c:pt idx="191">
                  <c:v>7/30/2020</c:v>
                </c:pt>
                <c:pt idx="192">
                  <c:v>7/31/2020</c:v>
                </c:pt>
                <c:pt idx="193">
                  <c:v>8/3/2020</c:v>
                </c:pt>
                <c:pt idx="194">
                  <c:v>8/4/2020</c:v>
                </c:pt>
                <c:pt idx="195">
                  <c:v>8/5/2020</c:v>
                </c:pt>
                <c:pt idx="196">
                  <c:v>8/6/2020</c:v>
                </c:pt>
                <c:pt idx="197">
                  <c:v>8/7/2020</c:v>
                </c:pt>
                <c:pt idx="198">
                  <c:v>8/10/2020</c:v>
                </c:pt>
                <c:pt idx="199">
                  <c:v>8/11/2020</c:v>
                </c:pt>
                <c:pt idx="200">
                  <c:v>8/12/2020</c:v>
                </c:pt>
                <c:pt idx="201">
                  <c:v>8/13/2020</c:v>
                </c:pt>
                <c:pt idx="202">
                  <c:v>8/14/2020</c:v>
                </c:pt>
                <c:pt idx="203">
                  <c:v>8/17/2020</c:v>
                </c:pt>
                <c:pt idx="204">
                  <c:v>8/18/2020</c:v>
                </c:pt>
                <c:pt idx="205">
                  <c:v>8/19/2020</c:v>
                </c:pt>
                <c:pt idx="206">
                  <c:v>8/20/2020</c:v>
                </c:pt>
                <c:pt idx="207">
                  <c:v>8/21/2020</c:v>
                </c:pt>
                <c:pt idx="208">
                  <c:v>8/24/2020</c:v>
                </c:pt>
                <c:pt idx="209">
                  <c:v>8/25/2020</c:v>
                </c:pt>
                <c:pt idx="210">
                  <c:v>8/26/2020</c:v>
                </c:pt>
                <c:pt idx="211">
                  <c:v>8/27/2020</c:v>
                </c:pt>
                <c:pt idx="212">
                  <c:v>8/28/2020</c:v>
                </c:pt>
                <c:pt idx="213">
                  <c:v>8/31/2020</c:v>
                </c:pt>
                <c:pt idx="214">
                  <c:v>9/1/2020</c:v>
                </c:pt>
                <c:pt idx="215">
                  <c:v>9/2/2020</c:v>
                </c:pt>
                <c:pt idx="216">
                  <c:v>9/3/2020</c:v>
                </c:pt>
                <c:pt idx="217">
                  <c:v>9/4/2020</c:v>
                </c:pt>
                <c:pt idx="218">
                  <c:v>9/7/2020</c:v>
                </c:pt>
                <c:pt idx="219">
                  <c:v>9/8/2020</c:v>
                </c:pt>
                <c:pt idx="220">
                  <c:v>9/9/2020</c:v>
                </c:pt>
                <c:pt idx="221">
                  <c:v>9/10/2020</c:v>
                </c:pt>
                <c:pt idx="222">
                  <c:v>9/11/2020</c:v>
                </c:pt>
                <c:pt idx="223">
                  <c:v>9/14/2020</c:v>
                </c:pt>
                <c:pt idx="224">
                  <c:v>9/15/2020</c:v>
                </c:pt>
                <c:pt idx="225">
                  <c:v>9/16/2020</c:v>
                </c:pt>
                <c:pt idx="226">
                  <c:v>9/17/2020</c:v>
                </c:pt>
                <c:pt idx="227">
                  <c:v>9/18/2020</c:v>
                </c:pt>
                <c:pt idx="228">
                  <c:v>9/21/2020</c:v>
                </c:pt>
                <c:pt idx="229">
                  <c:v>9/22/2020</c:v>
                </c:pt>
                <c:pt idx="230">
                  <c:v>9/23/2020</c:v>
                </c:pt>
                <c:pt idx="231">
                  <c:v>9/24/2020</c:v>
                </c:pt>
                <c:pt idx="232">
                  <c:v>9/25/2020</c:v>
                </c:pt>
                <c:pt idx="233">
                  <c:v>9/28/2020</c:v>
                </c:pt>
                <c:pt idx="234">
                  <c:v>9/29/2020</c:v>
                </c:pt>
                <c:pt idx="235">
                  <c:v>9/30/2020</c:v>
                </c:pt>
                <c:pt idx="236">
                  <c:v>10/1/2020</c:v>
                </c:pt>
                <c:pt idx="237">
                  <c:v>10/2/2020</c:v>
                </c:pt>
                <c:pt idx="238">
                  <c:v>10/5/2020</c:v>
                </c:pt>
                <c:pt idx="239">
                  <c:v>10/6/2020</c:v>
                </c:pt>
                <c:pt idx="240">
                  <c:v>10/7/2020</c:v>
                </c:pt>
                <c:pt idx="241">
                  <c:v>10/8/2020</c:v>
                </c:pt>
                <c:pt idx="242">
                  <c:v>10/9/2020</c:v>
                </c:pt>
                <c:pt idx="243">
                  <c:v>10/12/2020</c:v>
                </c:pt>
                <c:pt idx="244">
                  <c:v>10/13/2020</c:v>
                </c:pt>
                <c:pt idx="245">
                  <c:v>10/14/2020</c:v>
                </c:pt>
                <c:pt idx="246">
                  <c:v>10/15/2020</c:v>
                </c:pt>
                <c:pt idx="247">
                  <c:v>10/16/2020</c:v>
                </c:pt>
                <c:pt idx="248">
                  <c:v>10/19/2020</c:v>
                </c:pt>
                <c:pt idx="249">
                  <c:v>10/20/2020</c:v>
                </c:pt>
                <c:pt idx="250">
                  <c:v>10/21/2020</c:v>
                </c:pt>
                <c:pt idx="251">
                  <c:v>10/22/2020</c:v>
                </c:pt>
                <c:pt idx="252">
                  <c:v>10/23/2020</c:v>
                </c:pt>
                <c:pt idx="253">
                  <c:v>10/26/2020</c:v>
                </c:pt>
                <c:pt idx="254">
                  <c:v>10/27/2020</c:v>
                </c:pt>
                <c:pt idx="255">
                  <c:v>10/28/2020</c:v>
                </c:pt>
                <c:pt idx="256">
                  <c:v>10/29/2020</c:v>
                </c:pt>
                <c:pt idx="257">
                  <c:v>10/30/2020</c:v>
                </c:pt>
                <c:pt idx="258">
                  <c:v>11/2/2020</c:v>
                </c:pt>
                <c:pt idx="259">
                  <c:v>11/3/2020</c:v>
                </c:pt>
                <c:pt idx="260">
                  <c:v>11/4/2020</c:v>
                </c:pt>
                <c:pt idx="261">
                  <c:v>11/5/2020</c:v>
                </c:pt>
                <c:pt idx="262">
                  <c:v>11/6/2020</c:v>
                </c:pt>
                <c:pt idx="263">
                  <c:v>11/9/2020</c:v>
                </c:pt>
                <c:pt idx="264">
                  <c:v>11/10/2020</c:v>
                </c:pt>
                <c:pt idx="265">
                  <c:v>11/11/2020</c:v>
                </c:pt>
                <c:pt idx="266">
                  <c:v>11/12/2020</c:v>
                </c:pt>
                <c:pt idx="267">
                  <c:v>11/13/2020</c:v>
                </c:pt>
                <c:pt idx="268">
                  <c:v>11/16/2020</c:v>
                </c:pt>
                <c:pt idx="269">
                  <c:v>11/17/2020</c:v>
                </c:pt>
                <c:pt idx="270">
                  <c:v>11/18/2020</c:v>
                </c:pt>
                <c:pt idx="271">
                  <c:v>11/19/2020</c:v>
                </c:pt>
                <c:pt idx="272">
                  <c:v>11/20/2020</c:v>
                </c:pt>
                <c:pt idx="273">
                  <c:v>11/23/2020</c:v>
                </c:pt>
                <c:pt idx="274">
                  <c:v>11/24/2020</c:v>
                </c:pt>
                <c:pt idx="275">
                  <c:v>11/25/2020</c:v>
                </c:pt>
                <c:pt idx="276">
                  <c:v>11/26/2020</c:v>
                </c:pt>
                <c:pt idx="277">
                  <c:v>11/27/2020</c:v>
                </c:pt>
                <c:pt idx="278">
                  <c:v>11/30/2020</c:v>
                </c:pt>
                <c:pt idx="279">
                  <c:v>12/1/2020</c:v>
                </c:pt>
                <c:pt idx="280">
                  <c:v>12/2/2020</c:v>
                </c:pt>
                <c:pt idx="281">
                  <c:v>12/3/2020</c:v>
                </c:pt>
                <c:pt idx="282">
                  <c:v>12/4/2020</c:v>
                </c:pt>
                <c:pt idx="283">
                  <c:v>12/7/2020</c:v>
                </c:pt>
                <c:pt idx="284">
                  <c:v>12/8/2020</c:v>
                </c:pt>
                <c:pt idx="285">
                  <c:v>12/9/2020</c:v>
                </c:pt>
                <c:pt idx="286">
                  <c:v>12/10/2020</c:v>
                </c:pt>
                <c:pt idx="287">
                  <c:v>12/11/2020</c:v>
                </c:pt>
                <c:pt idx="288">
                  <c:v>12/14/2020</c:v>
                </c:pt>
                <c:pt idx="289">
                  <c:v>12/15/2020</c:v>
                </c:pt>
                <c:pt idx="290">
                  <c:v>12/16/2020</c:v>
                </c:pt>
                <c:pt idx="291">
                  <c:v>12/17/2020</c:v>
                </c:pt>
                <c:pt idx="292">
                  <c:v>12/18/2020</c:v>
                </c:pt>
                <c:pt idx="293">
                  <c:v>12/21/2020</c:v>
                </c:pt>
                <c:pt idx="294">
                  <c:v>12/22/2020</c:v>
                </c:pt>
                <c:pt idx="295">
                  <c:v>12/23/2020</c:v>
                </c:pt>
                <c:pt idx="296">
                  <c:v>12/24/2020</c:v>
                </c:pt>
                <c:pt idx="297">
                  <c:v>12/28/2020</c:v>
                </c:pt>
                <c:pt idx="298">
                  <c:v>12/29/2020</c:v>
                </c:pt>
                <c:pt idx="299">
                  <c:v>12/30/2020</c:v>
                </c:pt>
                <c:pt idx="300">
                  <c:v>12/31/2020</c:v>
                </c:pt>
                <c:pt idx="301">
                  <c:v>1/4/2021</c:v>
                </c:pt>
                <c:pt idx="302">
                  <c:v>1/5/2021</c:v>
                </c:pt>
                <c:pt idx="303">
                  <c:v>1/6/2021</c:v>
                </c:pt>
                <c:pt idx="304">
                  <c:v>1/7/2021</c:v>
                </c:pt>
                <c:pt idx="305">
                  <c:v>1/8/2021</c:v>
                </c:pt>
                <c:pt idx="306">
                  <c:v>1/11/2021</c:v>
                </c:pt>
                <c:pt idx="307">
                  <c:v>1/12/2021</c:v>
                </c:pt>
                <c:pt idx="308">
                  <c:v>1/13/2021</c:v>
                </c:pt>
                <c:pt idx="309">
                  <c:v>1/14/2021</c:v>
                </c:pt>
                <c:pt idx="310">
                  <c:v>1/15/2021</c:v>
                </c:pt>
                <c:pt idx="311">
                  <c:v>1/18/2021</c:v>
                </c:pt>
                <c:pt idx="312">
                  <c:v>1/19/2021</c:v>
                </c:pt>
                <c:pt idx="313">
                  <c:v>1/20/2021</c:v>
                </c:pt>
                <c:pt idx="314">
                  <c:v>1/21/2021</c:v>
                </c:pt>
                <c:pt idx="315">
                  <c:v>1/22/2021</c:v>
                </c:pt>
                <c:pt idx="316">
                  <c:v>1/25/2021</c:v>
                </c:pt>
                <c:pt idx="317">
                  <c:v>1/26/2021</c:v>
                </c:pt>
                <c:pt idx="318">
                  <c:v>1/27/2021</c:v>
                </c:pt>
                <c:pt idx="319">
                  <c:v>1/28/2021</c:v>
                </c:pt>
                <c:pt idx="320">
                  <c:v>1/29/2021</c:v>
                </c:pt>
                <c:pt idx="321">
                  <c:v>2/1/2021</c:v>
                </c:pt>
                <c:pt idx="322">
                  <c:v>2/2/2021</c:v>
                </c:pt>
                <c:pt idx="323">
                  <c:v>2/3/2021</c:v>
                </c:pt>
                <c:pt idx="324">
                  <c:v>2/4/2021</c:v>
                </c:pt>
                <c:pt idx="325">
                  <c:v>2/5/2021</c:v>
                </c:pt>
                <c:pt idx="326">
                  <c:v>2/8/2021</c:v>
                </c:pt>
                <c:pt idx="327">
                  <c:v>2/9/2021</c:v>
                </c:pt>
                <c:pt idx="328">
                  <c:v>2/10/2021</c:v>
                </c:pt>
                <c:pt idx="329">
                  <c:v>2/11/2021</c:v>
                </c:pt>
                <c:pt idx="330">
                  <c:v>2/12/2021</c:v>
                </c:pt>
                <c:pt idx="331">
                  <c:v>2/15/2021</c:v>
                </c:pt>
                <c:pt idx="332">
                  <c:v>2/16/2021</c:v>
                </c:pt>
                <c:pt idx="333">
                  <c:v>2/17/2021</c:v>
                </c:pt>
                <c:pt idx="334">
                  <c:v>2/18/2021</c:v>
                </c:pt>
                <c:pt idx="335">
                  <c:v>2/19/2021</c:v>
                </c:pt>
                <c:pt idx="336">
                  <c:v>2/22/2021</c:v>
                </c:pt>
                <c:pt idx="337">
                  <c:v>2/23/2021</c:v>
                </c:pt>
                <c:pt idx="338">
                  <c:v>2/24/2021</c:v>
                </c:pt>
                <c:pt idx="339">
                  <c:v>2/25/2021</c:v>
                </c:pt>
                <c:pt idx="340">
                  <c:v>2/26/2021</c:v>
                </c:pt>
                <c:pt idx="341">
                  <c:v>3/1/2021</c:v>
                </c:pt>
                <c:pt idx="342">
                  <c:v>3/2/2021</c:v>
                </c:pt>
                <c:pt idx="343">
                  <c:v>3/3/2021</c:v>
                </c:pt>
                <c:pt idx="344">
                  <c:v>3/4/2021</c:v>
                </c:pt>
                <c:pt idx="345">
                  <c:v>3/5/2021</c:v>
                </c:pt>
                <c:pt idx="346">
                  <c:v>3/8/2021</c:v>
                </c:pt>
                <c:pt idx="347">
                  <c:v>3/9/2021</c:v>
                </c:pt>
                <c:pt idx="348">
                  <c:v>3/10/2021</c:v>
                </c:pt>
                <c:pt idx="349">
                  <c:v>3/11/2021</c:v>
                </c:pt>
                <c:pt idx="350">
                  <c:v>3/12/2021</c:v>
                </c:pt>
                <c:pt idx="351">
                  <c:v>3/15/2021</c:v>
                </c:pt>
                <c:pt idx="352">
                  <c:v>3/16/2021</c:v>
                </c:pt>
                <c:pt idx="353">
                  <c:v>3/17/2021</c:v>
                </c:pt>
                <c:pt idx="354">
                  <c:v>3/18/2021</c:v>
                </c:pt>
                <c:pt idx="355">
                  <c:v>3/19/2021</c:v>
                </c:pt>
                <c:pt idx="356">
                  <c:v>3/22/2021</c:v>
                </c:pt>
                <c:pt idx="357">
                  <c:v>3/23/2021</c:v>
                </c:pt>
                <c:pt idx="358">
                  <c:v>3/24/2021</c:v>
                </c:pt>
                <c:pt idx="359">
                  <c:v>3/25/2021</c:v>
                </c:pt>
                <c:pt idx="360">
                  <c:v>3/26/2021</c:v>
                </c:pt>
                <c:pt idx="361">
                  <c:v>3/29/2021</c:v>
                </c:pt>
                <c:pt idx="362">
                  <c:v>3/30/2021</c:v>
                </c:pt>
                <c:pt idx="363">
                  <c:v>3/31/2021</c:v>
                </c:pt>
                <c:pt idx="364">
                  <c:v>4/1/2021</c:v>
                </c:pt>
                <c:pt idx="365">
                  <c:v>4/5/2021</c:v>
                </c:pt>
                <c:pt idx="366">
                  <c:v>4/6/2021</c:v>
                </c:pt>
                <c:pt idx="367">
                  <c:v>4/7/2021</c:v>
                </c:pt>
                <c:pt idx="368">
                  <c:v>4/8/2021</c:v>
                </c:pt>
                <c:pt idx="369">
                  <c:v>4/9/2021</c:v>
                </c:pt>
                <c:pt idx="370">
                  <c:v>4/12/2021</c:v>
                </c:pt>
                <c:pt idx="371">
                  <c:v>4/13/2021</c:v>
                </c:pt>
                <c:pt idx="372">
                  <c:v>4/14/2021</c:v>
                </c:pt>
                <c:pt idx="373">
                  <c:v>4/15/2021</c:v>
                </c:pt>
                <c:pt idx="374">
                  <c:v>4/16/2021</c:v>
                </c:pt>
                <c:pt idx="375">
                  <c:v>4/19/2021</c:v>
                </c:pt>
                <c:pt idx="376">
                  <c:v>4/20/2021</c:v>
                </c:pt>
                <c:pt idx="377">
                  <c:v>4/21/2021</c:v>
                </c:pt>
                <c:pt idx="378">
                  <c:v>4/22/2021</c:v>
                </c:pt>
                <c:pt idx="379">
                  <c:v>4/23/2021</c:v>
                </c:pt>
                <c:pt idx="380">
                  <c:v>4/26/2021</c:v>
                </c:pt>
                <c:pt idx="381">
                  <c:v>4/27/2021</c:v>
                </c:pt>
                <c:pt idx="382">
                  <c:v>4/28/2021</c:v>
                </c:pt>
                <c:pt idx="383">
                  <c:v>4/29/2021</c:v>
                </c:pt>
                <c:pt idx="384">
                  <c:v>4/30/2021</c:v>
                </c:pt>
                <c:pt idx="385">
                  <c:v>5/3/2021</c:v>
                </c:pt>
                <c:pt idx="386">
                  <c:v>5/4/2021</c:v>
                </c:pt>
                <c:pt idx="387">
                  <c:v>5/5/2021</c:v>
                </c:pt>
                <c:pt idx="388">
                  <c:v>5/6/2021</c:v>
                </c:pt>
                <c:pt idx="389">
                  <c:v>5/7/2021</c:v>
                </c:pt>
                <c:pt idx="390">
                  <c:v>5/10/2021</c:v>
                </c:pt>
                <c:pt idx="391">
                  <c:v>5/11/2021</c:v>
                </c:pt>
                <c:pt idx="392">
                  <c:v>5/12/2021</c:v>
                </c:pt>
                <c:pt idx="393">
                  <c:v>5/13/2021</c:v>
                </c:pt>
                <c:pt idx="394">
                  <c:v>5/14/2021</c:v>
                </c:pt>
                <c:pt idx="395">
                  <c:v>5/17/2021</c:v>
                </c:pt>
                <c:pt idx="396">
                  <c:v>5/18/2021</c:v>
                </c:pt>
                <c:pt idx="397">
                  <c:v>5/19/2021</c:v>
                </c:pt>
                <c:pt idx="398">
                  <c:v>5/20/2021</c:v>
                </c:pt>
                <c:pt idx="399">
                  <c:v>5/21/2021</c:v>
                </c:pt>
                <c:pt idx="400">
                  <c:v>5/24/2021</c:v>
                </c:pt>
                <c:pt idx="401">
                  <c:v>5/25/2021</c:v>
                </c:pt>
                <c:pt idx="402">
                  <c:v>5/26/2021</c:v>
                </c:pt>
                <c:pt idx="403">
                  <c:v>5/27/2021</c:v>
                </c:pt>
                <c:pt idx="404">
                  <c:v>5/28/2021</c:v>
                </c:pt>
                <c:pt idx="405">
                  <c:v>5/31/2021</c:v>
                </c:pt>
                <c:pt idx="406">
                  <c:v>6/1/2021</c:v>
                </c:pt>
                <c:pt idx="407">
                  <c:v>6/2/2021</c:v>
                </c:pt>
                <c:pt idx="408">
                  <c:v>6/3/2021</c:v>
                </c:pt>
                <c:pt idx="409">
                  <c:v>6/4/2021</c:v>
                </c:pt>
                <c:pt idx="410">
                  <c:v>6/7/2021</c:v>
                </c:pt>
                <c:pt idx="411">
                  <c:v>6/8/2021</c:v>
                </c:pt>
                <c:pt idx="412">
                  <c:v>6/9/2021</c:v>
                </c:pt>
                <c:pt idx="413">
                  <c:v>6/10/2021</c:v>
                </c:pt>
                <c:pt idx="414">
                  <c:v>6/11/2021</c:v>
                </c:pt>
                <c:pt idx="415">
                  <c:v>6/14/2021</c:v>
                </c:pt>
                <c:pt idx="416">
                  <c:v>6/15/2021</c:v>
                </c:pt>
                <c:pt idx="417">
                  <c:v>6/16/2021</c:v>
                </c:pt>
                <c:pt idx="418">
                  <c:v>6/17/2021</c:v>
                </c:pt>
                <c:pt idx="419">
                  <c:v>6/18/2021</c:v>
                </c:pt>
                <c:pt idx="420">
                  <c:v>6/21/2021</c:v>
                </c:pt>
                <c:pt idx="421">
                  <c:v>6/22/2021</c:v>
                </c:pt>
                <c:pt idx="422">
                  <c:v>6/23/2021</c:v>
                </c:pt>
                <c:pt idx="423">
                  <c:v>6/24/2021</c:v>
                </c:pt>
                <c:pt idx="424">
                  <c:v>6/25/2021</c:v>
                </c:pt>
                <c:pt idx="425">
                  <c:v>6/28/2021</c:v>
                </c:pt>
                <c:pt idx="426">
                  <c:v>6/29/2021</c:v>
                </c:pt>
                <c:pt idx="427">
                  <c:v>6/30/2021</c:v>
                </c:pt>
                <c:pt idx="428">
                  <c:v>7/1/2021</c:v>
                </c:pt>
                <c:pt idx="429">
                  <c:v>7/2/2021</c:v>
                </c:pt>
                <c:pt idx="430">
                  <c:v>7/5/2021</c:v>
                </c:pt>
                <c:pt idx="431">
                  <c:v>7/6/2021</c:v>
                </c:pt>
                <c:pt idx="432">
                  <c:v>7/7/2021</c:v>
                </c:pt>
                <c:pt idx="433">
                  <c:v>7/8/2021</c:v>
                </c:pt>
                <c:pt idx="434">
                  <c:v>7/9/2021</c:v>
                </c:pt>
                <c:pt idx="435">
                  <c:v>7/12/2021</c:v>
                </c:pt>
                <c:pt idx="436">
                  <c:v>7/13/2021</c:v>
                </c:pt>
                <c:pt idx="437">
                  <c:v>7/14/2021</c:v>
                </c:pt>
                <c:pt idx="438">
                  <c:v>7/15/2021</c:v>
                </c:pt>
                <c:pt idx="439">
                  <c:v>7/16/2021</c:v>
                </c:pt>
                <c:pt idx="440">
                  <c:v>7/19/2021</c:v>
                </c:pt>
                <c:pt idx="441">
                  <c:v>7/20/2021</c:v>
                </c:pt>
                <c:pt idx="442">
                  <c:v>7/21/2021</c:v>
                </c:pt>
                <c:pt idx="443">
                  <c:v>7/22/2021</c:v>
                </c:pt>
                <c:pt idx="444">
                  <c:v>7/23/2021</c:v>
                </c:pt>
                <c:pt idx="445">
                  <c:v>7/26/2021</c:v>
                </c:pt>
                <c:pt idx="446">
                  <c:v>7/27/2021</c:v>
                </c:pt>
                <c:pt idx="447">
                  <c:v>7/28/2021</c:v>
                </c:pt>
                <c:pt idx="448">
                  <c:v>7/29/2021</c:v>
                </c:pt>
                <c:pt idx="449">
                  <c:v>7/30/2021</c:v>
                </c:pt>
                <c:pt idx="450">
                  <c:v>8/2/2021</c:v>
                </c:pt>
                <c:pt idx="451">
                  <c:v>8/3/2021</c:v>
                </c:pt>
                <c:pt idx="452">
                  <c:v>8/4/2021</c:v>
                </c:pt>
                <c:pt idx="453">
                  <c:v>8/5/2021</c:v>
                </c:pt>
                <c:pt idx="454">
                  <c:v>8/6/2021</c:v>
                </c:pt>
                <c:pt idx="455">
                  <c:v>8/9/2021</c:v>
                </c:pt>
                <c:pt idx="456">
                  <c:v>8/10/2021</c:v>
                </c:pt>
                <c:pt idx="457">
                  <c:v>8/11/2021</c:v>
                </c:pt>
                <c:pt idx="458">
                  <c:v>8/12/2021</c:v>
                </c:pt>
                <c:pt idx="459">
                  <c:v>8/13/2021</c:v>
                </c:pt>
                <c:pt idx="460">
                  <c:v>8/16/2021</c:v>
                </c:pt>
                <c:pt idx="461">
                  <c:v>8/17/2021</c:v>
                </c:pt>
                <c:pt idx="462">
                  <c:v>8/18/2021</c:v>
                </c:pt>
                <c:pt idx="463">
                  <c:v>8/19/2021</c:v>
                </c:pt>
                <c:pt idx="464">
                  <c:v>8/20/2021</c:v>
                </c:pt>
                <c:pt idx="465">
                  <c:v>8/23/2021</c:v>
                </c:pt>
                <c:pt idx="466">
                  <c:v>8/24/2021</c:v>
                </c:pt>
                <c:pt idx="467">
                  <c:v>8/25/2021</c:v>
                </c:pt>
                <c:pt idx="468">
                  <c:v>8/26/2021</c:v>
                </c:pt>
                <c:pt idx="469">
                  <c:v>8/27/2021</c:v>
                </c:pt>
                <c:pt idx="470">
                  <c:v>8/30/2021</c:v>
                </c:pt>
                <c:pt idx="471">
                  <c:v>8/31/2021</c:v>
                </c:pt>
                <c:pt idx="472">
                  <c:v>9/1/2021</c:v>
                </c:pt>
                <c:pt idx="473">
                  <c:v>9/2/2021</c:v>
                </c:pt>
                <c:pt idx="474">
                  <c:v>9/3/2021</c:v>
                </c:pt>
                <c:pt idx="475">
                  <c:v>9/6/2021</c:v>
                </c:pt>
                <c:pt idx="476">
                  <c:v>9/7/2021</c:v>
                </c:pt>
                <c:pt idx="477">
                  <c:v>9/8/2021</c:v>
                </c:pt>
                <c:pt idx="478">
                  <c:v>9/9/2021</c:v>
                </c:pt>
                <c:pt idx="479">
                  <c:v>9/10/2021</c:v>
                </c:pt>
                <c:pt idx="480">
                  <c:v>9/13/2021</c:v>
                </c:pt>
                <c:pt idx="481">
                  <c:v>9/14/2021</c:v>
                </c:pt>
                <c:pt idx="482">
                  <c:v>9/15/2021</c:v>
                </c:pt>
                <c:pt idx="483">
                  <c:v>9/16/2021</c:v>
                </c:pt>
                <c:pt idx="484">
                  <c:v>9/17/2021</c:v>
                </c:pt>
                <c:pt idx="485">
                  <c:v>9/20/2021</c:v>
                </c:pt>
                <c:pt idx="486">
                  <c:v>9/21/2021</c:v>
                </c:pt>
                <c:pt idx="487">
                  <c:v>9/22/2021</c:v>
                </c:pt>
                <c:pt idx="488">
                  <c:v>9/23/2021</c:v>
                </c:pt>
                <c:pt idx="489">
                  <c:v>9/24/2021</c:v>
                </c:pt>
                <c:pt idx="490">
                  <c:v>9/27/2021</c:v>
                </c:pt>
                <c:pt idx="491">
                  <c:v>9/28/2021</c:v>
                </c:pt>
                <c:pt idx="492">
                  <c:v>9/29/2021</c:v>
                </c:pt>
                <c:pt idx="493">
                  <c:v>9/30/2021</c:v>
                </c:pt>
                <c:pt idx="494">
                  <c:v>10/1/2021</c:v>
                </c:pt>
                <c:pt idx="495">
                  <c:v>10/4/2021</c:v>
                </c:pt>
                <c:pt idx="496">
                  <c:v>10/5/2021</c:v>
                </c:pt>
                <c:pt idx="497">
                  <c:v>10/6/2021</c:v>
                </c:pt>
                <c:pt idx="498">
                  <c:v>10/7/2021</c:v>
                </c:pt>
                <c:pt idx="499">
                  <c:v>10/8/2021</c:v>
                </c:pt>
                <c:pt idx="500">
                  <c:v>10/11/2021</c:v>
                </c:pt>
                <c:pt idx="501">
                  <c:v>10/12/2021</c:v>
                </c:pt>
                <c:pt idx="502">
                  <c:v>10/13/2021</c:v>
                </c:pt>
                <c:pt idx="503">
                  <c:v>10/14/2021</c:v>
                </c:pt>
                <c:pt idx="504">
                  <c:v>10/15/2021</c:v>
                </c:pt>
                <c:pt idx="505">
                  <c:v>10/18/2021</c:v>
                </c:pt>
                <c:pt idx="506">
                  <c:v>10/19/2021</c:v>
                </c:pt>
                <c:pt idx="507">
                  <c:v>10/20/2021</c:v>
                </c:pt>
                <c:pt idx="508">
                  <c:v>10/21/2021</c:v>
                </c:pt>
                <c:pt idx="509">
                  <c:v>10/22/2021</c:v>
                </c:pt>
                <c:pt idx="510">
                  <c:v>10/25/2021</c:v>
                </c:pt>
                <c:pt idx="511">
                  <c:v>10/26/2021</c:v>
                </c:pt>
                <c:pt idx="512">
                  <c:v>10/27/2021</c:v>
                </c:pt>
                <c:pt idx="513">
                  <c:v>10/28/2021</c:v>
                </c:pt>
                <c:pt idx="514">
                  <c:v>10/29/2021</c:v>
                </c:pt>
                <c:pt idx="515">
                  <c:v>11/1/2021</c:v>
                </c:pt>
                <c:pt idx="516">
                  <c:v>11/2/2021</c:v>
                </c:pt>
                <c:pt idx="517">
                  <c:v>11/3/2021</c:v>
                </c:pt>
                <c:pt idx="518">
                  <c:v>11/4/2021</c:v>
                </c:pt>
                <c:pt idx="519">
                  <c:v>11/5/2021</c:v>
                </c:pt>
                <c:pt idx="520">
                  <c:v>11/8/2021</c:v>
                </c:pt>
                <c:pt idx="521">
                  <c:v>11/9/2021</c:v>
                </c:pt>
                <c:pt idx="522">
                  <c:v>11/10/2021</c:v>
                </c:pt>
                <c:pt idx="523">
                  <c:v>11/11/2021</c:v>
                </c:pt>
                <c:pt idx="524">
                  <c:v>11/12/2021</c:v>
                </c:pt>
                <c:pt idx="525">
                  <c:v>11/15/2021</c:v>
                </c:pt>
                <c:pt idx="526">
                  <c:v>11/16/2021</c:v>
                </c:pt>
                <c:pt idx="527">
                  <c:v>11/17/2021</c:v>
                </c:pt>
                <c:pt idx="528">
                  <c:v>11/18/2021</c:v>
                </c:pt>
                <c:pt idx="529">
                  <c:v>11/19/2021</c:v>
                </c:pt>
                <c:pt idx="530">
                  <c:v>11/22/2021</c:v>
                </c:pt>
                <c:pt idx="531">
                  <c:v>11/23/2021</c:v>
                </c:pt>
                <c:pt idx="532">
                  <c:v>11/24/2021</c:v>
                </c:pt>
                <c:pt idx="533">
                  <c:v>11/25/2021</c:v>
                </c:pt>
                <c:pt idx="534">
                  <c:v>11/26/2021</c:v>
                </c:pt>
                <c:pt idx="535">
                  <c:v>11/29/2021</c:v>
                </c:pt>
                <c:pt idx="536">
                  <c:v>11/30/2021</c:v>
                </c:pt>
                <c:pt idx="537">
                  <c:v>12/1/2021</c:v>
                </c:pt>
                <c:pt idx="538">
                  <c:v>12/2/2021</c:v>
                </c:pt>
                <c:pt idx="539">
                  <c:v>12/3/2021</c:v>
                </c:pt>
                <c:pt idx="540">
                  <c:v>12/6/2021</c:v>
                </c:pt>
                <c:pt idx="541">
                  <c:v>12/7/2021</c:v>
                </c:pt>
                <c:pt idx="542">
                  <c:v>12/8/2021</c:v>
                </c:pt>
                <c:pt idx="543">
                  <c:v>12/9/2021</c:v>
                </c:pt>
                <c:pt idx="544">
                  <c:v>12/10/2021</c:v>
                </c:pt>
                <c:pt idx="545">
                  <c:v>12/13/2021</c:v>
                </c:pt>
                <c:pt idx="546">
                  <c:v>12/14/2021</c:v>
                </c:pt>
                <c:pt idx="547">
                  <c:v>12/15/2021</c:v>
                </c:pt>
                <c:pt idx="548">
                  <c:v>12/16/2021</c:v>
                </c:pt>
                <c:pt idx="549">
                  <c:v>12/17/2021</c:v>
                </c:pt>
                <c:pt idx="550">
                  <c:v>12/20/2021</c:v>
                </c:pt>
                <c:pt idx="551">
                  <c:v>12/21/2021</c:v>
                </c:pt>
                <c:pt idx="552">
                  <c:v>12/22/2021</c:v>
                </c:pt>
                <c:pt idx="553">
                  <c:v>12/23/2021</c:v>
                </c:pt>
                <c:pt idx="554">
                  <c:v>12/24/2021</c:v>
                </c:pt>
                <c:pt idx="555">
                  <c:v>12/27/2021</c:v>
                </c:pt>
                <c:pt idx="556">
                  <c:v>12/28/2021</c:v>
                </c:pt>
                <c:pt idx="557">
                  <c:v>12/29/2021</c:v>
                </c:pt>
                <c:pt idx="558">
                  <c:v>12/30/2021</c:v>
                </c:pt>
                <c:pt idx="559">
                  <c:v>12/31/2021</c:v>
                </c:pt>
                <c:pt idx="560">
                  <c:v>1/3/2022</c:v>
                </c:pt>
                <c:pt idx="561">
                  <c:v>1/4/2022</c:v>
                </c:pt>
                <c:pt idx="562">
                  <c:v>1/5/2022</c:v>
                </c:pt>
                <c:pt idx="563">
                  <c:v>1/6/2022</c:v>
                </c:pt>
                <c:pt idx="564">
                  <c:v>1/7/2022</c:v>
                </c:pt>
                <c:pt idx="565">
                  <c:v>1/10/2022</c:v>
                </c:pt>
                <c:pt idx="566">
                  <c:v>1/11/2022</c:v>
                </c:pt>
                <c:pt idx="567">
                  <c:v>1/12/2022</c:v>
                </c:pt>
                <c:pt idx="568">
                  <c:v>1/13/2022</c:v>
                </c:pt>
                <c:pt idx="569">
                  <c:v>1/14/2022</c:v>
                </c:pt>
                <c:pt idx="570">
                  <c:v>1/17/2022</c:v>
                </c:pt>
                <c:pt idx="571">
                  <c:v>1/18/2022</c:v>
                </c:pt>
                <c:pt idx="572">
                  <c:v>1/19/2022</c:v>
                </c:pt>
                <c:pt idx="573">
                  <c:v>1/20/2022</c:v>
                </c:pt>
                <c:pt idx="574">
                  <c:v>1/21/2022</c:v>
                </c:pt>
                <c:pt idx="575">
                  <c:v>1/24/2022</c:v>
                </c:pt>
                <c:pt idx="576">
                  <c:v>1/25/2022</c:v>
                </c:pt>
                <c:pt idx="577">
                  <c:v>1/26/2022</c:v>
                </c:pt>
                <c:pt idx="578">
                  <c:v>1/27/2022</c:v>
                </c:pt>
                <c:pt idx="579">
                  <c:v>1/28/2022</c:v>
                </c:pt>
                <c:pt idx="580">
                  <c:v>1/31/2022</c:v>
                </c:pt>
                <c:pt idx="581">
                  <c:v>2/1/2022</c:v>
                </c:pt>
                <c:pt idx="582">
                  <c:v>2/2/2022</c:v>
                </c:pt>
                <c:pt idx="583">
                  <c:v>2/3/2022</c:v>
                </c:pt>
                <c:pt idx="584">
                  <c:v>2/4/2022</c:v>
                </c:pt>
                <c:pt idx="585">
                  <c:v>2/7/2022</c:v>
                </c:pt>
                <c:pt idx="586">
                  <c:v>2/8/2022</c:v>
                </c:pt>
                <c:pt idx="587">
                  <c:v>2/9/2022</c:v>
                </c:pt>
                <c:pt idx="588">
                  <c:v>2/10/2022</c:v>
                </c:pt>
                <c:pt idx="589">
                  <c:v>2/11/2022</c:v>
                </c:pt>
                <c:pt idx="590">
                  <c:v>2/14/2022</c:v>
                </c:pt>
                <c:pt idx="591">
                  <c:v>2/15/2022</c:v>
                </c:pt>
                <c:pt idx="592">
                  <c:v>2/16/2022</c:v>
                </c:pt>
                <c:pt idx="593">
                  <c:v>2/17/2022</c:v>
                </c:pt>
                <c:pt idx="594">
                  <c:v>2/18/2022</c:v>
                </c:pt>
                <c:pt idx="595">
                  <c:v>2/21/2022</c:v>
                </c:pt>
                <c:pt idx="596">
                  <c:v>2/22/2022</c:v>
                </c:pt>
                <c:pt idx="597">
                  <c:v>2/23/2022</c:v>
                </c:pt>
                <c:pt idx="598">
                  <c:v>2/24/2022</c:v>
                </c:pt>
                <c:pt idx="599">
                  <c:v>2/25/2022</c:v>
                </c:pt>
                <c:pt idx="600">
                  <c:v>2/28/2022</c:v>
                </c:pt>
                <c:pt idx="601">
                  <c:v>3/1/2022</c:v>
                </c:pt>
                <c:pt idx="602">
                  <c:v>3/2/2022</c:v>
                </c:pt>
                <c:pt idx="603">
                  <c:v>3/3/2022</c:v>
                </c:pt>
                <c:pt idx="604">
                  <c:v>3/4/2022</c:v>
                </c:pt>
                <c:pt idx="605">
                  <c:v>3/7/2022</c:v>
                </c:pt>
                <c:pt idx="606">
                  <c:v>3/8/2022</c:v>
                </c:pt>
                <c:pt idx="607">
                  <c:v>3/9/2022</c:v>
                </c:pt>
                <c:pt idx="608">
                  <c:v>3/10/2022</c:v>
                </c:pt>
                <c:pt idx="609">
                  <c:v>3/11/2022</c:v>
                </c:pt>
                <c:pt idx="610">
                  <c:v>3/14/2022</c:v>
                </c:pt>
                <c:pt idx="611">
                  <c:v>3/15/2022</c:v>
                </c:pt>
                <c:pt idx="612">
                  <c:v>3/16/2022</c:v>
                </c:pt>
                <c:pt idx="613">
                  <c:v>3/17/2022</c:v>
                </c:pt>
                <c:pt idx="614">
                  <c:v>3/18/2022</c:v>
                </c:pt>
                <c:pt idx="615">
                  <c:v>3/21/2022</c:v>
                </c:pt>
                <c:pt idx="616">
                  <c:v>3/22/2022</c:v>
                </c:pt>
                <c:pt idx="617">
                  <c:v>3/23/2022</c:v>
                </c:pt>
                <c:pt idx="618">
                  <c:v>3/24/2022</c:v>
                </c:pt>
                <c:pt idx="619">
                  <c:v>3/25/2022</c:v>
                </c:pt>
                <c:pt idx="620">
                  <c:v>3/28/2022</c:v>
                </c:pt>
                <c:pt idx="621">
                  <c:v>3/29/2022</c:v>
                </c:pt>
                <c:pt idx="622">
                  <c:v>3/30/2022</c:v>
                </c:pt>
                <c:pt idx="623">
                  <c:v>3/31/2022</c:v>
                </c:pt>
                <c:pt idx="624">
                  <c:v>4/1/2022</c:v>
                </c:pt>
                <c:pt idx="625">
                  <c:v>4/4/2022</c:v>
                </c:pt>
                <c:pt idx="626">
                  <c:v>4/5/2022</c:v>
                </c:pt>
                <c:pt idx="627">
                  <c:v>4/6/2022</c:v>
                </c:pt>
                <c:pt idx="628">
                  <c:v>4/7/2022</c:v>
                </c:pt>
                <c:pt idx="629">
                  <c:v>4/8/2022</c:v>
                </c:pt>
                <c:pt idx="630">
                  <c:v>4/11/2022</c:v>
                </c:pt>
                <c:pt idx="631">
                  <c:v>4/12/2022</c:v>
                </c:pt>
                <c:pt idx="632">
                  <c:v>4/13/2022</c:v>
                </c:pt>
                <c:pt idx="633">
                  <c:v>4/14/2022</c:v>
                </c:pt>
                <c:pt idx="634">
                  <c:v>4/18/2022</c:v>
                </c:pt>
                <c:pt idx="635">
                  <c:v>4/19/2022</c:v>
                </c:pt>
                <c:pt idx="636">
                  <c:v>4/20/2022</c:v>
                </c:pt>
                <c:pt idx="637">
                  <c:v>4/21/2022</c:v>
                </c:pt>
                <c:pt idx="638">
                  <c:v>4/22/2022</c:v>
                </c:pt>
                <c:pt idx="639">
                  <c:v>4/25/2022</c:v>
                </c:pt>
                <c:pt idx="640">
                  <c:v>4/26/2022</c:v>
                </c:pt>
                <c:pt idx="641">
                  <c:v>4/27/2022</c:v>
                </c:pt>
                <c:pt idx="642">
                  <c:v>4/28/2022</c:v>
                </c:pt>
                <c:pt idx="643">
                  <c:v>4/29/2022</c:v>
                </c:pt>
                <c:pt idx="644">
                  <c:v>5/2/2022</c:v>
                </c:pt>
                <c:pt idx="645">
                  <c:v>5/3/2022</c:v>
                </c:pt>
                <c:pt idx="646">
                  <c:v>5/4/2022</c:v>
                </c:pt>
                <c:pt idx="647">
                  <c:v>5/5/2022</c:v>
                </c:pt>
                <c:pt idx="648">
                  <c:v>5/6/2022</c:v>
                </c:pt>
                <c:pt idx="649">
                  <c:v>5/9/2022</c:v>
                </c:pt>
                <c:pt idx="650">
                  <c:v>5/10/2022</c:v>
                </c:pt>
                <c:pt idx="651">
                  <c:v>5/11/2022</c:v>
                </c:pt>
                <c:pt idx="652">
                  <c:v>5/12/2022</c:v>
                </c:pt>
                <c:pt idx="653">
                  <c:v>5/13/2022</c:v>
                </c:pt>
                <c:pt idx="654">
                  <c:v>5/16/2022</c:v>
                </c:pt>
                <c:pt idx="655">
                  <c:v>5/17/2022</c:v>
                </c:pt>
                <c:pt idx="656">
                  <c:v>5/18/2022</c:v>
                </c:pt>
                <c:pt idx="657">
                  <c:v>5/19/2022</c:v>
                </c:pt>
                <c:pt idx="658">
                  <c:v>5/20/2022</c:v>
                </c:pt>
                <c:pt idx="659">
                  <c:v>5/23/2022</c:v>
                </c:pt>
                <c:pt idx="660">
                  <c:v>5/24/2022</c:v>
                </c:pt>
                <c:pt idx="661">
                  <c:v>5/25/2022</c:v>
                </c:pt>
                <c:pt idx="662">
                  <c:v>5/26/2022</c:v>
                </c:pt>
                <c:pt idx="663">
                  <c:v>5/27/2022</c:v>
                </c:pt>
                <c:pt idx="664">
                  <c:v>5/30/2022</c:v>
                </c:pt>
                <c:pt idx="665">
                  <c:v>5/31/2022</c:v>
                </c:pt>
                <c:pt idx="666">
                  <c:v>6/1/2022</c:v>
                </c:pt>
                <c:pt idx="667">
                  <c:v>6/2/2022</c:v>
                </c:pt>
                <c:pt idx="668">
                  <c:v>6/3/2022</c:v>
                </c:pt>
                <c:pt idx="669">
                  <c:v>6/6/2022</c:v>
                </c:pt>
                <c:pt idx="670">
                  <c:v>6/7/2022</c:v>
                </c:pt>
                <c:pt idx="671">
                  <c:v>6/8/2022</c:v>
                </c:pt>
                <c:pt idx="672">
                  <c:v>6/9/2022</c:v>
                </c:pt>
                <c:pt idx="673">
                  <c:v>6/10/2022</c:v>
                </c:pt>
                <c:pt idx="674">
                  <c:v>6/13/2022</c:v>
                </c:pt>
                <c:pt idx="675">
                  <c:v>6/14/2022</c:v>
                </c:pt>
                <c:pt idx="676">
                  <c:v>6/15/2022</c:v>
                </c:pt>
                <c:pt idx="677">
                  <c:v>6/16/2022</c:v>
                </c:pt>
                <c:pt idx="678">
                  <c:v>6/17/2022</c:v>
                </c:pt>
                <c:pt idx="679">
                  <c:v>6/21/2022</c:v>
                </c:pt>
                <c:pt idx="680">
                  <c:v>6/22/2022</c:v>
                </c:pt>
                <c:pt idx="681">
                  <c:v>6/23/2022</c:v>
                </c:pt>
                <c:pt idx="682">
                  <c:v>6/24/2022</c:v>
                </c:pt>
                <c:pt idx="683">
                  <c:v>6/27/2022</c:v>
                </c:pt>
              </c:strCache>
            </c:strRef>
          </c:cat>
          <c:val>
            <c:numRef>
              <c:f>CrudeOilNput!$D$2:$D$685</c:f>
              <c:numCache>
                <c:formatCode>"$"#,##0.00</c:formatCode>
                <c:ptCount val="684"/>
                <c:pt idx="0">
                  <c:v>58.32</c:v>
                </c:pt>
                <c:pt idx="1">
                  <c:v>59.1</c:v>
                </c:pt>
                <c:pt idx="2">
                  <c:v>60.51</c:v>
                </c:pt>
                <c:pt idx="3">
                  <c:v>59.35</c:v>
                </c:pt>
                <c:pt idx="4">
                  <c:v>58.74</c:v>
                </c:pt>
                <c:pt idx="5">
                  <c:v>59.42</c:v>
                </c:pt>
                <c:pt idx="6">
                  <c:v>59.91</c:v>
                </c:pt>
                <c:pt idx="7">
                  <c:v>59.42</c:v>
                </c:pt>
                <c:pt idx="8">
                  <c:v>58.96</c:v>
                </c:pt>
                <c:pt idx="9">
                  <c:v>59.7</c:v>
                </c:pt>
                <c:pt idx="10">
                  <c:v>61.17</c:v>
                </c:pt>
                <c:pt idx="11">
                  <c:v>61.67</c:v>
                </c:pt>
                <c:pt idx="12">
                  <c:v>62.02</c:v>
                </c:pt>
                <c:pt idx="13">
                  <c:v>61.57</c:v>
                </c:pt>
                <c:pt idx="14">
                  <c:v>61.59</c:v>
                </c:pt>
                <c:pt idx="15">
                  <c:v>60.61</c:v>
                </c:pt>
                <c:pt idx="16">
                  <c:v>60.23</c:v>
                </c:pt>
                <c:pt idx="17">
                  <c:v>61.69</c:v>
                </c:pt>
                <c:pt idx="18">
                  <c:v>62.13</c:v>
                </c:pt>
                <c:pt idx="19">
                  <c:v>62.96</c:v>
                </c:pt>
                <c:pt idx="20">
                  <c:v>61.74</c:v>
                </c:pt>
                <c:pt idx="21">
                  <c:v>62.29</c:v>
                </c:pt>
                <c:pt idx="22">
                  <c:v>62.51</c:v>
                </c:pt>
                <c:pt idx="23">
                  <c:v>62.18</c:v>
                </c:pt>
                <c:pt idx="24">
                  <c:v>62.06</c:v>
                </c:pt>
                <c:pt idx="25">
                  <c:v>62.37</c:v>
                </c:pt>
                <c:pt idx="26">
                  <c:v>62.28</c:v>
                </c:pt>
                <c:pt idx="27">
                  <c:v>63.3</c:v>
                </c:pt>
                <c:pt idx="28">
                  <c:v>62.44</c:v>
                </c:pt>
                <c:pt idx="29">
                  <c:v>60.91</c:v>
                </c:pt>
                <c:pt idx="30">
                  <c:v>62.4</c:v>
                </c:pt>
                <c:pt idx="31">
                  <c:v>63.97</c:v>
                </c:pt>
                <c:pt idx="32">
                  <c:v>63.39</c:v>
                </c:pt>
                <c:pt idx="33">
                  <c:v>63.65</c:v>
                </c:pt>
                <c:pt idx="34">
                  <c:v>64.27</c:v>
                </c:pt>
                <c:pt idx="35">
                  <c:v>64.06</c:v>
                </c:pt>
                <c:pt idx="36">
                  <c:v>62.43</c:v>
                </c:pt>
                <c:pt idx="37">
                  <c:v>60.92</c:v>
                </c:pt>
                <c:pt idx="38">
                  <c:v>60.82</c:v>
                </c:pt>
                <c:pt idx="39">
                  <c:v>63</c:v>
                </c:pt>
                <c:pt idx="40">
                  <c:v>63.39</c:v>
                </c:pt>
                <c:pt idx="41">
                  <c:v>64.39</c:v>
                </c:pt>
                <c:pt idx="42">
                  <c:v>64.25</c:v>
                </c:pt>
                <c:pt idx="43">
                  <c:v>64.34</c:v>
                </c:pt>
                <c:pt idx="44">
                  <c:v>63.72</c:v>
                </c:pt>
                <c:pt idx="45">
                  <c:v>64.2</c:v>
                </c:pt>
                <c:pt idx="46">
                  <c:v>65.22</c:v>
                </c:pt>
                <c:pt idx="47">
                  <c:v>65.34</c:v>
                </c:pt>
                <c:pt idx="48">
                  <c:v>66.099999999999994</c:v>
                </c:pt>
                <c:pt idx="49">
                  <c:v>66.17</c:v>
                </c:pt>
                <c:pt idx="50">
                  <c:v>66.540000000000006</c:v>
                </c:pt>
                <c:pt idx="51">
                  <c:v>66.14</c:v>
                </c:pt>
                <c:pt idx="52">
                  <c:v>66.39</c:v>
                </c:pt>
                <c:pt idx="53">
                  <c:v>67.2</c:v>
                </c:pt>
                <c:pt idx="54">
                  <c:v>67.92</c:v>
                </c:pt>
                <c:pt idx="55">
                  <c:v>68.16</c:v>
                </c:pt>
                <c:pt idx="56">
                  <c:v>68.44</c:v>
                </c:pt>
                <c:pt idx="57">
                  <c:v>66</c:v>
                </c:pt>
                <c:pt idx="58">
                  <c:v>66.25</c:v>
                </c:pt>
                <c:pt idx="59">
                  <c:v>68.599999999999994</c:v>
                </c:pt>
                <c:pt idx="60">
                  <c:v>68.91</c:v>
                </c:pt>
                <c:pt idx="61">
                  <c:v>68.27</c:v>
                </c:pt>
                <c:pt idx="62">
                  <c:v>65.44</c:v>
                </c:pt>
                <c:pt idx="63">
                  <c:v>65.37</c:v>
                </c:pt>
                <c:pt idx="64">
                  <c:v>64.98</c:v>
                </c:pt>
                <c:pt idx="65">
                  <c:v>64.2</c:v>
                </c:pt>
                <c:pt idx="66">
                  <c:v>64.489999999999995</c:v>
                </c:pt>
                <c:pt idx="67">
                  <c:v>64</c:v>
                </c:pt>
                <c:pt idx="68">
                  <c:v>64.62</c:v>
                </c:pt>
                <c:pt idx="69">
                  <c:v>64.849999999999994</c:v>
                </c:pt>
                <c:pt idx="70">
                  <c:v>64.59</c:v>
                </c:pt>
                <c:pt idx="71">
                  <c:v>63.21</c:v>
                </c:pt>
                <c:pt idx="72">
                  <c:v>62.04</c:v>
                </c:pt>
                <c:pt idx="73">
                  <c:v>60.69</c:v>
                </c:pt>
                <c:pt idx="74">
                  <c:v>59.32</c:v>
                </c:pt>
                <c:pt idx="75">
                  <c:v>59.51</c:v>
                </c:pt>
                <c:pt idx="76">
                  <c:v>59.81</c:v>
                </c:pt>
                <c:pt idx="77">
                  <c:v>58.29</c:v>
                </c:pt>
                <c:pt idx="78">
                  <c:v>58.16</c:v>
                </c:pt>
                <c:pt idx="79">
                  <c:v>54.45</c:v>
                </c:pt>
                <c:pt idx="80">
                  <c:v>53.96</c:v>
                </c:pt>
                <c:pt idx="81">
                  <c:v>55.28</c:v>
                </c:pt>
                <c:pt idx="82">
                  <c:v>54.93</c:v>
                </c:pt>
                <c:pt idx="83">
                  <c:v>54.47</c:v>
                </c:pt>
                <c:pt idx="84">
                  <c:v>53.27</c:v>
                </c:pt>
                <c:pt idx="85">
                  <c:v>54.01</c:v>
                </c:pt>
                <c:pt idx="86">
                  <c:v>55.79</c:v>
                </c:pt>
                <c:pt idx="87">
                  <c:v>56.34</c:v>
                </c:pt>
                <c:pt idx="88">
                  <c:v>57.32</c:v>
                </c:pt>
                <c:pt idx="89">
                  <c:v>57.75</c:v>
                </c:pt>
                <c:pt idx="90">
                  <c:v>59.12</c:v>
                </c:pt>
                <c:pt idx="91">
                  <c:v>59.31</c:v>
                </c:pt>
                <c:pt idx="92">
                  <c:v>58.5</c:v>
                </c:pt>
                <c:pt idx="93">
                  <c:v>56.3</c:v>
                </c:pt>
                <c:pt idx="94">
                  <c:v>54.95</c:v>
                </c:pt>
                <c:pt idx="95">
                  <c:v>53.43</c:v>
                </c:pt>
                <c:pt idx="96">
                  <c:v>52.18</c:v>
                </c:pt>
                <c:pt idx="97">
                  <c:v>50.52</c:v>
                </c:pt>
                <c:pt idx="98">
                  <c:v>51.9</c:v>
                </c:pt>
                <c:pt idx="99">
                  <c:v>51.86</c:v>
                </c:pt>
                <c:pt idx="100">
                  <c:v>51.13</c:v>
                </c:pt>
                <c:pt idx="101">
                  <c:v>49.99</c:v>
                </c:pt>
                <c:pt idx="102">
                  <c:v>45.27</c:v>
                </c:pt>
                <c:pt idx="103">
                  <c:v>34.36</c:v>
                </c:pt>
                <c:pt idx="104">
                  <c:v>37.22</c:v>
                </c:pt>
                <c:pt idx="105">
                  <c:v>35.79</c:v>
                </c:pt>
                <c:pt idx="106">
                  <c:v>33.22</c:v>
                </c:pt>
                <c:pt idx="107">
                  <c:v>33.85</c:v>
                </c:pt>
                <c:pt idx="108">
                  <c:v>30.05</c:v>
                </c:pt>
                <c:pt idx="109">
                  <c:v>28.73</c:v>
                </c:pt>
                <c:pt idx="110">
                  <c:v>24.88</c:v>
                </c:pt>
                <c:pt idx="111">
                  <c:v>28.47</c:v>
                </c:pt>
                <c:pt idx="112">
                  <c:v>26.98</c:v>
                </c:pt>
                <c:pt idx="113">
                  <c:v>27.03</c:v>
                </c:pt>
                <c:pt idx="114">
                  <c:v>27.15</c:v>
                </c:pt>
                <c:pt idx="115">
                  <c:v>27.39</c:v>
                </c:pt>
                <c:pt idx="116">
                  <c:v>26.34</c:v>
                </c:pt>
                <c:pt idx="117">
                  <c:v>24.93</c:v>
                </c:pt>
                <c:pt idx="118">
                  <c:v>22.76</c:v>
                </c:pt>
                <c:pt idx="119">
                  <c:v>26.35</c:v>
                </c:pt>
                <c:pt idx="120">
                  <c:v>24.74</c:v>
                </c:pt>
                <c:pt idx="121">
                  <c:v>29.94</c:v>
                </c:pt>
                <c:pt idx="122">
                  <c:v>34.11</c:v>
                </c:pt>
                <c:pt idx="123">
                  <c:v>33.049999999999997</c:v>
                </c:pt>
                <c:pt idx="124">
                  <c:v>31.87</c:v>
                </c:pt>
                <c:pt idx="125">
                  <c:v>32.840000000000003</c:v>
                </c:pt>
                <c:pt idx="126">
                  <c:v>31.48</c:v>
                </c:pt>
                <c:pt idx="127">
                  <c:v>31.74</c:v>
                </c:pt>
                <c:pt idx="128">
                  <c:v>29.6</c:v>
                </c:pt>
                <c:pt idx="129">
                  <c:v>27.69</c:v>
                </c:pt>
                <c:pt idx="130">
                  <c:v>27.82</c:v>
                </c:pt>
                <c:pt idx="131">
                  <c:v>28.08</c:v>
                </c:pt>
                <c:pt idx="132">
                  <c:v>25.57</c:v>
                </c:pt>
                <c:pt idx="133">
                  <c:v>19.329999999999998</c:v>
                </c:pt>
                <c:pt idx="134">
                  <c:v>20.37</c:v>
                </c:pt>
                <c:pt idx="135">
                  <c:v>21.33</c:v>
                </c:pt>
                <c:pt idx="136">
                  <c:v>21.44</c:v>
                </c:pt>
                <c:pt idx="137">
                  <c:v>19.989999999999998</c:v>
                </c:pt>
                <c:pt idx="138">
                  <c:v>20.46</c:v>
                </c:pt>
                <c:pt idx="139">
                  <c:v>22.54</c:v>
                </c:pt>
                <c:pt idx="140">
                  <c:v>25.27</c:v>
                </c:pt>
                <c:pt idx="141">
                  <c:v>26.44</c:v>
                </c:pt>
                <c:pt idx="142">
                  <c:v>27.2</c:v>
                </c:pt>
                <c:pt idx="143">
                  <c:v>30.97</c:v>
                </c:pt>
                <c:pt idx="144">
                  <c:v>29.72</c:v>
                </c:pt>
                <c:pt idx="145">
                  <c:v>29.46</c:v>
                </c:pt>
                <c:pt idx="146">
                  <c:v>30.97</c:v>
                </c:pt>
                <c:pt idx="147">
                  <c:v>29.63</c:v>
                </c:pt>
                <c:pt idx="148">
                  <c:v>29.98</c:v>
                </c:pt>
                <c:pt idx="149">
                  <c:v>29.19</c:v>
                </c:pt>
                <c:pt idx="150">
                  <c:v>31.13</c:v>
                </c:pt>
                <c:pt idx="151">
                  <c:v>32.5</c:v>
                </c:pt>
                <c:pt idx="152">
                  <c:v>34.81</c:v>
                </c:pt>
                <c:pt idx="153">
                  <c:v>34.65</c:v>
                </c:pt>
                <c:pt idx="154">
                  <c:v>35.75</c:v>
                </c:pt>
                <c:pt idx="155">
                  <c:v>36.06</c:v>
                </c:pt>
                <c:pt idx="156">
                  <c:v>35.130000000000003</c:v>
                </c:pt>
                <c:pt idx="157">
                  <c:v>36.17</c:v>
                </c:pt>
                <c:pt idx="158">
                  <c:v>34.74</c:v>
                </c:pt>
                <c:pt idx="159">
                  <c:v>35.29</c:v>
                </c:pt>
                <c:pt idx="160">
                  <c:v>35.33</c:v>
                </c:pt>
                <c:pt idx="161">
                  <c:v>38.32</c:v>
                </c:pt>
                <c:pt idx="162">
                  <c:v>39.57</c:v>
                </c:pt>
                <c:pt idx="163">
                  <c:v>39.79</c:v>
                </c:pt>
                <c:pt idx="164">
                  <c:v>39.99</c:v>
                </c:pt>
                <c:pt idx="165">
                  <c:v>42.3</c:v>
                </c:pt>
                <c:pt idx="166">
                  <c:v>40.799999999999997</c:v>
                </c:pt>
                <c:pt idx="167">
                  <c:v>41.18</c:v>
                </c:pt>
                <c:pt idx="168">
                  <c:v>41.73</c:v>
                </c:pt>
                <c:pt idx="169">
                  <c:v>38.549999999999997</c:v>
                </c:pt>
                <c:pt idx="170">
                  <c:v>38.729999999999997</c:v>
                </c:pt>
                <c:pt idx="171">
                  <c:v>39.72</c:v>
                </c:pt>
                <c:pt idx="172">
                  <c:v>40.96</c:v>
                </c:pt>
                <c:pt idx="173">
                  <c:v>40.71</c:v>
                </c:pt>
                <c:pt idx="174">
                  <c:v>41.51</c:v>
                </c:pt>
                <c:pt idx="175">
                  <c:v>42.19</c:v>
                </c:pt>
                <c:pt idx="176">
                  <c:v>43.08</c:v>
                </c:pt>
                <c:pt idx="177">
                  <c:v>42.63</c:v>
                </c:pt>
                <c:pt idx="178">
                  <c:v>40.31</c:v>
                </c:pt>
                <c:pt idx="179">
                  <c:v>41.05</c:v>
                </c:pt>
                <c:pt idx="180">
                  <c:v>41.02</c:v>
                </c:pt>
                <c:pt idx="181">
                  <c:v>41.71</c:v>
                </c:pt>
                <c:pt idx="182">
                  <c:v>41.15</c:v>
                </c:pt>
                <c:pt idx="183">
                  <c:v>42.03</c:v>
                </c:pt>
                <c:pt idx="184">
                  <c:v>43.14</c:v>
                </c:pt>
                <c:pt idx="185">
                  <c:v>43.1</c:v>
                </c:pt>
                <c:pt idx="186">
                  <c:v>43.08</c:v>
                </c:pt>
                <c:pt idx="187">
                  <c:v>43.29</c:v>
                </c:pt>
                <c:pt idx="188">
                  <c:v>42.35</c:v>
                </c:pt>
                <c:pt idx="189">
                  <c:v>43.24</c:v>
                </c:pt>
                <c:pt idx="190">
                  <c:v>42.72</c:v>
                </c:pt>
                <c:pt idx="191">
                  <c:v>42.9</c:v>
                </c:pt>
                <c:pt idx="192">
                  <c:v>43.79</c:v>
                </c:pt>
                <c:pt idx="193">
                  <c:v>43.37</c:v>
                </c:pt>
                <c:pt idx="194">
                  <c:v>43.14</c:v>
                </c:pt>
                <c:pt idx="195">
                  <c:v>43.28</c:v>
                </c:pt>
                <c:pt idx="196">
                  <c:v>44.32</c:v>
                </c:pt>
                <c:pt idx="197">
                  <c:v>44.29</c:v>
                </c:pt>
                <c:pt idx="198">
                  <c:v>43.31</c:v>
                </c:pt>
                <c:pt idx="199">
                  <c:v>43.34</c:v>
                </c:pt>
                <c:pt idx="200">
                  <c:v>43.41</c:v>
                </c:pt>
                <c:pt idx="201">
                  <c:v>43.22</c:v>
                </c:pt>
                <c:pt idx="202">
                  <c:v>43.75</c:v>
                </c:pt>
                <c:pt idx="203">
                  <c:v>42.94</c:v>
                </c:pt>
                <c:pt idx="204">
                  <c:v>43.3</c:v>
                </c:pt>
                <c:pt idx="205">
                  <c:v>44.15</c:v>
                </c:pt>
                <c:pt idx="206">
                  <c:v>44.43</c:v>
                </c:pt>
                <c:pt idx="207">
                  <c:v>45.17</c:v>
                </c:pt>
                <c:pt idx="208">
                  <c:v>45.09</c:v>
                </c:pt>
                <c:pt idx="209">
                  <c:v>44.4</c:v>
                </c:pt>
                <c:pt idx="210">
                  <c:v>44.99</c:v>
                </c:pt>
                <c:pt idx="211">
                  <c:v>44.5</c:v>
                </c:pt>
                <c:pt idx="212">
                  <c:v>45.43</c:v>
                </c:pt>
                <c:pt idx="213">
                  <c:v>44.96</c:v>
                </c:pt>
                <c:pt idx="214">
                  <c:v>44.8</c:v>
                </c:pt>
                <c:pt idx="215">
                  <c:v>45.37</c:v>
                </c:pt>
                <c:pt idx="216">
                  <c:v>45.46</c:v>
                </c:pt>
                <c:pt idx="217">
                  <c:v>45.37</c:v>
                </c:pt>
                <c:pt idx="218">
                  <c:v>44.9</c:v>
                </c:pt>
                <c:pt idx="219">
                  <c:v>44.35</c:v>
                </c:pt>
                <c:pt idx="220">
                  <c:v>45.13</c:v>
                </c:pt>
                <c:pt idx="221">
                  <c:v>45.86</c:v>
                </c:pt>
                <c:pt idx="222">
                  <c:v>45.64</c:v>
                </c:pt>
                <c:pt idx="223">
                  <c:v>45.09</c:v>
                </c:pt>
                <c:pt idx="224">
                  <c:v>45.81</c:v>
                </c:pt>
                <c:pt idx="225">
                  <c:v>45.28</c:v>
                </c:pt>
                <c:pt idx="226">
                  <c:v>45.58</c:v>
                </c:pt>
                <c:pt idx="227">
                  <c:v>44.43</c:v>
                </c:pt>
                <c:pt idx="228">
                  <c:v>44.07</c:v>
                </c:pt>
                <c:pt idx="229">
                  <c:v>42.66</c:v>
                </c:pt>
                <c:pt idx="230">
                  <c:v>39.78</c:v>
                </c:pt>
                <c:pt idx="231">
                  <c:v>40.79</c:v>
                </c:pt>
                <c:pt idx="232">
                  <c:v>40.06</c:v>
                </c:pt>
                <c:pt idx="233">
                  <c:v>39.83</c:v>
                </c:pt>
                <c:pt idx="234">
                  <c:v>39.61</c:v>
                </c:pt>
                <c:pt idx="235">
                  <c:v>40.53</c:v>
                </c:pt>
                <c:pt idx="236">
                  <c:v>42.22</c:v>
                </c:pt>
                <c:pt idx="237">
                  <c:v>43.3</c:v>
                </c:pt>
                <c:pt idx="238">
                  <c:v>43.15</c:v>
                </c:pt>
                <c:pt idx="239">
                  <c:v>41.44</c:v>
                </c:pt>
                <c:pt idx="240">
                  <c:v>41.72</c:v>
                </c:pt>
                <c:pt idx="241">
                  <c:v>41.77</c:v>
                </c:pt>
                <c:pt idx="242">
                  <c:v>41.94</c:v>
                </c:pt>
                <c:pt idx="243">
                  <c:v>41.92</c:v>
                </c:pt>
                <c:pt idx="244">
                  <c:v>42.43</c:v>
                </c:pt>
                <c:pt idx="245">
                  <c:v>41.03</c:v>
                </c:pt>
                <c:pt idx="246">
                  <c:v>40.950000000000003</c:v>
                </c:pt>
                <c:pt idx="247">
                  <c:v>40.93</c:v>
                </c:pt>
                <c:pt idx="248">
                  <c:v>39.270000000000003</c:v>
                </c:pt>
                <c:pt idx="249">
                  <c:v>41.29</c:v>
                </c:pt>
                <c:pt idx="250">
                  <c:v>42.65</c:v>
                </c:pt>
                <c:pt idx="251">
                  <c:v>41.99</c:v>
                </c:pt>
                <c:pt idx="252">
                  <c:v>43.34</c:v>
                </c:pt>
                <c:pt idx="253">
                  <c:v>42.85</c:v>
                </c:pt>
                <c:pt idx="254">
                  <c:v>41.72</c:v>
                </c:pt>
                <c:pt idx="255">
                  <c:v>42.45</c:v>
                </c:pt>
                <c:pt idx="256">
                  <c:v>43.32</c:v>
                </c:pt>
                <c:pt idx="257">
                  <c:v>43.16</c:v>
                </c:pt>
                <c:pt idx="258">
                  <c:v>42.93</c:v>
                </c:pt>
                <c:pt idx="259">
                  <c:v>42.62</c:v>
                </c:pt>
                <c:pt idx="260">
                  <c:v>43.16</c:v>
                </c:pt>
                <c:pt idx="261">
                  <c:v>41.73</c:v>
                </c:pt>
                <c:pt idx="262">
                  <c:v>42.46</c:v>
                </c:pt>
                <c:pt idx="263">
                  <c:v>41.77</c:v>
                </c:pt>
                <c:pt idx="264">
                  <c:v>40.46</c:v>
                </c:pt>
                <c:pt idx="265">
                  <c:v>41.2</c:v>
                </c:pt>
                <c:pt idx="266">
                  <c:v>39.119999999999997</c:v>
                </c:pt>
                <c:pt idx="267">
                  <c:v>37.65</c:v>
                </c:pt>
                <c:pt idx="268">
                  <c:v>37.46</c:v>
                </c:pt>
                <c:pt idx="269">
                  <c:v>38.97</c:v>
                </c:pt>
                <c:pt idx="270">
                  <c:v>39.71</c:v>
                </c:pt>
                <c:pt idx="271">
                  <c:v>41.23</c:v>
                </c:pt>
                <c:pt idx="272">
                  <c:v>40.93</c:v>
                </c:pt>
                <c:pt idx="273">
                  <c:v>39.450000000000003</c:v>
                </c:pt>
                <c:pt idx="274">
                  <c:v>42.4</c:v>
                </c:pt>
                <c:pt idx="275">
                  <c:v>43.61</c:v>
                </c:pt>
                <c:pt idx="276">
                  <c:v>43.8</c:v>
                </c:pt>
                <c:pt idx="277">
                  <c:v>43.53</c:v>
                </c:pt>
                <c:pt idx="278">
                  <c:v>42.78</c:v>
                </c:pt>
                <c:pt idx="279">
                  <c:v>43.82</c:v>
                </c:pt>
                <c:pt idx="280">
                  <c:v>43.75</c:v>
                </c:pt>
                <c:pt idx="281">
                  <c:v>44.34</c:v>
                </c:pt>
                <c:pt idx="282">
                  <c:v>44.2</c:v>
                </c:pt>
                <c:pt idx="283">
                  <c:v>44.96</c:v>
                </c:pt>
                <c:pt idx="284">
                  <c:v>46.06</c:v>
                </c:pt>
                <c:pt idx="285">
                  <c:v>47.86</c:v>
                </c:pt>
                <c:pt idx="286">
                  <c:v>48.61</c:v>
                </c:pt>
                <c:pt idx="287">
                  <c:v>48.18</c:v>
                </c:pt>
                <c:pt idx="288">
                  <c:v>47.59</c:v>
                </c:pt>
                <c:pt idx="289">
                  <c:v>47.42</c:v>
                </c:pt>
                <c:pt idx="290">
                  <c:v>48.25</c:v>
                </c:pt>
                <c:pt idx="291">
                  <c:v>48.71</c:v>
                </c:pt>
                <c:pt idx="292">
                  <c:v>49.25</c:v>
                </c:pt>
                <c:pt idx="293">
                  <c:v>48.79</c:v>
                </c:pt>
                <c:pt idx="294">
                  <c:v>48.84</c:v>
                </c:pt>
                <c:pt idx="295">
                  <c:v>48.86</c:v>
                </c:pt>
                <c:pt idx="296">
                  <c:v>50.25</c:v>
                </c:pt>
                <c:pt idx="297">
                  <c:v>49.97</c:v>
                </c:pt>
                <c:pt idx="298">
                  <c:v>50.29</c:v>
                </c:pt>
                <c:pt idx="299">
                  <c:v>50.76</c:v>
                </c:pt>
                <c:pt idx="300">
                  <c:v>51.08</c:v>
                </c:pt>
                <c:pt idx="301">
                  <c:v>51.5</c:v>
                </c:pt>
                <c:pt idx="302">
                  <c:v>52.26</c:v>
                </c:pt>
                <c:pt idx="303">
                  <c:v>50.91</c:v>
                </c:pt>
                <c:pt idx="304">
                  <c:v>50.08</c:v>
                </c:pt>
                <c:pt idx="305">
                  <c:v>51.2</c:v>
                </c:pt>
                <c:pt idx="306">
                  <c:v>51.29</c:v>
                </c:pt>
                <c:pt idx="307">
                  <c:v>50.86</c:v>
                </c:pt>
                <c:pt idx="308">
                  <c:v>51.09</c:v>
                </c:pt>
                <c:pt idx="309">
                  <c:v>51.34</c:v>
                </c:pt>
                <c:pt idx="310">
                  <c:v>51.8</c:v>
                </c:pt>
                <c:pt idx="311">
                  <c:v>51.09</c:v>
                </c:pt>
                <c:pt idx="312">
                  <c:v>53.6</c:v>
                </c:pt>
                <c:pt idx="313">
                  <c:v>54.3</c:v>
                </c:pt>
                <c:pt idx="314">
                  <c:v>54.38</c:v>
                </c:pt>
                <c:pt idx="315">
                  <c:v>55.99</c:v>
                </c:pt>
                <c:pt idx="316">
                  <c:v>55.66</c:v>
                </c:pt>
                <c:pt idx="317">
                  <c:v>56.58</c:v>
                </c:pt>
                <c:pt idx="318">
                  <c:v>56.06</c:v>
                </c:pt>
                <c:pt idx="319">
                  <c:v>56.42</c:v>
                </c:pt>
                <c:pt idx="320">
                  <c:v>55.1</c:v>
                </c:pt>
                <c:pt idx="321">
                  <c:v>55.9</c:v>
                </c:pt>
                <c:pt idx="322">
                  <c:v>56.08</c:v>
                </c:pt>
                <c:pt idx="323">
                  <c:v>56.1</c:v>
                </c:pt>
                <c:pt idx="324">
                  <c:v>55.41</c:v>
                </c:pt>
                <c:pt idx="325">
                  <c:v>55.88</c:v>
                </c:pt>
                <c:pt idx="326">
                  <c:v>55.91</c:v>
                </c:pt>
                <c:pt idx="327">
                  <c:v>55.81</c:v>
                </c:pt>
                <c:pt idx="328">
                  <c:v>55.53</c:v>
                </c:pt>
                <c:pt idx="329">
                  <c:v>55.88</c:v>
                </c:pt>
                <c:pt idx="330">
                  <c:v>56.35</c:v>
                </c:pt>
                <c:pt idx="331">
                  <c:v>57.46</c:v>
                </c:pt>
                <c:pt idx="332">
                  <c:v>58.46</c:v>
                </c:pt>
                <c:pt idx="333">
                  <c:v>58.84</c:v>
                </c:pt>
                <c:pt idx="334">
                  <c:v>59.34</c:v>
                </c:pt>
                <c:pt idx="335">
                  <c:v>60.56</c:v>
                </c:pt>
                <c:pt idx="336">
                  <c:v>61.09</c:v>
                </c:pt>
                <c:pt idx="337">
                  <c:v>61.47</c:v>
                </c:pt>
                <c:pt idx="338">
                  <c:v>61.14</c:v>
                </c:pt>
                <c:pt idx="339">
                  <c:v>62.43</c:v>
                </c:pt>
                <c:pt idx="340">
                  <c:v>63.35</c:v>
                </c:pt>
                <c:pt idx="341">
                  <c:v>64.34</c:v>
                </c:pt>
                <c:pt idx="342">
                  <c:v>63.93</c:v>
                </c:pt>
                <c:pt idx="343">
                  <c:v>62.91</c:v>
                </c:pt>
                <c:pt idx="344">
                  <c:v>65.239999999999995</c:v>
                </c:pt>
                <c:pt idx="345">
                  <c:v>65.37</c:v>
                </c:pt>
                <c:pt idx="346">
                  <c:v>67.040000000000006</c:v>
                </c:pt>
                <c:pt idx="347">
                  <c:v>66.88</c:v>
                </c:pt>
                <c:pt idx="348">
                  <c:v>66.13</c:v>
                </c:pt>
                <c:pt idx="349">
                  <c:v>63.69</c:v>
                </c:pt>
                <c:pt idx="350">
                  <c:v>62.7</c:v>
                </c:pt>
                <c:pt idx="351">
                  <c:v>64.069999999999993</c:v>
                </c:pt>
                <c:pt idx="352">
                  <c:v>66.739999999999995</c:v>
                </c:pt>
                <c:pt idx="353">
                  <c:v>69.36</c:v>
                </c:pt>
                <c:pt idx="354">
                  <c:v>68.239999999999995</c:v>
                </c:pt>
                <c:pt idx="355">
                  <c:v>67.52</c:v>
                </c:pt>
                <c:pt idx="356">
                  <c:v>67.900000000000006</c:v>
                </c:pt>
                <c:pt idx="357">
                  <c:v>69.63</c:v>
                </c:pt>
                <c:pt idx="358">
                  <c:v>69.22</c:v>
                </c:pt>
                <c:pt idx="359">
                  <c:v>68.88</c:v>
                </c:pt>
                <c:pt idx="360">
                  <c:v>68.39</c:v>
                </c:pt>
                <c:pt idx="361">
                  <c:v>68</c:v>
                </c:pt>
                <c:pt idx="362">
                  <c:v>63.28</c:v>
                </c:pt>
                <c:pt idx="363">
                  <c:v>64.53</c:v>
                </c:pt>
                <c:pt idx="364">
                  <c:v>64.62</c:v>
                </c:pt>
                <c:pt idx="365">
                  <c:v>60.79</c:v>
                </c:pt>
                <c:pt idx="366">
                  <c:v>64.41</c:v>
                </c:pt>
                <c:pt idx="367">
                  <c:v>61.95</c:v>
                </c:pt>
                <c:pt idx="368">
                  <c:v>64.569999999999993</c:v>
                </c:pt>
                <c:pt idx="369">
                  <c:v>64.98</c:v>
                </c:pt>
                <c:pt idx="370">
                  <c:v>64.14</c:v>
                </c:pt>
                <c:pt idx="371">
                  <c:v>63.54</c:v>
                </c:pt>
                <c:pt idx="372">
                  <c:v>64.86</c:v>
                </c:pt>
                <c:pt idx="373">
                  <c:v>62.15</c:v>
                </c:pt>
                <c:pt idx="374">
                  <c:v>62.74</c:v>
                </c:pt>
                <c:pt idx="375">
                  <c:v>63.16</c:v>
                </c:pt>
                <c:pt idx="376">
                  <c:v>63.2</c:v>
                </c:pt>
                <c:pt idx="377">
                  <c:v>62.95</c:v>
                </c:pt>
                <c:pt idx="378">
                  <c:v>63.28</c:v>
                </c:pt>
                <c:pt idx="379">
                  <c:v>63.67</c:v>
                </c:pt>
                <c:pt idx="380">
                  <c:v>66.58</c:v>
                </c:pt>
                <c:pt idx="381">
                  <c:v>66.94</c:v>
                </c:pt>
                <c:pt idx="382">
                  <c:v>66.77</c:v>
                </c:pt>
                <c:pt idx="383">
                  <c:v>67.05</c:v>
                </c:pt>
                <c:pt idx="384">
                  <c:v>66.569999999999993</c:v>
                </c:pt>
                <c:pt idx="385">
                  <c:v>65.319999999999993</c:v>
                </c:pt>
                <c:pt idx="386">
                  <c:v>65.400000000000006</c:v>
                </c:pt>
                <c:pt idx="387">
                  <c:v>66.11</c:v>
                </c:pt>
                <c:pt idx="388">
                  <c:v>65.650000000000006</c:v>
                </c:pt>
                <c:pt idx="389">
                  <c:v>66.42</c:v>
                </c:pt>
                <c:pt idx="390">
                  <c:v>67.27</c:v>
                </c:pt>
                <c:pt idx="391">
                  <c:v>68.56</c:v>
                </c:pt>
                <c:pt idx="392">
                  <c:v>67.25</c:v>
                </c:pt>
                <c:pt idx="393">
                  <c:v>67.56</c:v>
                </c:pt>
                <c:pt idx="394">
                  <c:v>68.88</c:v>
                </c:pt>
                <c:pt idx="395">
                  <c:v>68.959999999999994</c:v>
                </c:pt>
                <c:pt idx="396">
                  <c:v>68.09</c:v>
                </c:pt>
                <c:pt idx="397">
                  <c:v>68.28</c:v>
                </c:pt>
                <c:pt idx="398">
                  <c:v>68.319999999999993</c:v>
                </c:pt>
                <c:pt idx="399">
                  <c:v>68.55</c:v>
                </c:pt>
                <c:pt idx="400">
                  <c:v>69.319999999999993</c:v>
                </c:pt>
                <c:pt idx="401">
                  <c:v>67.05</c:v>
                </c:pt>
                <c:pt idx="402">
                  <c:v>68.709999999999994</c:v>
                </c:pt>
                <c:pt idx="403">
                  <c:v>69.459999999999994</c:v>
                </c:pt>
                <c:pt idx="404">
                  <c:v>68.709999999999994</c:v>
                </c:pt>
                <c:pt idx="405">
                  <c:v>66.66</c:v>
                </c:pt>
                <c:pt idx="406">
                  <c:v>65.11</c:v>
                </c:pt>
                <c:pt idx="407">
                  <c:v>66.44</c:v>
                </c:pt>
                <c:pt idx="408">
                  <c:v>68.459999999999994</c:v>
                </c:pt>
                <c:pt idx="409">
                  <c:v>68.650000000000006</c:v>
                </c:pt>
                <c:pt idx="410">
                  <c:v>68.87</c:v>
                </c:pt>
                <c:pt idx="411">
                  <c:v>69.459999999999994</c:v>
                </c:pt>
                <c:pt idx="412">
                  <c:v>69.63</c:v>
                </c:pt>
                <c:pt idx="413">
                  <c:v>70.25</c:v>
                </c:pt>
                <c:pt idx="414">
                  <c:v>71.349999999999994</c:v>
                </c:pt>
                <c:pt idx="415">
                  <c:v>71.31</c:v>
                </c:pt>
                <c:pt idx="416">
                  <c:v>71.89</c:v>
                </c:pt>
                <c:pt idx="417">
                  <c:v>71.489999999999995</c:v>
                </c:pt>
                <c:pt idx="418">
                  <c:v>72.22</c:v>
                </c:pt>
                <c:pt idx="419">
                  <c:v>72.03</c:v>
                </c:pt>
                <c:pt idx="420">
                  <c:v>72.52</c:v>
                </c:pt>
                <c:pt idx="421">
                  <c:v>72.69</c:v>
                </c:pt>
                <c:pt idx="422">
                  <c:v>72.86</c:v>
                </c:pt>
                <c:pt idx="423">
                  <c:v>73.989999999999995</c:v>
                </c:pt>
                <c:pt idx="424">
                  <c:v>74.39</c:v>
                </c:pt>
                <c:pt idx="425">
                  <c:v>73.08</c:v>
                </c:pt>
                <c:pt idx="426">
                  <c:v>73.510000000000005</c:v>
                </c:pt>
                <c:pt idx="427">
                  <c:v>74.900000000000006</c:v>
                </c:pt>
                <c:pt idx="428">
                  <c:v>74.81</c:v>
                </c:pt>
                <c:pt idx="429">
                  <c:v>75.19</c:v>
                </c:pt>
                <c:pt idx="430">
                  <c:v>75.56</c:v>
                </c:pt>
                <c:pt idx="431">
                  <c:v>76.180000000000007</c:v>
                </c:pt>
                <c:pt idx="432">
                  <c:v>74.680000000000007</c:v>
                </c:pt>
                <c:pt idx="433">
                  <c:v>74.760000000000005</c:v>
                </c:pt>
                <c:pt idx="434">
                  <c:v>75.13</c:v>
                </c:pt>
                <c:pt idx="435">
                  <c:v>75.84</c:v>
                </c:pt>
                <c:pt idx="436">
                  <c:v>76.17</c:v>
                </c:pt>
                <c:pt idx="437">
                  <c:v>74.53</c:v>
                </c:pt>
                <c:pt idx="438">
                  <c:v>73.430000000000007</c:v>
                </c:pt>
                <c:pt idx="439">
                  <c:v>74.12</c:v>
                </c:pt>
                <c:pt idx="440">
                  <c:v>75.55</c:v>
                </c:pt>
                <c:pt idx="441">
                  <c:v>75.16</c:v>
                </c:pt>
                <c:pt idx="442">
                  <c:v>76.489999999999995</c:v>
                </c:pt>
                <c:pt idx="443">
                  <c:v>74.760000000000005</c:v>
                </c:pt>
                <c:pt idx="444">
                  <c:v>73.47</c:v>
                </c:pt>
                <c:pt idx="445">
                  <c:v>73.59</c:v>
                </c:pt>
                <c:pt idx="446">
                  <c:v>68.62</c:v>
                </c:pt>
                <c:pt idx="447">
                  <c:v>69.349999999999994</c:v>
                </c:pt>
                <c:pt idx="448">
                  <c:v>72.23</c:v>
                </c:pt>
                <c:pt idx="449">
                  <c:v>73.790000000000006</c:v>
                </c:pt>
                <c:pt idx="450">
                  <c:v>74.099999999999994</c:v>
                </c:pt>
                <c:pt idx="451">
                  <c:v>74.5</c:v>
                </c:pt>
                <c:pt idx="452">
                  <c:v>74.48</c:v>
                </c:pt>
                <c:pt idx="453">
                  <c:v>74.739999999999995</c:v>
                </c:pt>
                <c:pt idx="454">
                  <c:v>76.05</c:v>
                </c:pt>
                <c:pt idx="455">
                  <c:v>76.33</c:v>
                </c:pt>
                <c:pt idx="456">
                  <c:v>72.89</c:v>
                </c:pt>
                <c:pt idx="457">
                  <c:v>72.41</c:v>
                </c:pt>
                <c:pt idx="458">
                  <c:v>70.38</c:v>
                </c:pt>
                <c:pt idx="459">
                  <c:v>71.290000000000006</c:v>
                </c:pt>
                <c:pt idx="460">
                  <c:v>70.7</c:v>
                </c:pt>
                <c:pt idx="461">
                  <c:v>69.040000000000006</c:v>
                </c:pt>
                <c:pt idx="462">
                  <c:v>70.63</c:v>
                </c:pt>
                <c:pt idx="463">
                  <c:v>71.44</c:v>
                </c:pt>
                <c:pt idx="464">
                  <c:v>71.31</c:v>
                </c:pt>
                <c:pt idx="465">
                  <c:v>70.59</c:v>
                </c:pt>
                <c:pt idx="466">
                  <c:v>69.510000000000005</c:v>
                </c:pt>
                <c:pt idx="467">
                  <c:v>69.03</c:v>
                </c:pt>
                <c:pt idx="468">
                  <c:v>68.23</c:v>
                </c:pt>
                <c:pt idx="469">
                  <c:v>66.45</c:v>
                </c:pt>
                <c:pt idx="470">
                  <c:v>65.180000000000007</c:v>
                </c:pt>
                <c:pt idx="471">
                  <c:v>68.75</c:v>
                </c:pt>
                <c:pt idx="472">
                  <c:v>71.05</c:v>
                </c:pt>
                <c:pt idx="473">
                  <c:v>72.25</c:v>
                </c:pt>
                <c:pt idx="474">
                  <c:v>71.069999999999993</c:v>
                </c:pt>
                <c:pt idx="475">
                  <c:v>72.7</c:v>
                </c:pt>
                <c:pt idx="476">
                  <c:v>73.41</c:v>
                </c:pt>
                <c:pt idx="477">
                  <c:v>72.989999999999995</c:v>
                </c:pt>
                <c:pt idx="478">
                  <c:v>71.59</c:v>
                </c:pt>
                <c:pt idx="479">
                  <c:v>73.03</c:v>
                </c:pt>
                <c:pt idx="480">
                  <c:v>72.61</c:v>
                </c:pt>
                <c:pt idx="481">
                  <c:v>71.69</c:v>
                </c:pt>
                <c:pt idx="482">
                  <c:v>72.599999999999994</c:v>
                </c:pt>
                <c:pt idx="483">
                  <c:v>71.45</c:v>
                </c:pt>
                <c:pt idx="484">
                  <c:v>72.92</c:v>
                </c:pt>
                <c:pt idx="485">
                  <c:v>73.510000000000005</c:v>
                </c:pt>
                <c:pt idx="486">
                  <c:v>73.599999999999994</c:v>
                </c:pt>
                <c:pt idx="487">
                  <c:v>75.459999999999994</c:v>
                </c:pt>
                <c:pt idx="488">
                  <c:v>75.67</c:v>
                </c:pt>
                <c:pt idx="489">
                  <c:v>75.34</c:v>
                </c:pt>
                <c:pt idx="490">
                  <c:v>73.92</c:v>
                </c:pt>
                <c:pt idx="491">
                  <c:v>74.36</c:v>
                </c:pt>
                <c:pt idx="492">
                  <c:v>76.19</c:v>
                </c:pt>
                <c:pt idx="493">
                  <c:v>77.25</c:v>
                </c:pt>
                <c:pt idx="494">
                  <c:v>78.09</c:v>
                </c:pt>
                <c:pt idx="495">
                  <c:v>79.53</c:v>
                </c:pt>
                <c:pt idx="496">
                  <c:v>79.09</c:v>
                </c:pt>
                <c:pt idx="497">
                  <c:v>78.64</c:v>
                </c:pt>
                <c:pt idx="498">
                  <c:v>78.52</c:v>
                </c:pt>
                <c:pt idx="499">
                  <c:v>79.28</c:v>
                </c:pt>
                <c:pt idx="500">
                  <c:v>81.260000000000005</c:v>
                </c:pt>
                <c:pt idx="501">
                  <c:v>82.56</c:v>
                </c:pt>
                <c:pt idx="502">
                  <c:v>81.08</c:v>
                </c:pt>
                <c:pt idx="503">
                  <c:v>81.95</c:v>
                </c:pt>
                <c:pt idx="504">
                  <c:v>82.39</c:v>
                </c:pt>
                <c:pt idx="505">
                  <c:v>83.65</c:v>
                </c:pt>
                <c:pt idx="506">
                  <c:v>83.42</c:v>
                </c:pt>
                <c:pt idx="507">
                  <c:v>83.18</c:v>
                </c:pt>
                <c:pt idx="508">
                  <c:v>84</c:v>
                </c:pt>
                <c:pt idx="509">
                  <c:v>84.86</c:v>
                </c:pt>
                <c:pt idx="510">
                  <c:v>84.33</c:v>
                </c:pt>
                <c:pt idx="511">
                  <c:v>85.08</c:v>
                </c:pt>
                <c:pt idx="512">
                  <c:v>85.82</c:v>
                </c:pt>
                <c:pt idx="513">
                  <c:v>84.61</c:v>
                </c:pt>
                <c:pt idx="514">
                  <c:v>85.53</c:v>
                </c:pt>
                <c:pt idx="515">
                  <c:v>85.99</c:v>
                </c:pt>
                <c:pt idx="516">
                  <c:v>86.4</c:v>
                </c:pt>
                <c:pt idx="517">
                  <c:v>84.58</c:v>
                </c:pt>
                <c:pt idx="518">
                  <c:v>84.32</c:v>
                </c:pt>
                <c:pt idx="519">
                  <c:v>84.38</c:v>
                </c:pt>
                <c:pt idx="520">
                  <c:v>84.71</c:v>
                </c:pt>
                <c:pt idx="521">
                  <c:v>84.72</c:v>
                </c:pt>
                <c:pt idx="522">
                  <c:v>81.99</c:v>
                </c:pt>
                <c:pt idx="523">
                  <c:v>80.540000000000006</c:v>
                </c:pt>
                <c:pt idx="524">
                  <c:v>82.74</c:v>
                </c:pt>
                <c:pt idx="525">
                  <c:v>83.43</c:v>
                </c:pt>
                <c:pt idx="526">
                  <c:v>84.78</c:v>
                </c:pt>
                <c:pt idx="527">
                  <c:v>82.64</c:v>
                </c:pt>
                <c:pt idx="528">
                  <c:v>82.87</c:v>
                </c:pt>
                <c:pt idx="529">
                  <c:v>82.17</c:v>
                </c:pt>
                <c:pt idx="530">
                  <c:v>82.05</c:v>
                </c:pt>
                <c:pt idx="531">
                  <c:v>82.43</c:v>
                </c:pt>
                <c:pt idx="532">
                  <c:v>80.28</c:v>
                </c:pt>
                <c:pt idx="533">
                  <c:v>81.239999999999995</c:v>
                </c:pt>
                <c:pt idx="534">
                  <c:v>78.89</c:v>
                </c:pt>
                <c:pt idx="535">
                  <c:v>79.7</c:v>
                </c:pt>
                <c:pt idx="536">
                  <c:v>82.31</c:v>
                </c:pt>
                <c:pt idx="537">
                  <c:v>82.25</c:v>
                </c:pt>
                <c:pt idx="538">
                  <c:v>72.72</c:v>
                </c:pt>
                <c:pt idx="539">
                  <c:v>73.44</c:v>
                </c:pt>
                <c:pt idx="540">
                  <c:v>70.569999999999993</c:v>
                </c:pt>
                <c:pt idx="541">
                  <c:v>68.87</c:v>
                </c:pt>
                <c:pt idx="542">
                  <c:v>69.67</c:v>
                </c:pt>
                <c:pt idx="543">
                  <c:v>69.88</c:v>
                </c:pt>
                <c:pt idx="544">
                  <c:v>73.08</c:v>
                </c:pt>
                <c:pt idx="545">
                  <c:v>75.44</c:v>
                </c:pt>
                <c:pt idx="546">
                  <c:v>75.819999999999993</c:v>
                </c:pt>
                <c:pt idx="547">
                  <c:v>74.42</c:v>
                </c:pt>
                <c:pt idx="548">
                  <c:v>75.150000000000006</c:v>
                </c:pt>
                <c:pt idx="549">
                  <c:v>74.39</c:v>
                </c:pt>
                <c:pt idx="550">
                  <c:v>73.7</c:v>
                </c:pt>
                <c:pt idx="551">
                  <c:v>73.88</c:v>
                </c:pt>
                <c:pt idx="552">
                  <c:v>75.02</c:v>
                </c:pt>
                <c:pt idx="553">
                  <c:v>73.52</c:v>
                </c:pt>
                <c:pt idx="554">
                  <c:v>71.52</c:v>
                </c:pt>
                <c:pt idx="555">
                  <c:v>73.98</c:v>
                </c:pt>
                <c:pt idx="556">
                  <c:v>75.290000000000006</c:v>
                </c:pt>
                <c:pt idx="557">
                  <c:v>76.849999999999994</c:v>
                </c:pt>
                <c:pt idx="558">
                  <c:v>78.599999999999994</c:v>
                </c:pt>
                <c:pt idx="559">
                  <c:v>78.94</c:v>
                </c:pt>
                <c:pt idx="560">
                  <c:v>79.23</c:v>
                </c:pt>
                <c:pt idx="561">
                  <c:v>79.319999999999993</c:v>
                </c:pt>
                <c:pt idx="562">
                  <c:v>77.78</c:v>
                </c:pt>
                <c:pt idx="563">
                  <c:v>78.98</c:v>
                </c:pt>
                <c:pt idx="564">
                  <c:v>80</c:v>
                </c:pt>
                <c:pt idx="565">
                  <c:v>80.8</c:v>
                </c:pt>
                <c:pt idx="566">
                  <c:v>81.99</c:v>
                </c:pt>
                <c:pt idx="567">
                  <c:v>81.75</c:v>
                </c:pt>
                <c:pt idx="568">
                  <c:v>80.87</c:v>
                </c:pt>
                <c:pt idx="569">
                  <c:v>83.72</c:v>
                </c:pt>
                <c:pt idx="570">
                  <c:v>84.67</c:v>
                </c:pt>
                <c:pt idx="571">
                  <c:v>84.47</c:v>
                </c:pt>
                <c:pt idx="572">
                  <c:v>86.06</c:v>
                </c:pt>
                <c:pt idx="573">
                  <c:v>87.51</c:v>
                </c:pt>
                <c:pt idx="574">
                  <c:v>88.44</c:v>
                </c:pt>
                <c:pt idx="575">
                  <c:v>88.38</c:v>
                </c:pt>
                <c:pt idx="576">
                  <c:v>87.89</c:v>
                </c:pt>
                <c:pt idx="577">
                  <c:v>86.27</c:v>
                </c:pt>
                <c:pt idx="578">
                  <c:v>88.2</c:v>
                </c:pt>
                <c:pt idx="579">
                  <c:v>89.96</c:v>
                </c:pt>
                <c:pt idx="580">
                  <c:v>89.34</c:v>
                </c:pt>
                <c:pt idx="581">
                  <c:v>90.03</c:v>
                </c:pt>
                <c:pt idx="582">
                  <c:v>91.21</c:v>
                </c:pt>
                <c:pt idx="583">
                  <c:v>89.16</c:v>
                </c:pt>
                <c:pt idx="584">
                  <c:v>89.47</c:v>
                </c:pt>
                <c:pt idx="585">
                  <c:v>91.11</c:v>
                </c:pt>
                <c:pt idx="586">
                  <c:v>93.27</c:v>
                </c:pt>
                <c:pt idx="587">
                  <c:v>92.69</c:v>
                </c:pt>
                <c:pt idx="588">
                  <c:v>90.78</c:v>
                </c:pt>
                <c:pt idx="589">
                  <c:v>91.55</c:v>
                </c:pt>
                <c:pt idx="590">
                  <c:v>91.41</c:v>
                </c:pt>
                <c:pt idx="591">
                  <c:v>94.44</c:v>
                </c:pt>
                <c:pt idx="592">
                  <c:v>96.48</c:v>
                </c:pt>
                <c:pt idx="593">
                  <c:v>93.28</c:v>
                </c:pt>
                <c:pt idx="594">
                  <c:v>94.81</c:v>
                </c:pt>
                <c:pt idx="595">
                  <c:v>92.97</c:v>
                </c:pt>
                <c:pt idx="596">
                  <c:v>93.54</c:v>
                </c:pt>
                <c:pt idx="597">
                  <c:v>96.84</c:v>
                </c:pt>
                <c:pt idx="598">
                  <c:v>97.13</c:v>
                </c:pt>
                <c:pt idx="599">
                  <c:v>99.08</c:v>
                </c:pt>
                <c:pt idx="600">
                  <c:v>97.93</c:v>
                </c:pt>
                <c:pt idx="601">
                  <c:v>100.99</c:v>
                </c:pt>
                <c:pt idx="602">
                  <c:v>104.97</c:v>
                </c:pt>
                <c:pt idx="603">
                  <c:v>112.93</c:v>
                </c:pt>
                <c:pt idx="604">
                  <c:v>110.46</c:v>
                </c:pt>
                <c:pt idx="605">
                  <c:v>118.11</c:v>
                </c:pt>
                <c:pt idx="606">
                  <c:v>123.21</c:v>
                </c:pt>
                <c:pt idx="607">
                  <c:v>127.98</c:v>
                </c:pt>
                <c:pt idx="608">
                  <c:v>111.14</c:v>
                </c:pt>
                <c:pt idx="609">
                  <c:v>109.33</c:v>
                </c:pt>
                <c:pt idx="610">
                  <c:v>112.67</c:v>
                </c:pt>
                <c:pt idx="611">
                  <c:v>106.9</c:v>
                </c:pt>
                <c:pt idx="612">
                  <c:v>99.91</c:v>
                </c:pt>
                <c:pt idx="613">
                  <c:v>98.02</c:v>
                </c:pt>
                <c:pt idx="614">
                  <c:v>106.64</c:v>
                </c:pt>
                <c:pt idx="615">
                  <c:v>107.93</c:v>
                </c:pt>
                <c:pt idx="616">
                  <c:v>115.62</c:v>
                </c:pt>
                <c:pt idx="617">
                  <c:v>115.48</c:v>
                </c:pt>
                <c:pt idx="618">
                  <c:v>121.6</c:v>
                </c:pt>
                <c:pt idx="619">
                  <c:v>119.03</c:v>
                </c:pt>
                <c:pt idx="620">
                  <c:v>120.65</c:v>
                </c:pt>
                <c:pt idx="621">
                  <c:v>112.48</c:v>
                </c:pt>
                <c:pt idx="622">
                  <c:v>110.23</c:v>
                </c:pt>
                <c:pt idx="623">
                  <c:v>113.45</c:v>
                </c:pt>
                <c:pt idx="624">
                  <c:v>107.91</c:v>
                </c:pt>
                <c:pt idx="625">
                  <c:v>104.39</c:v>
                </c:pt>
                <c:pt idx="626">
                  <c:v>107.53</c:v>
                </c:pt>
                <c:pt idx="627">
                  <c:v>106.64</c:v>
                </c:pt>
                <c:pt idx="628">
                  <c:v>101.07</c:v>
                </c:pt>
                <c:pt idx="629">
                  <c:v>100.58</c:v>
                </c:pt>
                <c:pt idx="630">
                  <c:v>102.78</c:v>
                </c:pt>
                <c:pt idx="631">
                  <c:v>98.48</c:v>
                </c:pt>
                <c:pt idx="632">
                  <c:v>104.64</c:v>
                </c:pt>
                <c:pt idx="633">
                  <c:v>108.78</c:v>
                </c:pt>
                <c:pt idx="634">
                  <c:v>111.7</c:v>
                </c:pt>
                <c:pt idx="635">
                  <c:v>113.16</c:v>
                </c:pt>
                <c:pt idx="636">
                  <c:v>107.25</c:v>
                </c:pt>
                <c:pt idx="637">
                  <c:v>106.8</c:v>
                </c:pt>
                <c:pt idx="638">
                  <c:v>108.33</c:v>
                </c:pt>
                <c:pt idx="639">
                  <c:v>106.65</c:v>
                </c:pt>
                <c:pt idx="640">
                  <c:v>102.32</c:v>
                </c:pt>
                <c:pt idx="641">
                  <c:v>104.99</c:v>
                </c:pt>
                <c:pt idx="642">
                  <c:v>105.32</c:v>
                </c:pt>
                <c:pt idx="643">
                  <c:v>107.59</c:v>
                </c:pt>
                <c:pt idx="644">
                  <c:v>109.34</c:v>
                </c:pt>
                <c:pt idx="645">
                  <c:v>107.58</c:v>
                </c:pt>
                <c:pt idx="646">
                  <c:v>104.97</c:v>
                </c:pt>
                <c:pt idx="647">
                  <c:v>110.14</c:v>
                </c:pt>
                <c:pt idx="648">
                  <c:v>110.9</c:v>
                </c:pt>
                <c:pt idx="649">
                  <c:v>112.39</c:v>
                </c:pt>
                <c:pt idx="650">
                  <c:v>105.94</c:v>
                </c:pt>
                <c:pt idx="651">
                  <c:v>102.46</c:v>
                </c:pt>
                <c:pt idx="652">
                  <c:v>107.51</c:v>
                </c:pt>
                <c:pt idx="653">
                  <c:v>107.45</c:v>
                </c:pt>
                <c:pt idx="654">
                  <c:v>111.55</c:v>
                </c:pt>
                <c:pt idx="655">
                  <c:v>114.24</c:v>
                </c:pt>
                <c:pt idx="656">
                  <c:v>111.93</c:v>
                </c:pt>
                <c:pt idx="657">
                  <c:v>109.11</c:v>
                </c:pt>
                <c:pt idx="658">
                  <c:v>112.04</c:v>
                </c:pt>
                <c:pt idx="659">
                  <c:v>112.55</c:v>
                </c:pt>
                <c:pt idx="660">
                  <c:v>113.42</c:v>
                </c:pt>
                <c:pt idx="661">
                  <c:v>113.56</c:v>
                </c:pt>
                <c:pt idx="662">
                  <c:v>114.03</c:v>
                </c:pt>
                <c:pt idx="663">
                  <c:v>117.4</c:v>
                </c:pt>
                <c:pt idx="664">
                  <c:v>119.43</c:v>
                </c:pt>
                <c:pt idx="665">
                  <c:v>122.84</c:v>
                </c:pt>
                <c:pt idx="666">
                  <c:v>116.29</c:v>
                </c:pt>
                <c:pt idx="667">
                  <c:v>117.61</c:v>
                </c:pt>
                <c:pt idx="668">
                  <c:v>119.72</c:v>
                </c:pt>
                <c:pt idx="669">
                  <c:v>119.51</c:v>
                </c:pt>
                <c:pt idx="670">
                  <c:v>120.57</c:v>
                </c:pt>
                <c:pt idx="671">
                  <c:v>123.58</c:v>
                </c:pt>
                <c:pt idx="672">
                  <c:v>123.07</c:v>
                </c:pt>
                <c:pt idx="673">
                  <c:v>122.01</c:v>
                </c:pt>
                <c:pt idx="674">
                  <c:v>122.27</c:v>
                </c:pt>
                <c:pt idx="675">
                  <c:v>121.17</c:v>
                </c:pt>
                <c:pt idx="676">
                  <c:v>118.51</c:v>
                </c:pt>
                <c:pt idx="677">
                  <c:v>119.81</c:v>
                </c:pt>
                <c:pt idx="678">
                  <c:v>113.12</c:v>
                </c:pt>
                <c:pt idx="679">
                  <c:v>114.65</c:v>
                </c:pt>
                <c:pt idx="680">
                  <c:v>111.74</c:v>
                </c:pt>
                <c:pt idx="681">
                  <c:v>110.05</c:v>
                </c:pt>
                <c:pt idx="682">
                  <c:v>113.12</c:v>
                </c:pt>
                <c:pt idx="683">
                  <c:v>115.09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591-485D-BD1C-E9420C31A05A}"/>
            </c:ext>
          </c:extLst>
        </c:ser>
        <c:ser>
          <c:idx val="3"/>
          <c:order val="3"/>
          <c:tx>
            <c:strRef>
              <c:f>CrudeOilNput!$E$1</c:f>
              <c:strCache>
                <c:ptCount val="1"/>
                <c:pt idx="0">
                  <c:v>WCanS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CrudeOilNput!$A$2:$A$685</c:f>
              <c:strCache>
                <c:ptCount val="684"/>
                <c:pt idx="0">
                  <c:v>10/31/2019</c:v>
                </c:pt>
                <c:pt idx="1">
                  <c:v>11/1/2019</c:v>
                </c:pt>
                <c:pt idx="2">
                  <c:v>11/4/2019</c:v>
                </c:pt>
                <c:pt idx="3">
                  <c:v>11/5/2019</c:v>
                </c:pt>
                <c:pt idx="4">
                  <c:v>11/6/2019</c:v>
                </c:pt>
                <c:pt idx="5">
                  <c:v>11/7/2019</c:v>
                </c:pt>
                <c:pt idx="6">
                  <c:v>11/8/2019</c:v>
                </c:pt>
                <c:pt idx="7">
                  <c:v>11/11/2019</c:v>
                </c:pt>
                <c:pt idx="8">
                  <c:v>11/12/2019</c:v>
                </c:pt>
                <c:pt idx="9">
                  <c:v>11/13/2019</c:v>
                </c:pt>
                <c:pt idx="10">
                  <c:v>11/14/2019</c:v>
                </c:pt>
                <c:pt idx="11">
                  <c:v>11/15/2019</c:v>
                </c:pt>
                <c:pt idx="12">
                  <c:v>11/18/2019</c:v>
                </c:pt>
                <c:pt idx="13">
                  <c:v>11/19/2019</c:v>
                </c:pt>
                <c:pt idx="14">
                  <c:v>11/20/2019</c:v>
                </c:pt>
                <c:pt idx="15">
                  <c:v>11/21/2019</c:v>
                </c:pt>
                <c:pt idx="16">
                  <c:v>11/22/2019</c:v>
                </c:pt>
                <c:pt idx="17">
                  <c:v>11/25/2019</c:v>
                </c:pt>
                <c:pt idx="18">
                  <c:v>11/26/2019</c:v>
                </c:pt>
                <c:pt idx="19">
                  <c:v>11/27/2019</c:v>
                </c:pt>
                <c:pt idx="20">
                  <c:v>11/28/2019</c:v>
                </c:pt>
                <c:pt idx="21">
                  <c:v>11/29/2019</c:v>
                </c:pt>
                <c:pt idx="22">
                  <c:v>12/2/2019</c:v>
                </c:pt>
                <c:pt idx="23">
                  <c:v>12/3/2019</c:v>
                </c:pt>
                <c:pt idx="24">
                  <c:v>12/4/2019</c:v>
                </c:pt>
                <c:pt idx="25">
                  <c:v>12/5/2019</c:v>
                </c:pt>
                <c:pt idx="26">
                  <c:v>12/6/2019</c:v>
                </c:pt>
                <c:pt idx="27">
                  <c:v>12/9/2019</c:v>
                </c:pt>
                <c:pt idx="28">
                  <c:v>12/10/2019</c:v>
                </c:pt>
                <c:pt idx="29">
                  <c:v>12/11/2019</c:v>
                </c:pt>
                <c:pt idx="30">
                  <c:v>12/12/2019</c:v>
                </c:pt>
                <c:pt idx="31">
                  <c:v>12/13/2019</c:v>
                </c:pt>
                <c:pt idx="32">
                  <c:v>12/16/2019</c:v>
                </c:pt>
                <c:pt idx="33">
                  <c:v>12/17/2019</c:v>
                </c:pt>
                <c:pt idx="34">
                  <c:v>12/18/2019</c:v>
                </c:pt>
                <c:pt idx="35">
                  <c:v>12/19/2019</c:v>
                </c:pt>
                <c:pt idx="36">
                  <c:v>12/20/2019</c:v>
                </c:pt>
                <c:pt idx="37">
                  <c:v>12/23/2019</c:v>
                </c:pt>
                <c:pt idx="38">
                  <c:v>12/24/2019</c:v>
                </c:pt>
                <c:pt idx="39">
                  <c:v>12/26/2019</c:v>
                </c:pt>
                <c:pt idx="40">
                  <c:v>12/27/2019</c:v>
                </c:pt>
                <c:pt idx="41">
                  <c:v>12/30/2019</c:v>
                </c:pt>
                <c:pt idx="42">
                  <c:v>12/31/2019</c:v>
                </c:pt>
                <c:pt idx="43">
                  <c:v>1/2/2020</c:v>
                </c:pt>
                <c:pt idx="44">
                  <c:v>1/3/2020</c:v>
                </c:pt>
                <c:pt idx="45">
                  <c:v>1/6/2020</c:v>
                </c:pt>
                <c:pt idx="46">
                  <c:v>1/7/2020</c:v>
                </c:pt>
                <c:pt idx="47">
                  <c:v>1/8/2020</c:v>
                </c:pt>
                <c:pt idx="48">
                  <c:v>1/9/2020</c:v>
                </c:pt>
                <c:pt idx="49">
                  <c:v>1/10/2020</c:v>
                </c:pt>
                <c:pt idx="50">
                  <c:v>1/13/2020</c:v>
                </c:pt>
                <c:pt idx="51">
                  <c:v>1/14/2020</c:v>
                </c:pt>
                <c:pt idx="52">
                  <c:v>1/15/2020</c:v>
                </c:pt>
                <c:pt idx="53">
                  <c:v>1/16/2020</c:v>
                </c:pt>
                <c:pt idx="54">
                  <c:v>1/17/2020</c:v>
                </c:pt>
                <c:pt idx="55">
                  <c:v>1/20/2020</c:v>
                </c:pt>
                <c:pt idx="56">
                  <c:v>1/21/2020</c:v>
                </c:pt>
                <c:pt idx="57">
                  <c:v>1/22/2020</c:v>
                </c:pt>
                <c:pt idx="58">
                  <c:v>1/23/2020</c:v>
                </c:pt>
                <c:pt idx="59">
                  <c:v>1/24/2020</c:v>
                </c:pt>
                <c:pt idx="60">
                  <c:v>1/27/2020</c:v>
                </c:pt>
                <c:pt idx="61">
                  <c:v>1/28/2020</c:v>
                </c:pt>
                <c:pt idx="62">
                  <c:v>1/29/2020</c:v>
                </c:pt>
                <c:pt idx="63">
                  <c:v>1/30/2020</c:v>
                </c:pt>
                <c:pt idx="64">
                  <c:v>1/31/2020</c:v>
                </c:pt>
                <c:pt idx="65">
                  <c:v>2/3/2020</c:v>
                </c:pt>
                <c:pt idx="66">
                  <c:v>2/4/2020</c:v>
                </c:pt>
                <c:pt idx="67">
                  <c:v>2/5/2020</c:v>
                </c:pt>
                <c:pt idx="68">
                  <c:v>2/6/2020</c:v>
                </c:pt>
                <c:pt idx="69">
                  <c:v>2/7/2020</c:v>
                </c:pt>
                <c:pt idx="70">
                  <c:v>2/10/2020</c:v>
                </c:pt>
                <c:pt idx="71">
                  <c:v>2/11/2020</c:v>
                </c:pt>
                <c:pt idx="72">
                  <c:v>2/12/2020</c:v>
                </c:pt>
                <c:pt idx="73">
                  <c:v>2/13/2020</c:v>
                </c:pt>
                <c:pt idx="74">
                  <c:v>2/14/2020</c:v>
                </c:pt>
                <c:pt idx="75">
                  <c:v>2/17/2020</c:v>
                </c:pt>
                <c:pt idx="76">
                  <c:v>2/18/2020</c:v>
                </c:pt>
                <c:pt idx="77">
                  <c:v>2/19/2020</c:v>
                </c:pt>
                <c:pt idx="78">
                  <c:v>2/20/2020</c:v>
                </c:pt>
                <c:pt idx="79">
                  <c:v>2/21/2020</c:v>
                </c:pt>
                <c:pt idx="80">
                  <c:v>2/24/2020</c:v>
                </c:pt>
                <c:pt idx="81">
                  <c:v>2/25/2020</c:v>
                </c:pt>
                <c:pt idx="82">
                  <c:v>2/26/2020</c:v>
                </c:pt>
                <c:pt idx="83">
                  <c:v>2/27/2020</c:v>
                </c:pt>
                <c:pt idx="84">
                  <c:v>2/28/2020</c:v>
                </c:pt>
                <c:pt idx="85">
                  <c:v>3/2/2020</c:v>
                </c:pt>
                <c:pt idx="86">
                  <c:v>3/3/2020</c:v>
                </c:pt>
                <c:pt idx="87">
                  <c:v>3/4/2020</c:v>
                </c:pt>
                <c:pt idx="88">
                  <c:v>3/5/2020</c:v>
                </c:pt>
                <c:pt idx="89">
                  <c:v>3/6/2020</c:v>
                </c:pt>
                <c:pt idx="90">
                  <c:v>3/9/2020</c:v>
                </c:pt>
                <c:pt idx="91">
                  <c:v>3/10/2020</c:v>
                </c:pt>
                <c:pt idx="92">
                  <c:v>3/11/2020</c:v>
                </c:pt>
                <c:pt idx="93">
                  <c:v>3/12/2020</c:v>
                </c:pt>
                <c:pt idx="94">
                  <c:v>3/13/2020</c:v>
                </c:pt>
                <c:pt idx="95">
                  <c:v>3/16/2020</c:v>
                </c:pt>
                <c:pt idx="96">
                  <c:v>3/17/2020</c:v>
                </c:pt>
                <c:pt idx="97">
                  <c:v>3/18/2020</c:v>
                </c:pt>
                <c:pt idx="98">
                  <c:v>3/19/2020</c:v>
                </c:pt>
                <c:pt idx="99">
                  <c:v>3/20/2020</c:v>
                </c:pt>
                <c:pt idx="100">
                  <c:v>3/23/2020</c:v>
                </c:pt>
                <c:pt idx="101">
                  <c:v>3/24/2020</c:v>
                </c:pt>
                <c:pt idx="102">
                  <c:v>3/25/2020</c:v>
                </c:pt>
                <c:pt idx="103">
                  <c:v>3/26/2020</c:v>
                </c:pt>
                <c:pt idx="104">
                  <c:v>3/27/2020</c:v>
                </c:pt>
                <c:pt idx="105">
                  <c:v>3/30/2020</c:v>
                </c:pt>
                <c:pt idx="106">
                  <c:v>3/31/2020</c:v>
                </c:pt>
                <c:pt idx="107">
                  <c:v>4/1/2020</c:v>
                </c:pt>
                <c:pt idx="108">
                  <c:v>4/2/2020</c:v>
                </c:pt>
                <c:pt idx="109">
                  <c:v>4/3/2020</c:v>
                </c:pt>
                <c:pt idx="110">
                  <c:v>4/6/2020</c:v>
                </c:pt>
                <c:pt idx="111">
                  <c:v>4/7/2020</c:v>
                </c:pt>
                <c:pt idx="112">
                  <c:v>4/8/2020</c:v>
                </c:pt>
                <c:pt idx="113">
                  <c:v>4/9/2020</c:v>
                </c:pt>
                <c:pt idx="114">
                  <c:v>4/13/2020</c:v>
                </c:pt>
                <c:pt idx="115">
                  <c:v>4/14/2020</c:v>
                </c:pt>
                <c:pt idx="116">
                  <c:v>4/15/2020</c:v>
                </c:pt>
                <c:pt idx="117">
                  <c:v>4/16/2020</c:v>
                </c:pt>
                <c:pt idx="118">
                  <c:v>4/17/2020</c:v>
                </c:pt>
                <c:pt idx="119">
                  <c:v>4/20/2020</c:v>
                </c:pt>
                <c:pt idx="120">
                  <c:v>4/21/2020</c:v>
                </c:pt>
                <c:pt idx="121">
                  <c:v>4/22/2020</c:v>
                </c:pt>
                <c:pt idx="122">
                  <c:v>4/23/2020</c:v>
                </c:pt>
                <c:pt idx="123">
                  <c:v>4/24/2020</c:v>
                </c:pt>
                <c:pt idx="124">
                  <c:v>4/27/2020</c:v>
                </c:pt>
                <c:pt idx="125">
                  <c:v>4/28/2020</c:v>
                </c:pt>
                <c:pt idx="126">
                  <c:v>4/29/2020</c:v>
                </c:pt>
                <c:pt idx="127">
                  <c:v>4/30/2020</c:v>
                </c:pt>
                <c:pt idx="128">
                  <c:v>5/1/2020</c:v>
                </c:pt>
                <c:pt idx="129">
                  <c:v>5/4/2020</c:v>
                </c:pt>
                <c:pt idx="130">
                  <c:v>5/5/2020</c:v>
                </c:pt>
                <c:pt idx="131">
                  <c:v>5/6/2020</c:v>
                </c:pt>
                <c:pt idx="132">
                  <c:v>5/7/2020</c:v>
                </c:pt>
                <c:pt idx="133">
                  <c:v>5/8/2020</c:v>
                </c:pt>
                <c:pt idx="134">
                  <c:v>5/11/2020</c:v>
                </c:pt>
                <c:pt idx="135">
                  <c:v>5/12/2020</c:v>
                </c:pt>
                <c:pt idx="136">
                  <c:v>5/13/2020</c:v>
                </c:pt>
                <c:pt idx="137">
                  <c:v>5/14/2020</c:v>
                </c:pt>
                <c:pt idx="138">
                  <c:v>5/15/2020</c:v>
                </c:pt>
                <c:pt idx="139">
                  <c:v>5/18/2020</c:v>
                </c:pt>
                <c:pt idx="140">
                  <c:v>5/19/2020</c:v>
                </c:pt>
                <c:pt idx="141">
                  <c:v>5/20/2020</c:v>
                </c:pt>
                <c:pt idx="142">
                  <c:v>5/21/2020</c:v>
                </c:pt>
                <c:pt idx="143">
                  <c:v>5/22/2020</c:v>
                </c:pt>
                <c:pt idx="144">
                  <c:v>5/26/2020</c:v>
                </c:pt>
                <c:pt idx="145">
                  <c:v>5/27/2020</c:v>
                </c:pt>
                <c:pt idx="146">
                  <c:v>5/28/2020</c:v>
                </c:pt>
                <c:pt idx="147">
                  <c:v>5/29/2020</c:v>
                </c:pt>
                <c:pt idx="148">
                  <c:v>6/1/2020</c:v>
                </c:pt>
                <c:pt idx="149">
                  <c:v>6/2/2020</c:v>
                </c:pt>
                <c:pt idx="150">
                  <c:v>6/3/2020</c:v>
                </c:pt>
                <c:pt idx="151">
                  <c:v>6/4/2020</c:v>
                </c:pt>
                <c:pt idx="152">
                  <c:v>6/5/2020</c:v>
                </c:pt>
                <c:pt idx="153">
                  <c:v>6/8/2020</c:v>
                </c:pt>
                <c:pt idx="154">
                  <c:v>6/9/2020</c:v>
                </c:pt>
                <c:pt idx="155">
                  <c:v>6/10/2020</c:v>
                </c:pt>
                <c:pt idx="156">
                  <c:v>6/11/2020</c:v>
                </c:pt>
                <c:pt idx="157">
                  <c:v>6/12/2020</c:v>
                </c:pt>
                <c:pt idx="158">
                  <c:v>6/15/2020</c:v>
                </c:pt>
                <c:pt idx="159">
                  <c:v>6/16/2020</c:v>
                </c:pt>
                <c:pt idx="160">
                  <c:v>6/17/2020</c:v>
                </c:pt>
                <c:pt idx="161">
                  <c:v>6/18/2020</c:v>
                </c:pt>
                <c:pt idx="162">
                  <c:v>6/19/2020</c:v>
                </c:pt>
                <c:pt idx="163">
                  <c:v>6/22/2020</c:v>
                </c:pt>
                <c:pt idx="164">
                  <c:v>6/23/2020</c:v>
                </c:pt>
                <c:pt idx="165">
                  <c:v>6/24/2020</c:v>
                </c:pt>
                <c:pt idx="166">
                  <c:v>6/25/2020</c:v>
                </c:pt>
                <c:pt idx="167">
                  <c:v>6/26/2020</c:v>
                </c:pt>
                <c:pt idx="168">
                  <c:v>6/29/2020</c:v>
                </c:pt>
                <c:pt idx="169">
                  <c:v>6/30/2020</c:v>
                </c:pt>
                <c:pt idx="170">
                  <c:v>7/1/2020</c:v>
                </c:pt>
                <c:pt idx="171">
                  <c:v>7/2/2020</c:v>
                </c:pt>
                <c:pt idx="172">
                  <c:v>7/3/2020</c:v>
                </c:pt>
                <c:pt idx="173">
                  <c:v>7/6/2020</c:v>
                </c:pt>
                <c:pt idx="174">
                  <c:v>7/7/2020</c:v>
                </c:pt>
                <c:pt idx="175">
                  <c:v>7/8/2020</c:v>
                </c:pt>
                <c:pt idx="176">
                  <c:v>7/9/2020</c:v>
                </c:pt>
                <c:pt idx="177">
                  <c:v>7/10/2020</c:v>
                </c:pt>
                <c:pt idx="178">
                  <c:v>7/13/2020</c:v>
                </c:pt>
                <c:pt idx="179">
                  <c:v>7/14/2020</c:v>
                </c:pt>
                <c:pt idx="180">
                  <c:v>7/15/2020</c:v>
                </c:pt>
                <c:pt idx="181">
                  <c:v>7/16/2020</c:v>
                </c:pt>
                <c:pt idx="182">
                  <c:v>7/17/2020</c:v>
                </c:pt>
                <c:pt idx="183">
                  <c:v>7/20/2020</c:v>
                </c:pt>
                <c:pt idx="184">
                  <c:v>7/21/2020</c:v>
                </c:pt>
                <c:pt idx="185">
                  <c:v>7/22/2020</c:v>
                </c:pt>
                <c:pt idx="186">
                  <c:v>7/23/2020</c:v>
                </c:pt>
                <c:pt idx="187">
                  <c:v>7/24/2020</c:v>
                </c:pt>
                <c:pt idx="188">
                  <c:v>7/27/2020</c:v>
                </c:pt>
                <c:pt idx="189">
                  <c:v>7/28/2020</c:v>
                </c:pt>
                <c:pt idx="190">
                  <c:v>7/29/2020</c:v>
                </c:pt>
                <c:pt idx="191">
                  <c:v>7/30/2020</c:v>
                </c:pt>
                <c:pt idx="192">
                  <c:v>7/31/2020</c:v>
                </c:pt>
                <c:pt idx="193">
                  <c:v>8/3/2020</c:v>
                </c:pt>
                <c:pt idx="194">
                  <c:v>8/4/2020</c:v>
                </c:pt>
                <c:pt idx="195">
                  <c:v>8/5/2020</c:v>
                </c:pt>
                <c:pt idx="196">
                  <c:v>8/6/2020</c:v>
                </c:pt>
                <c:pt idx="197">
                  <c:v>8/7/2020</c:v>
                </c:pt>
                <c:pt idx="198">
                  <c:v>8/10/2020</c:v>
                </c:pt>
                <c:pt idx="199">
                  <c:v>8/11/2020</c:v>
                </c:pt>
                <c:pt idx="200">
                  <c:v>8/12/2020</c:v>
                </c:pt>
                <c:pt idx="201">
                  <c:v>8/13/2020</c:v>
                </c:pt>
                <c:pt idx="202">
                  <c:v>8/14/2020</c:v>
                </c:pt>
                <c:pt idx="203">
                  <c:v>8/17/2020</c:v>
                </c:pt>
                <c:pt idx="204">
                  <c:v>8/18/2020</c:v>
                </c:pt>
                <c:pt idx="205">
                  <c:v>8/19/2020</c:v>
                </c:pt>
                <c:pt idx="206">
                  <c:v>8/20/2020</c:v>
                </c:pt>
                <c:pt idx="207">
                  <c:v>8/21/2020</c:v>
                </c:pt>
                <c:pt idx="208">
                  <c:v>8/24/2020</c:v>
                </c:pt>
                <c:pt idx="209">
                  <c:v>8/25/2020</c:v>
                </c:pt>
                <c:pt idx="210">
                  <c:v>8/26/2020</c:v>
                </c:pt>
                <c:pt idx="211">
                  <c:v>8/27/2020</c:v>
                </c:pt>
                <c:pt idx="212">
                  <c:v>8/28/2020</c:v>
                </c:pt>
                <c:pt idx="213">
                  <c:v>8/31/2020</c:v>
                </c:pt>
                <c:pt idx="214">
                  <c:v>9/1/2020</c:v>
                </c:pt>
                <c:pt idx="215">
                  <c:v>9/2/2020</c:v>
                </c:pt>
                <c:pt idx="216">
                  <c:v>9/3/2020</c:v>
                </c:pt>
                <c:pt idx="217">
                  <c:v>9/4/2020</c:v>
                </c:pt>
                <c:pt idx="218">
                  <c:v>9/7/2020</c:v>
                </c:pt>
                <c:pt idx="219">
                  <c:v>9/8/2020</c:v>
                </c:pt>
                <c:pt idx="220">
                  <c:v>9/9/2020</c:v>
                </c:pt>
                <c:pt idx="221">
                  <c:v>9/10/2020</c:v>
                </c:pt>
                <c:pt idx="222">
                  <c:v>9/11/2020</c:v>
                </c:pt>
                <c:pt idx="223">
                  <c:v>9/14/2020</c:v>
                </c:pt>
                <c:pt idx="224">
                  <c:v>9/15/2020</c:v>
                </c:pt>
                <c:pt idx="225">
                  <c:v>9/16/2020</c:v>
                </c:pt>
                <c:pt idx="226">
                  <c:v>9/17/2020</c:v>
                </c:pt>
                <c:pt idx="227">
                  <c:v>9/18/2020</c:v>
                </c:pt>
                <c:pt idx="228">
                  <c:v>9/21/2020</c:v>
                </c:pt>
                <c:pt idx="229">
                  <c:v>9/22/2020</c:v>
                </c:pt>
                <c:pt idx="230">
                  <c:v>9/23/2020</c:v>
                </c:pt>
                <c:pt idx="231">
                  <c:v>9/24/2020</c:v>
                </c:pt>
                <c:pt idx="232">
                  <c:v>9/25/2020</c:v>
                </c:pt>
                <c:pt idx="233">
                  <c:v>9/28/2020</c:v>
                </c:pt>
                <c:pt idx="234">
                  <c:v>9/29/2020</c:v>
                </c:pt>
                <c:pt idx="235">
                  <c:v>9/30/2020</c:v>
                </c:pt>
                <c:pt idx="236">
                  <c:v>10/1/2020</c:v>
                </c:pt>
                <c:pt idx="237">
                  <c:v>10/2/2020</c:v>
                </c:pt>
                <c:pt idx="238">
                  <c:v>10/5/2020</c:v>
                </c:pt>
                <c:pt idx="239">
                  <c:v>10/6/2020</c:v>
                </c:pt>
                <c:pt idx="240">
                  <c:v>10/7/2020</c:v>
                </c:pt>
                <c:pt idx="241">
                  <c:v>10/8/2020</c:v>
                </c:pt>
                <c:pt idx="242">
                  <c:v>10/9/2020</c:v>
                </c:pt>
                <c:pt idx="243">
                  <c:v>10/12/2020</c:v>
                </c:pt>
                <c:pt idx="244">
                  <c:v>10/13/2020</c:v>
                </c:pt>
                <c:pt idx="245">
                  <c:v>10/14/2020</c:v>
                </c:pt>
                <c:pt idx="246">
                  <c:v>10/15/2020</c:v>
                </c:pt>
                <c:pt idx="247">
                  <c:v>10/16/2020</c:v>
                </c:pt>
                <c:pt idx="248">
                  <c:v>10/19/2020</c:v>
                </c:pt>
                <c:pt idx="249">
                  <c:v>10/20/2020</c:v>
                </c:pt>
                <c:pt idx="250">
                  <c:v>10/21/2020</c:v>
                </c:pt>
                <c:pt idx="251">
                  <c:v>10/22/2020</c:v>
                </c:pt>
                <c:pt idx="252">
                  <c:v>10/23/2020</c:v>
                </c:pt>
                <c:pt idx="253">
                  <c:v>10/26/2020</c:v>
                </c:pt>
                <c:pt idx="254">
                  <c:v>10/27/2020</c:v>
                </c:pt>
                <c:pt idx="255">
                  <c:v>10/28/2020</c:v>
                </c:pt>
                <c:pt idx="256">
                  <c:v>10/29/2020</c:v>
                </c:pt>
                <c:pt idx="257">
                  <c:v>10/30/2020</c:v>
                </c:pt>
                <c:pt idx="258">
                  <c:v>11/2/2020</c:v>
                </c:pt>
                <c:pt idx="259">
                  <c:v>11/3/2020</c:v>
                </c:pt>
                <c:pt idx="260">
                  <c:v>11/4/2020</c:v>
                </c:pt>
                <c:pt idx="261">
                  <c:v>11/5/2020</c:v>
                </c:pt>
                <c:pt idx="262">
                  <c:v>11/6/2020</c:v>
                </c:pt>
                <c:pt idx="263">
                  <c:v>11/9/2020</c:v>
                </c:pt>
                <c:pt idx="264">
                  <c:v>11/10/2020</c:v>
                </c:pt>
                <c:pt idx="265">
                  <c:v>11/11/2020</c:v>
                </c:pt>
                <c:pt idx="266">
                  <c:v>11/12/2020</c:v>
                </c:pt>
                <c:pt idx="267">
                  <c:v>11/13/2020</c:v>
                </c:pt>
                <c:pt idx="268">
                  <c:v>11/16/2020</c:v>
                </c:pt>
                <c:pt idx="269">
                  <c:v>11/17/2020</c:v>
                </c:pt>
                <c:pt idx="270">
                  <c:v>11/18/2020</c:v>
                </c:pt>
                <c:pt idx="271">
                  <c:v>11/19/2020</c:v>
                </c:pt>
                <c:pt idx="272">
                  <c:v>11/20/2020</c:v>
                </c:pt>
                <c:pt idx="273">
                  <c:v>11/23/2020</c:v>
                </c:pt>
                <c:pt idx="274">
                  <c:v>11/24/2020</c:v>
                </c:pt>
                <c:pt idx="275">
                  <c:v>11/25/2020</c:v>
                </c:pt>
                <c:pt idx="276">
                  <c:v>11/26/2020</c:v>
                </c:pt>
                <c:pt idx="277">
                  <c:v>11/27/2020</c:v>
                </c:pt>
                <c:pt idx="278">
                  <c:v>11/30/2020</c:v>
                </c:pt>
                <c:pt idx="279">
                  <c:v>12/1/2020</c:v>
                </c:pt>
                <c:pt idx="280">
                  <c:v>12/2/2020</c:v>
                </c:pt>
                <c:pt idx="281">
                  <c:v>12/3/2020</c:v>
                </c:pt>
                <c:pt idx="282">
                  <c:v>12/4/2020</c:v>
                </c:pt>
                <c:pt idx="283">
                  <c:v>12/7/2020</c:v>
                </c:pt>
                <c:pt idx="284">
                  <c:v>12/8/2020</c:v>
                </c:pt>
                <c:pt idx="285">
                  <c:v>12/9/2020</c:v>
                </c:pt>
                <c:pt idx="286">
                  <c:v>12/10/2020</c:v>
                </c:pt>
                <c:pt idx="287">
                  <c:v>12/11/2020</c:v>
                </c:pt>
                <c:pt idx="288">
                  <c:v>12/14/2020</c:v>
                </c:pt>
                <c:pt idx="289">
                  <c:v>12/15/2020</c:v>
                </c:pt>
                <c:pt idx="290">
                  <c:v>12/16/2020</c:v>
                </c:pt>
                <c:pt idx="291">
                  <c:v>12/17/2020</c:v>
                </c:pt>
                <c:pt idx="292">
                  <c:v>12/18/2020</c:v>
                </c:pt>
                <c:pt idx="293">
                  <c:v>12/21/2020</c:v>
                </c:pt>
                <c:pt idx="294">
                  <c:v>12/22/2020</c:v>
                </c:pt>
                <c:pt idx="295">
                  <c:v>12/23/2020</c:v>
                </c:pt>
                <c:pt idx="296">
                  <c:v>12/24/2020</c:v>
                </c:pt>
                <c:pt idx="297">
                  <c:v>12/28/2020</c:v>
                </c:pt>
                <c:pt idx="298">
                  <c:v>12/29/2020</c:v>
                </c:pt>
                <c:pt idx="299">
                  <c:v>12/30/2020</c:v>
                </c:pt>
                <c:pt idx="300">
                  <c:v>12/31/2020</c:v>
                </c:pt>
                <c:pt idx="301">
                  <c:v>1/4/2021</c:v>
                </c:pt>
                <c:pt idx="302">
                  <c:v>1/5/2021</c:v>
                </c:pt>
                <c:pt idx="303">
                  <c:v>1/6/2021</c:v>
                </c:pt>
                <c:pt idx="304">
                  <c:v>1/7/2021</c:v>
                </c:pt>
                <c:pt idx="305">
                  <c:v>1/8/2021</c:v>
                </c:pt>
                <c:pt idx="306">
                  <c:v>1/11/2021</c:v>
                </c:pt>
                <c:pt idx="307">
                  <c:v>1/12/2021</c:v>
                </c:pt>
                <c:pt idx="308">
                  <c:v>1/13/2021</c:v>
                </c:pt>
                <c:pt idx="309">
                  <c:v>1/14/2021</c:v>
                </c:pt>
                <c:pt idx="310">
                  <c:v>1/15/2021</c:v>
                </c:pt>
                <c:pt idx="311">
                  <c:v>1/18/2021</c:v>
                </c:pt>
                <c:pt idx="312">
                  <c:v>1/19/2021</c:v>
                </c:pt>
                <c:pt idx="313">
                  <c:v>1/20/2021</c:v>
                </c:pt>
                <c:pt idx="314">
                  <c:v>1/21/2021</c:v>
                </c:pt>
                <c:pt idx="315">
                  <c:v>1/22/2021</c:v>
                </c:pt>
                <c:pt idx="316">
                  <c:v>1/25/2021</c:v>
                </c:pt>
                <c:pt idx="317">
                  <c:v>1/26/2021</c:v>
                </c:pt>
                <c:pt idx="318">
                  <c:v>1/27/2021</c:v>
                </c:pt>
                <c:pt idx="319">
                  <c:v>1/28/2021</c:v>
                </c:pt>
                <c:pt idx="320">
                  <c:v>1/29/2021</c:v>
                </c:pt>
                <c:pt idx="321">
                  <c:v>2/1/2021</c:v>
                </c:pt>
                <c:pt idx="322">
                  <c:v>2/2/2021</c:v>
                </c:pt>
                <c:pt idx="323">
                  <c:v>2/3/2021</c:v>
                </c:pt>
                <c:pt idx="324">
                  <c:v>2/4/2021</c:v>
                </c:pt>
                <c:pt idx="325">
                  <c:v>2/5/2021</c:v>
                </c:pt>
                <c:pt idx="326">
                  <c:v>2/8/2021</c:v>
                </c:pt>
                <c:pt idx="327">
                  <c:v>2/9/2021</c:v>
                </c:pt>
                <c:pt idx="328">
                  <c:v>2/10/2021</c:v>
                </c:pt>
                <c:pt idx="329">
                  <c:v>2/11/2021</c:v>
                </c:pt>
                <c:pt idx="330">
                  <c:v>2/12/2021</c:v>
                </c:pt>
                <c:pt idx="331">
                  <c:v>2/15/2021</c:v>
                </c:pt>
                <c:pt idx="332">
                  <c:v>2/16/2021</c:v>
                </c:pt>
                <c:pt idx="333">
                  <c:v>2/17/2021</c:v>
                </c:pt>
                <c:pt idx="334">
                  <c:v>2/18/2021</c:v>
                </c:pt>
                <c:pt idx="335">
                  <c:v>2/19/2021</c:v>
                </c:pt>
                <c:pt idx="336">
                  <c:v>2/22/2021</c:v>
                </c:pt>
                <c:pt idx="337">
                  <c:v>2/23/2021</c:v>
                </c:pt>
                <c:pt idx="338">
                  <c:v>2/24/2021</c:v>
                </c:pt>
                <c:pt idx="339">
                  <c:v>2/25/2021</c:v>
                </c:pt>
                <c:pt idx="340">
                  <c:v>2/26/2021</c:v>
                </c:pt>
                <c:pt idx="341">
                  <c:v>3/1/2021</c:v>
                </c:pt>
                <c:pt idx="342">
                  <c:v>3/2/2021</c:v>
                </c:pt>
                <c:pt idx="343">
                  <c:v>3/3/2021</c:v>
                </c:pt>
                <c:pt idx="344">
                  <c:v>3/4/2021</c:v>
                </c:pt>
                <c:pt idx="345">
                  <c:v>3/5/2021</c:v>
                </c:pt>
                <c:pt idx="346">
                  <c:v>3/8/2021</c:v>
                </c:pt>
                <c:pt idx="347">
                  <c:v>3/9/2021</c:v>
                </c:pt>
                <c:pt idx="348">
                  <c:v>3/10/2021</c:v>
                </c:pt>
                <c:pt idx="349">
                  <c:v>3/11/2021</c:v>
                </c:pt>
                <c:pt idx="350">
                  <c:v>3/12/2021</c:v>
                </c:pt>
                <c:pt idx="351">
                  <c:v>3/15/2021</c:v>
                </c:pt>
                <c:pt idx="352">
                  <c:v>3/16/2021</c:v>
                </c:pt>
                <c:pt idx="353">
                  <c:v>3/17/2021</c:v>
                </c:pt>
                <c:pt idx="354">
                  <c:v>3/18/2021</c:v>
                </c:pt>
                <c:pt idx="355">
                  <c:v>3/19/2021</c:v>
                </c:pt>
                <c:pt idx="356">
                  <c:v>3/22/2021</c:v>
                </c:pt>
                <c:pt idx="357">
                  <c:v>3/23/2021</c:v>
                </c:pt>
                <c:pt idx="358">
                  <c:v>3/24/2021</c:v>
                </c:pt>
                <c:pt idx="359">
                  <c:v>3/25/2021</c:v>
                </c:pt>
                <c:pt idx="360">
                  <c:v>3/26/2021</c:v>
                </c:pt>
                <c:pt idx="361">
                  <c:v>3/29/2021</c:v>
                </c:pt>
                <c:pt idx="362">
                  <c:v>3/30/2021</c:v>
                </c:pt>
                <c:pt idx="363">
                  <c:v>3/31/2021</c:v>
                </c:pt>
                <c:pt idx="364">
                  <c:v>4/1/2021</c:v>
                </c:pt>
                <c:pt idx="365">
                  <c:v>4/5/2021</c:v>
                </c:pt>
                <c:pt idx="366">
                  <c:v>4/6/2021</c:v>
                </c:pt>
                <c:pt idx="367">
                  <c:v>4/7/2021</c:v>
                </c:pt>
                <c:pt idx="368">
                  <c:v>4/8/2021</c:v>
                </c:pt>
                <c:pt idx="369">
                  <c:v>4/9/2021</c:v>
                </c:pt>
                <c:pt idx="370">
                  <c:v>4/12/2021</c:v>
                </c:pt>
                <c:pt idx="371">
                  <c:v>4/13/2021</c:v>
                </c:pt>
                <c:pt idx="372">
                  <c:v>4/14/2021</c:v>
                </c:pt>
                <c:pt idx="373">
                  <c:v>4/15/2021</c:v>
                </c:pt>
                <c:pt idx="374">
                  <c:v>4/16/2021</c:v>
                </c:pt>
                <c:pt idx="375">
                  <c:v>4/19/2021</c:v>
                </c:pt>
                <c:pt idx="376">
                  <c:v>4/20/2021</c:v>
                </c:pt>
                <c:pt idx="377">
                  <c:v>4/21/2021</c:v>
                </c:pt>
                <c:pt idx="378">
                  <c:v>4/22/2021</c:v>
                </c:pt>
                <c:pt idx="379">
                  <c:v>4/23/2021</c:v>
                </c:pt>
                <c:pt idx="380">
                  <c:v>4/26/2021</c:v>
                </c:pt>
                <c:pt idx="381">
                  <c:v>4/27/2021</c:v>
                </c:pt>
                <c:pt idx="382">
                  <c:v>4/28/2021</c:v>
                </c:pt>
                <c:pt idx="383">
                  <c:v>4/29/2021</c:v>
                </c:pt>
                <c:pt idx="384">
                  <c:v>4/30/2021</c:v>
                </c:pt>
                <c:pt idx="385">
                  <c:v>5/3/2021</c:v>
                </c:pt>
                <c:pt idx="386">
                  <c:v>5/4/2021</c:v>
                </c:pt>
                <c:pt idx="387">
                  <c:v>5/5/2021</c:v>
                </c:pt>
                <c:pt idx="388">
                  <c:v>5/6/2021</c:v>
                </c:pt>
                <c:pt idx="389">
                  <c:v>5/7/2021</c:v>
                </c:pt>
                <c:pt idx="390">
                  <c:v>5/10/2021</c:v>
                </c:pt>
                <c:pt idx="391">
                  <c:v>5/11/2021</c:v>
                </c:pt>
                <c:pt idx="392">
                  <c:v>5/12/2021</c:v>
                </c:pt>
                <c:pt idx="393">
                  <c:v>5/13/2021</c:v>
                </c:pt>
                <c:pt idx="394">
                  <c:v>5/14/2021</c:v>
                </c:pt>
                <c:pt idx="395">
                  <c:v>5/17/2021</c:v>
                </c:pt>
                <c:pt idx="396">
                  <c:v>5/18/2021</c:v>
                </c:pt>
                <c:pt idx="397">
                  <c:v>5/19/2021</c:v>
                </c:pt>
                <c:pt idx="398">
                  <c:v>5/20/2021</c:v>
                </c:pt>
                <c:pt idx="399">
                  <c:v>5/21/2021</c:v>
                </c:pt>
                <c:pt idx="400">
                  <c:v>5/24/2021</c:v>
                </c:pt>
                <c:pt idx="401">
                  <c:v>5/25/2021</c:v>
                </c:pt>
                <c:pt idx="402">
                  <c:v>5/26/2021</c:v>
                </c:pt>
                <c:pt idx="403">
                  <c:v>5/27/2021</c:v>
                </c:pt>
                <c:pt idx="404">
                  <c:v>5/28/2021</c:v>
                </c:pt>
                <c:pt idx="405">
                  <c:v>5/31/2021</c:v>
                </c:pt>
                <c:pt idx="406">
                  <c:v>6/1/2021</c:v>
                </c:pt>
                <c:pt idx="407">
                  <c:v>6/2/2021</c:v>
                </c:pt>
                <c:pt idx="408">
                  <c:v>6/3/2021</c:v>
                </c:pt>
                <c:pt idx="409">
                  <c:v>6/4/2021</c:v>
                </c:pt>
                <c:pt idx="410">
                  <c:v>6/7/2021</c:v>
                </c:pt>
                <c:pt idx="411">
                  <c:v>6/8/2021</c:v>
                </c:pt>
                <c:pt idx="412">
                  <c:v>6/9/2021</c:v>
                </c:pt>
                <c:pt idx="413">
                  <c:v>6/10/2021</c:v>
                </c:pt>
                <c:pt idx="414">
                  <c:v>6/11/2021</c:v>
                </c:pt>
                <c:pt idx="415">
                  <c:v>6/14/2021</c:v>
                </c:pt>
                <c:pt idx="416">
                  <c:v>6/15/2021</c:v>
                </c:pt>
                <c:pt idx="417">
                  <c:v>6/16/2021</c:v>
                </c:pt>
                <c:pt idx="418">
                  <c:v>6/17/2021</c:v>
                </c:pt>
                <c:pt idx="419">
                  <c:v>6/18/2021</c:v>
                </c:pt>
                <c:pt idx="420">
                  <c:v>6/21/2021</c:v>
                </c:pt>
                <c:pt idx="421">
                  <c:v>6/22/2021</c:v>
                </c:pt>
                <c:pt idx="422">
                  <c:v>6/23/2021</c:v>
                </c:pt>
                <c:pt idx="423">
                  <c:v>6/24/2021</c:v>
                </c:pt>
                <c:pt idx="424">
                  <c:v>6/25/2021</c:v>
                </c:pt>
                <c:pt idx="425">
                  <c:v>6/28/2021</c:v>
                </c:pt>
                <c:pt idx="426">
                  <c:v>6/29/2021</c:v>
                </c:pt>
                <c:pt idx="427">
                  <c:v>6/30/2021</c:v>
                </c:pt>
                <c:pt idx="428">
                  <c:v>7/1/2021</c:v>
                </c:pt>
                <c:pt idx="429">
                  <c:v>7/2/2021</c:v>
                </c:pt>
                <c:pt idx="430">
                  <c:v>7/5/2021</c:v>
                </c:pt>
                <c:pt idx="431">
                  <c:v>7/6/2021</c:v>
                </c:pt>
                <c:pt idx="432">
                  <c:v>7/7/2021</c:v>
                </c:pt>
                <c:pt idx="433">
                  <c:v>7/8/2021</c:v>
                </c:pt>
                <c:pt idx="434">
                  <c:v>7/9/2021</c:v>
                </c:pt>
                <c:pt idx="435">
                  <c:v>7/12/2021</c:v>
                </c:pt>
                <c:pt idx="436">
                  <c:v>7/13/2021</c:v>
                </c:pt>
                <c:pt idx="437">
                  <c:v>7/14/2021</c:v>
                </c:pt>
                <c:pt idx="438">
                  <c:v>7/15/2021</c:v>
                </c:pt>
                <c:pt idx="439">
                  <c:v>7/16/2021</c:v>
                </c:pt>
                <c:pt idx="440">
                  <c:v>7/19/2021</c:v>
                </c:pt>
                <c:pt idx="441">
                  <c:v>7/20/2021</c:v>
                </c:pt>
                <c:pt idx="442">
                  <c:v>7/21/2021</c:v>
                </c:pt>
                <c:pt idx="443">
                  <c:v>7/22/2021</c:v>
                </c:pt>
                <c:pt idx="444">
                  <c:v>7/23/2021</c:v>
                </c:pt>
                <c:pt idx="445">
                  <c:v>7/26/2021</c:v>
                </c:pt>
                <c:pt idx="446">
                  <c:v>7/27/2021</c:v>
                </c:pt>
                <c:pt idx="447">
                  <c:v>7/28/2021</c:v>
                </c:pt>
                <c:pt idx="448">
                  <c:v>7/29/2021</c:v>
                </c:pt>
                <c:pt idx="449">
                  <c:v>7/30/2021</c:v>
                </c:pt>
                <c:pt idx="450">
                  <c:v>8/2/2021</c:v>
                </c:pt>
                <c:pt idx="451">
                  <c:v>8/3/2021</c:v>
                </c:pt>
                <c:pt idx="452">
                  <c:v>8/4/2021</c:v>
                </c:pt>
                <c:pt idx="453">
                  <c:v>8/5/2021</c:v>
                </c:pt>
                <c:pt idx="454">
                  <c:v>8/6/2021</c:v>
                </c:pt>
                <c:pt idx="455">
                  <c:v>8/9/2021</c:v>
                </c:pt>
                <c:pt idx="456">
                  <c:v>8/10/2021</c:v>
                </c:pt>
                <c:pt idx="457">
                  <c:v>8/11/2021</c:v>
                </c:pt>
                <c:pt idx="458">
                  <c:v>8/12/2021</c:v>
                </c:pt>
                <c:pt idx="459">
                  <c:v>8/13/2021</c:v>
                </c:pt>
                <c:pt idx="460">
                  <c:v>8/16/2021</c:v>
                </c:pt>
                <c:pt idx="461">
                  <c:v>8/17/2021</c:v>
                </c:pt>
                <c:pt idx="462">
                  <c:v>8/18/2021</c:v>
                </c:pt>
                <c:pt idx="463">
                  <c:v>8/19/2021</c:v>
                </c:pt>
                <c:pt idx="464">
                  <c:v>8/20/2021</c:v>
                </c:pt>
                <c:pt idx="465">
                  <c:v>8/23/2021</c:v>
                </c:pt>
                <c:pt idx="466">
                  <c:v>8/24/2021</c:v>
                </c:pt>
                <c:pt idx="467">
                  <c:v>8/25/2021</c:v>
                </c:pt>
                <c:pt idx="468">
                  <c:v>8/26/2021</c:v>
                </c:pt>
                <c:pt idx="469">
                  <c:v>8/27/2021</c:v>
                </c:pt>
                <c:pt idx="470">
                  <c:v>8/30/2021</c:v>
                </c:pt>
                <c:pt idx="471">
                  <c:v>8/31/2021</c:v>
                </c:pt>
                <c:pt idx="472">
                  <c:v>9/1/2021</c:v>
                </c:pt>
                <c:pt idx="473">
                  <c:v>9/2/2021</c:v>
                </c:pt>
                <c:pt idx="474">
                  <c:v>9/3/2021</c:v>
                </c:pt>
                <c:pt idx="475">
                  <c:v>9/6/2021</c:v>
                </c:pt>
                <c:pt idx="476">
                  <c:v>9/7/2021</c:v>
                </c:pt>
                <c:pt idx="477">
                  <c:v>9/8/2021</c:v>
                </c:pt>
                <c:pt idx="478">
                  <c:v>9/9/2021</c:v>
                </c:pt>
                <c:pt idx="479">
                  <c:v>9/10/2021</c:v>
                </c:pt>
                <c:pt idx="480">
                  <c:v>9/13/2021</c:v>
                </c:pt>
                <c:pt idx="481">
                  <c:v>9/14/2021</c:v>
                </c:pt>
                <c:pt idx="482">
                  <c:v>9/15/2021</c:v>
                </c:pt>
                <c:pt idx="483">
                  <c:v>9/16/2021</c:v>
                </c:pt>
                <c:pt idx="484">
                  <c:v>9/17/2021</c:v>
                </c:pt>
                <c:pt idx="485">
                  <c:v>9/20/2021</c:v>
                </c:pt>
                <c:pt idx="486">
                  <c:v>9/21/2021</c:v>
                </c:pt>
                <c:pt idx="487">
                  <c:v>9/22/2021</c:v>
                </c:pt>
                <c:pt idx="488">
                  <c:v>9/23/2021</c:v>
                </c:pt>
                <c:pt idx="489">
                  <c:v>9/24/2021</c:v>
                </c:pt>
                <c:pt idx="490">
                  <c:v>9/27/2021</c:v>
                </c:pt>
                <c:pt idx="491">
                  <c:v>9/28/2021</c:v>
                </c:pt>
                <c:pt idx="492">
                  <c:v>9/29/2021</c:v>
                </c:pt>
                <c:pt idx="493">
                  <c:v>9/30/2021</c:v>
                </c:pt>
                <c:pt idx="494">
                  <c:v>10/1/2021</c:v>
                </c:pt>
                <c:pt idx="495">
                  <c:v>10/4/2021</c:v>
                </c:pt>
                <c:pt idx="496">
                  <c:v>10/5/2021</c:v>
                </c:pt>
                <c:pt idx="497">
                  <c:v>10/6/2021</c:v>
                </c:pt>
                <c:pt idx="498">
                  <c:v>10/7/2021</c:v>
                </c:pt>
                <c:pt idx="499">
                  <c:v>10/8/2021</c:v>
                </c:pt>
                <c:pt idx="500">
                  <c:v>10/11/2021</c:v>
                </c:pt>
                <c:pt idx="501">
                  <c:v>10/12/2021</c:v>
                </c:pt>
                <c:pt idx="502">
                  <c:v>10/13/2021</c:v>
                </c:pt>
                <c:pt idx="503">
                  <c:v>10/14/2021</c:v>
                </c:pt>
                <c:pt idx="504">
                  <c:v>10/15/2021</c:v>
                </c:pt>
                <c:pt idx="505">
                  <c:v>10/18/2021</c:v>
                </c:pt>
                <c:pt idx="506">
                  <c:v>10/19/2021</c:v>
                </c:pt>
                <c:pt idx="507">
                  <c:v>10/20/2021</c:v>
                </c:pt>
                <c:pt idx="508">
                  <c:v>10/21/2021</c:v>
                </c:pt>
                <c:pt idx="509">
                  <c:v>10/22/2021</c:v>
                </c:pt>
                <c:pt idx="510">
                  <c:v>10/25/2021</c:v>
                </c:pt>
                <c:pt idx="511">
                  <c:v>10/26/2021</c:v>
                </c:pt>
                <c:pt idx="512">
                  <c:v>10/27/2021</c:v>
                </c:pt>
                <c:pt idx="513">
                  <c:v>10/28/2021</c:v>
                </c:pt>
                <c:pt idx="514">
                  <c:v>10/29/2021</c:v>
                </c:pt>
                <c:pt idx="515">
                  <c:v>11/1/2021</c:v>
                </c:pt>
                <c:pt idx="516">
                  <c:v>11/2/2021</c:v>
                </c:pt>
                <c:pt idx="517">
                  <c:v>11/3/2021</c:v>
                </c:pt>
                <c:pt idx="518">
                  <c:v>11/4/2021</c:v>
                </c:pt>
                <c:pt idx="519">
                  <c:v>11/5/2021</c:v>
                </c:pt>
                <c:pt idx="520">
                  <c:v>11/8/2021</c:v>
                </c:pt>
                <c:pt idx="521">
                  <c:v>11/9/2021</c:v>
                </c:pt>
                <c:pt idx="522">
                  <c:v>11/10/2021</c:v>
                </c:pt>
                <c:pt idx="523">
                  <c:v>11/11/2021</c:v>
                </c:pt>
                <c:pt idx="524">
                  <c:v>11/12/2021</c:v>
                </c:pt>
                <c:pt idx="525">
                  <c:v>11/15/2021</c:v>
                </c:pt>
                <c:pt idx="526">
                  <c:v>11/16/2021</c:v>
                </c:pt>
                <c:pt idx="527">
                  <c:v>11/17/2021</c:v>
                </c:pt>
                <c:pt idx="528">
                  <c:v>11/18/2021</c:v>
                </c:pt>
                <c:pt idx="529">
                  <c:v>11/19/2021</c:v>
                </c:pt>
                <c:pt idx="530">
                  <c:v>11/22/2021</c:v>
                </c:pt>
                <c:pt idx="531">
                  <c:v>11/23/2021</c:v>
                </c:pt>
                <c:pt idx="532">
                  <c:v>11/24/2021</c:v>
                </c:pt>
                <c:pt idx="533">
                  <c:v>11/25/2021</c:v>
                </c:pt>
                <c:pt idx="534">
                  <c:v>11/26/2021</c:v>
                </c:pt>
                <c:pt idx="535">
                  <c:v>11/29/2021</c:v>
                </c:pt>
                <c:pt idx="536">
                  <c:v>11/30/2021</c:v>
                </c:pt>
                <c:pt idx="537">
                  <c:v>12/1/2021</c:v>
                </c:pt>
                <c:pt idx="538">
                  <c:v>12/2/2021</c:v>
                </c:pt>
                <c:pt idx="539">
                  <c:v>12/3/2021</c:v>
                </c:pt>
                <c:pt idx="540">
                  <c:v>12/6/2021</c:v>
                </c:pt>
                <c:pt idx="541">
                  <c:v>12/7/2021</c:v>
                </c:pt>
                <c:pt idx="542">
                  <c:v>12/8/2021</c:v>
                </c:pt>
                <c:pt idx="543">
                  <c:v>12/9/2021</c:v>
                </c:pt>
                <c:pt idx="544">
                  <c:v>12/10/2021</c:v>
                </c:pt>
                <c:pt idx="545">
                  <c:v>12/13/2021</c:v>
                </c:pt>
                <c:pt idx="546">
                  <c:v>12/14/2021</c:v>
                </c:pt>
                <c:pt idx="547">
                  <c:v>12/15/2021</c:v>
                </c:pt>
                <c:pt idx="548">
                  <c:v>12/16/2021</c:v>
                </c:pt>
                <c:pt idx="549">
                  <c:v>12/17/2021</c:v>
                </c:pt>
                <c:pt idx="550">
                  <c:v>12/20/2021</c:v>
                </c:pt>
                <c:pt idx="551">
                  <c:v>12/21/2021</c:v>
                </c:pt>
                <c:pt idx="552">
                  <c:v>12/22/2021</c:v>
                </c:pt>
                <c:pt idx="553">
                  <c:v>12/23/2021</c:v>
                </c:pt>
                <c:pt idx="554">
                  <c:v>12/24/2021</c:v>
                </c:pt>
                <c:pt idx="555">
                  <c:v>12/27/2021</c:v>
                </c:pt>
                <c:pt idx="556">
                  <c:v>12/28/2021</c:v>
                </c:pt>
                <c:pt idx="557">
                  <c:v>12/29/2021</c:v>
                </c:pt>
                <c:pt idx="558">
                  <c:v>12/30/2021</c:v>
                </c:pt>
                <c:pt idx="559">
                  <c:v>12/31/2021</c:v>
                </c:pt>
                <c:pt idx="560">
                  <c:v>1/3/2022</c:v>
                </c:pt>
                <c:pt idx="561">
                  <c:v>1/4/2022</c:v>
                </c:pt>
                <c:pt idx="562">
                  <c:v>1/5/2022</c:v>
                </c:pt>
                <c:pt idx="563">
                  <c:v>1/6/2022</c:v>
                </c:pt>
                <c:pt idx="564">
                  <c:v>1/7/2022</c:v>
                </c:pt>
                <c:pt idx="565">
                  <c:v>1/10/2022</c:v>
                </c:pt>
                <c:pt idx="566">
                  <c:v>1/11/2022</c:v>
                </c:pt>
                <c:pt idx="567">
                  <c:v>1/12/2022</c:v>
                </c:pt>
                <c:pt idx="568">
                  <c:v>1/13/2022</c:v>
                </c:pt>
                <c:pt idx="569">
                  <c:v>1/14/2022</c:v>
                </c:pt>
                <c:pt idx="570">
                  <c:v>1/17/2022</c:v>
                </c:pt>
                <c:pt idx="571">
                  <c:v>1/18/2022</c:v>
                </c:pt>
                <c:pt idx="572">
                  <c:v>1/19/2022</c:v>
                </c:pt>
                <c:pt idx="573">
                  <c:v>1/20/2022</c:v>
                </c:pt>
                <c:pt idx="574">
                  <c:v>1/21/2022</c:v>
                </c:pt>
                <c:pt idx="575">
                  <c:v>1/24/2022</c:v>
                </c:pt>
                <c:pt idx="576">
                  <c:v>1/25/2022</c:v>
                </c:pt>
                <c:pt idx="577">
                  <c:v>1/26/2022</c:v>
                </c:pt>
                <c:pt idx="578">
                  <c:v>1/27/2022</c:v>
                </c:pt>
                <c:pt idx="579">
                  <c:v>1/28/2022</c:v>
                </c:pt>
                <c:pt idx="580">
                  <c:v>1/31/2022</c:v>
                </c:pt>
                <c:pt idx="581">
                  <c:v>2/1/2022</c:v>
                </c:pt>
                <c:pt idx="582">
                  <c:v>2/2/2022</c:v>
                </c:pt>
                <c:pt idx="583">
                  <c:v>2/3/2022</c:v>
                </c:pt>
                <c:pt idx="584">
                  <c:v>2/4/2022</c:v>
                </c:pt>
                <c:pt idx="585">
                  <c:v>2/7/2022</c:v>
                </c:pt>
                <c:pt idx="586">
                  <c:v>2/8/2022</c:v>
                </c:pt>
                <c:pt idx="587">
                  <c:v>2/9/2022</c:v>
                </c:pt>
                <c:pt idx="588">
                  <c:v>2/10/2022</c:v>
                </c:pt>
                <c:pt idx="589">
                  <c:v>2/11/2022</c:v>
                </c:pt>
                <c:pt idx="590">
                  <c:v>2/14/2022</c:v>
                </c:pt>
                <c:pt idx="591">
                  <c:v>2/15/2022</c:v>
                </c:pt>
                <c:pt idx="592">
                  <c:v>2/16/2022</c:v>
                </c:pt>
                <c:pt idx="593">
                  <c:v>2/17/2022</c:v>
                </c:pt>
                <c:pt idx="594">
                  <c:v>2/18/2022</c:v>
                </c:pt>
                <c:pt idx="595">
                  <c:v>2/21/2022</c:v>
                </c:pt>
                <c:pt idx="596">
                  <c:v>2/22/2022</c:v>
                </c:pt>
                <c:pt idx="597">
                  <c:v>2/23/2022</c:v>
                </c:pt>
                <c:pt idx="598">
                  <c:v>2/24/2022</c:v>
                </c:pt>
                <c:pt idx="599">
                  <c:v>2/25/2022</c:v>
                </c:pt>
                <c:pt idx="600">
                  <c:v>2/28/2022</c:v>
                </c:pt>
                <c:pt idx="601">
                  <c:v>3/1/2022</c:v>
                </c:pt>
                <c:pt idx="602">
                  <c:v>3/2/2022</c:v>
                </c:pt>
                <c:pt idx="603">
                  <c:v>3/3/2022</c:v>
                </c:pt>
                <c:pt idx="604">
                  <c:v>3/4/2022</c:v>
                </c:pt>
                <c:pt idx="605">
                  <c:v>3/7/2022</c:v>
                </c:pt>
                <c:pt idx="606">
                  <c:v>3/8/2022</c:v>
                </c:pt>
                <c:pt idx="607">
                  <c:v>3/9/2022</c:v>
                </c:pt>
                <c:pt idx="608">
                  <c:v>3/10/2022</c:v>
                </c:pt>
                <c:pt idx="609">
                  <c:v>3/11/2022</c:v>
                </c:pt>
                <c:pt idx="610">
                  <c:v>3/14/2022</c:v>
                </c:pt>
                <c:pt idx="611">
                  <c:v>3/15/2022</c:v>
                </c:pt>
                <c:pt idx="612">
                  <c:v>3/16/2022</c:v>
                </c:pt>
                <c:pt idx="613">
                  <c:v>3/17/2022</c:v>
                </c:pt>
                <c:pt idx="614">
                  <c:v>3/18/2022</c:v>
                </c:pt>
                <c:pt idx="615">
                  <c:v>3/21/2022</c:v>
                </c:pt>
                <c:pt idx="616">
                  <c:v>3/22/2022</c:v>
                </c:pt>
                <c:pt idx="617">
                  <c:v>3/23/2022</c:v>
                </c:pt>
                <c:pt idx="618">
                  <c:v>3/24/2022</c:v>
                </c:pt>
                <c:pt idx="619">
                  <c:v>3/25/2022</c:v>
                </c:pt>
                <c:pt idx="620">
                  <c:v>3/28/2022</c:v>
                </c:pt>
                <c:pt idx="621">
                  <c:v>3/29/2022</c:v>
                </c:pt>
                <c:pt idx="622">
                  <c:v>3/30/2022</c:v>
                </c:pt>
                <c:pt idx="623">
                  <c:v>3/31/2022</c:v>
                </c:pt>
                <c:pt idx="624">
                  <c:v>4/1/2022</c:v>
                </c:pt>
                <c:pt idx="625">
                  <c:v>4/4/2022</c:v>
                </c:pt>
                <c:pt idx="626">
                  <c:v>4/5/2022</c:v>
                </c:pt>
                <c:pt idx="627">
                  <c:v>4/6/2022</c:v>
                </c:pt>
                <c:pt idx="628">
                  <c:v>4/7/2022</c:v>
                </c:pt>
                <c:pt idx="629">
                  <c:v>4/8/2022</c:v>
                </c:pt>
                <c:pt idx="630">
                  <c:v>4/11/2022</c:v>
                </c:pt>
                <c:pt idx="631">
                  <c:v>4/12/2022</c:v>
                </c:pt>
                <c:pt idx="632">
                  <c:v>4/13/2022</c:v>
                </c:pt>
                <c:pt idx="633">
                  <c:v>4/14/2022</c:v>
                </c:pt>
                <c:pt idx="634">
                  <c:v>4/18/2022</c:v>
                </c:pt>
                <c:pt idx="635">
                  <c:v>4/19/2022</c:v>
                </c:pt>
                <c:pt idx="636">
                  <c:v>4/20/2022</c:v>
                </c:pt>
                <c:pt idx="637">
                  <c:v>4/21/2022</c:v>
                </c:pt>
                <c:pt idx="638">
                  <c:v>4/22/2022</c:v>
                </c:pt>
                <c:pt idx="639">
                  <c:v>4/25/2022</c:v>
                </c:pt>
                <c:pt idx="640">
                  <c:v>4/26/2022</c:v>
                </c:pt>
                <c:pt idx="641">
                  <c:v>4/27/2022</c:v>
                </c:pt>
                <c:pt idx="642">
                  <c:v>4/28/2022</c:v>
                </c:pt>
                <c:pt idx="643">
                  <c:v>4/29/2022</c:v>
                </c:pt>
                <c:pt idx="644">
                  <c:v>5/2/2022</c:v>
                </c:pt>
                <c:pt idx="645">
                  <c:v>5/3/2022</c:v>
                </c:pt>
                <c:pt idx="646">
                  <c:v>5/4/2022</c:v>
                </c:pt>
                <c:pt idx="647">
                  <c:v>5/5/2022</c:v>
                </c:pt>
                <c:pt idx="648">
                  <c:v>5/6/2022</c:v>
                </c:pt>
                <c:pt idx="649">
                  <c:v>5/9/2022</c:v>
                </c:pt>
                <c:pt idx="650">
                  <c:v>5/10/2022</c:v>
                </c:pt>
                <c:pt idx="651">
                  <c:v>5/11/2022</c:v>
                </c:pt>
                <c:pt idx="652">
                  <c:v>5/12/2022</c:v>
                </c:pt>
                <c:pt idx="653">
                  <c:v>5/13/2022</c:v>
                </c:pt>
                <c:pt idx="654">
                  <c:v>5/16/2022</c:v>
                </c:pt>
                <c:pt idx="655">
                  <c:v>5/17/2022</c:v>
                </c:pt>
                <c:pt idx="656">
                  <c:v>5/18/2022</c:v>
                </c:pt>
                <c:pt idx="657">
                  <c:v>5/19/2022</c:v>
                </c:pt>
                <c:pt idx="658">
                  <c:v>5/20/2022</c:v>
                </c:pt>
                <c:pt idx="659">
                  <c:v>5/23/2022</c:v>
                </c:pt>
                <c:pt idx="660">
                  <c:v>5/24/2022</c:v>
                </c:pt>
                <c:pt idx="661">
                  <c:v>5/25/2022</c:v>
                </c:pt>
                <c:pt idx="662">
                  <c:v>5/26/2022</c:v>
                </c:pt>
                <c:pt idx="663">
                  <c:v>5/27/2022</c:v>
                </c:pt>
                <c:pt idx="664">
                  <c:v>5/30/2022</c:v>
                </c:pt>
                <c:pt idx="665">
                  <c:v>5/31/2022</c:v>
                </c:pt>
                <c:pt idx="666">
                  <c:v>6/1/2022</c:v>
                </c:pt>
                <c:pt idx="667">
                  <c:v>6/2/2022</c:v>
                </c:pt>
                <c:pt idx="668">
                  <c:v>6/3/2022</c:v>
                </c:pt>
                <c:pt idx="669">
                  <c:v>6/6/2022</c:v>
                </c:pt>
                <c:pt idx="670">
                  <c:v>6/7/2022</c:v>
                </c:pt>
                <c:pt idx="671">
                  <c:v>6/8/2022</c:v>
                </c:pt>
                <c:pt idx="672">
                  <c:v>6/9/2022</c:v>
                </c:pt>
                <c:pt idx="673">
                  <c:v>6/10/2022</c:v>
                </c:pt>
                <c:pt idx="674">
                  <c:v>6/13/2022</c:v>
                </c:pt>
                <c:pt idx="675">
                  <c:v>6/14/2022</c:v>
                </c:pt>
                <c:pt idx="676">
                  <c:v>6/15/2022</c:v>
                </c:pt>
                <c:pt idx="677">
                  <c:v>6/16/2022</c:v>
                </c:pt>
                <c:pt idx="678">
                  <c:v>6/17/2022</c:v>
                </c:pt>
                <c:pt idx="679">
                  <c:v>6/21/2022</c:v>
                </c:pt>
                <c:pt idx="680">
                  <c:v>6/22/2022</c:v>
                </c:pt>
                <c:pt idx="681">
                  <c:v>6/23/2022</c:v>
                </c:pt>
                <c:pt idx="682">
                  <c:v>6/24/2022</c:v>
                </c:pt>
                <c:pt idx="683">
                  <c:v>6/27/2022</c:v>
                </c:pt>
              </c:strCache>
            </c:strRef>
          </c:cat>
          <c:val>
            <c:numRef>
              <c:f>CrudeOilNput!$E$2:$E$685</c:f>
              <c:numCache>
                <c:formatCode>"$"#,##0.00</c:formatCode>
                <c:ptCount val="684"/>
                <c:pt idx="321">
                  <c:v>45.13</c:v>
                </c:pt>
                <c:pt idx="341">
                  <c:v>50.94</c:v>
                </c:pt>
                <c:pt idx="364">
                  <c:v>50.51</c:v>
                </c:pt>
                <c:pt idx="385">
                  <c:v>54.78</c:v>
                </c:pt>
                <c:pt idx="406">
                  <c:v>58.46</c:v>
                </c:pt>
                <c:pt idx="428">
                  <c:v>58.46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54.47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58.02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69.3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65.25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53.1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65.25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79.099999999999994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94.57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89.06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100.97</c:v>
                </c:pt>
                <c:pt idx="665">
                  <c:v>100.57</c:v>
                </c:pt>
                <c:pt idx="666">
                  <c:v>101.16</c:v>
                </c:pt>
                <c:pt idx="667">
                  <c:v>102.77</c:v>
                </c:pt>
                <c:pt idx="668">
                  <c:v>104.77</c:v>
                </c:pt>
                <c:pt idx="669">
                  <c:v>104.4</c:v>
                </c:pt>
                <c:pt idx="670">
                  <c:v>105.31</c:v>
                </c:pt>
                <c:pt idx="671">
                  <c:v>108.01</c:v>
                </c:pt>
                <c:pt idx="672">
                  <c:v>107.41</c:v>
                </c:pt>
                <c:pt idx="673">
                  <c:v>106.57</c:v>
                </c:pt>
                <c:pt idx="674">
                  <c:v>106.83</c:v>
                </c:pt>
                <c:pt idx="675">
                  <c:v>104.83</c:v>
                </c:pt>
                <c:pt idx="676">
                  <c:v>101.21</c:v>
                </c:pt>
                <c:pt idx="677">
                  <c:v>97.66</c:v>
                </c:pt>
                <c:pt idx="678">
                  <c:v>96</c:v>
                </c:pt>
                <c:pt idx="679">
                  <c:v>95.42</c:v>
                </c:pt>
                <c:pt idx="680">
                  <c:v>92.09</c:v>
                </c:pt>
                <c:pt idx="681">
                  <c:v>90.17</c:v>
                </c:pt>
                <c:pt idx="682">
                  <c:v>93.52</c:v>
                </c:pt>
                <c:pt idx="683">
                  <c:v>97.66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E591-485D-BD1C-E9420C31A0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864483032"/>
        <c:axId val="864481720"/>
      </c:barChart>
      <c:catAx>
        <c:axId val="8644830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64481720"/>
        <c:crosses val="autoZero"/>
        <c:auto val="1"/>
        <c:lblAlgn val="ctr"/>
        <c:lblOffset val="100"/>
        <c:noMultiLvlLbl val="0"/>
      </c:catAx>
      <c:valAx>
        <c:axId val="8644817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644830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>
      <a:gsLst>
        <a:gs pos="100000">
          <a:schemeClr val="bg2">
            <a:lumMod val="25000"/>
          </a:schemeClr>
        </a:gs>
        <a:gs pos="23000">
          <a:schemeClr val="bg2">
            <a:lumMod val="50000"/>
          </a:schemeClr>
        </a:gs>
        <a:gs pos="69000">
          <a:schemeClr val="bg2">
            <a:lumMod val="25000"/>
          </a:schemeClr>
        </a:gs>
        <a:gs pos="0">
          <a:schemeClr val="bg2">
            <a:lumMod val="25000"/>
          </a:schemeClr>
        </a:gs>
      </a:gsLst>
      <a:path path="circle">
        <a:fillToRect l="50000" t="50000" r="50000" b="50000"/>
      </a:path>
    </a:gra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[Foley_FinalProject_Completed.xlsm]Cheapest crude price!CrudeFinalProject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Cheapest  Crude Oil Source  Price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'Cheapest crude price'!$B$3</c:f>
              <c:strCache>
                <c:ptCount val="1"/>
                <c:pt idx="0">
                  <c:v>Total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'Cheapest crude price'!$A$4:$A$687</c:f>
              <c:strCache>
                <c:ptCount val="684"/>
                <c:pt idx="0">
                  <c:v>10/31/2019</c:v>
                </c:pt>
                <c:pt idx="1">
                  <c:v>11/1/2019</c:v>
                </c:pt>
                <c:pt idx="2">
                  <c:v>11/4/2019</c:v>
                </c:pt>
                <c:pt idx="3">
                  <c:v>11/5/2019</c:v>
                </c:pt>
                <c:pt idx="4">
                  <c:v>11/6/2019</c:v>
                </c:pt>
                <c:pt idx="5">
                  <c:v>11/7/2019</c:v>
                </c:pt>
                <c:pt idx="6">
                  <c:v>11/8/2019</c:v>
                </c:pt>
                <c:pt idx="7">
                  <c:v>11/11/2019</c:v>
                </c:pt>
                <c:pt idx="8">
                  <c:v>11/12/2019</c:v>
                </c:pt>
                <c:pt idx="9">
                  <c:v>11/13/2019</c:v>
                </c:pt>
                <c:pt idx="10">
                  <c:v>11/14/2019</c:v>
                </c:pt>
                <c:pt idx="11">
                  <c:v>11/15/2019</c:v>
                </c:pt>
                <c:pt idx="12">
                  <c:v>11/18/2019</c:v>
                </c:pt>
                <c:pt idx="13">
                  <c:v>11/19/2019</c:v>
                </c:pt>
                <c:pt idx="14">
                  <c:v>11/20/2019</c:v>
                </c:pt>
                <c:pt idx="15">
                  <c:v>11/21/2019</c:v>
                </c:pt>
                <c:pt idx="16">
                  <c:v>11/22/2019</c:v>
                </c:pt>
                <c:pt idx="17">
                  <c:v>11/25/2019</c:v>
                </c:pt>
                <c:pt idx="18">
                  <c:v>11/26/2019</c:v>
                </c:pt>
                <c:pt idx="19">
                  <c:v>11/27/2019</c:v>
                </c:pt>
                <c:pt idx="20">
                  <c:v>11/28/2019</c:v>
                </c:pt>
                <c:pt idx="21">
                  <c:v>11/29/2019</c:v>
                </c:pt>
                <c:pt idx="22">
                  <c:v>12/2/2019</c:v>
                </c:pt>
                <c:pt idx="23">
                  <c:v>12/3/2019</c:v>
                </c:pt>
                <c:pt idx="24">
                  <c:v>12/4/2019</c:v>
                </c:pt>
                <c:pt idx="25">
                  <c:v>12/5/2019</c:v>
                </c:pt>
                <c:pt idx="26">
                  <c:v>12/6/2019</c:v>
                </c:pt>
                <c:pt idx="27">
                  <c:v>12/9/2019</c:v>
                </c:pt>
                <c:pt idx="28">
                  <c:v>12/10/2019</c:v>
                </c:pt>
                <c:pt idx="29">
                  <c:v>12/11/2019</c:v>
                </c:pt>
                <c:pt idx="30">
                  <c:v>12/12/2019</c:v>
                </c:pt>
                <c:pt idx="31">
                  <c:v>12/13/2019</c:v>
                </c:pt>
                <c:pt idx="32">
                  <c:v>12/16/2019</c:v>
                </c:pt>
                <c:pt idx="33">
                  <c:v>12/17/2019</c:v>
                </c:pt>
                <c:pt idx="34">
                  <c:v>12/18/2019</c:v>
                </c:pt>
                <c:pt idx="35">
                  <c:v>12/19/2019</c:v>
                </c:pt>
                <c:pt idx="36">
                  <c:v>12/20/2019</c:v>
                </c:pt>
                <c:pt idx="37">
                  <c:v>12/23/2019</c:v>
                </c:pt>
                <c:pt idx="38">
                  <c:v>12/24/2019</c:v>
                </c:pt>
                <c:pt idx="39">
                  <c:v>12/26/2019</c:v>
                </c:pt>
                <c:pt idx="40">
                  <c:v>12/27/2019</c:v>
                </c:pt>
                <c:pt idx="41">
                  <c:v>12/30/2019</c:v>
                </c:pt>
                <c:pt idx="42">
                  <c:v>12/31/2019</c:v>
                </c:pt>
                <c:pt idx="43">
                  <c:v>1/2/2020</c:v>
                </c:pt>
                <c:pt idx="44">
                  <c:v>1/3/2020</c:v>
                </c:pt>
                <c:pt idx="45">
                  <c:v>1/6/2020</c:v>
                </c:pt>
                <c:pt idx="46">
                  <c:v>1/7/2020</c:v>
                </c:pt>
                <c:pt idx="47">
                  <c:v>1/8/2020</c:v>
                </c:pt>
                <c:pt idx="48">
                  <c:v>1/9/2020</c:v>
                </c:pt>
                <c:pt idx="49">
                  <c:v>1/10/2020</c:v>
                </c:pt>
                <c:pt idx="50">
                  <c:v>1/13/2020</c:v>
                </c:pt>
                <c:pt idx="51">
                  <c:v>1/14/2020</c:v>
                </c:pt>
                <c:pt idx="52">
                  <c:v>1/15/2020</c:v>
                </c:pt>
                <c:pt idx="53">
                  <c:v>1/16/2020</c:v>
                </c:pt>
                <c:pt idx="54">
                  <c:v>1/17/2020</c:v>
                </c:pt>
                <c:pt idx="55">
                  <c:v>1/20/2020</c:v>
                </c:pt>
                <c:pt idx="56">
                  <c:v>1/21/2020</c:v>
                </c:pt>
                <c:pt idx="57">
                  <c:v>1/22/2020</c:v>
                </c:pt>
                <c:pt idx="58">
                  <c:v>1/23/2020</c:v>
                </c:pt>
                <c:pt idx="59">
                  <c:v>1/24/2020</c:v>
                </c:pt>
                <c:pt idx="60">
                  <c:v>1/27/2020</c:v>
                </c:pt>
                <c:pt idx="61">
                  <c:v>1/28/2020</c:v>
                </c:pt>
                <c:pt idx="62">
                  <c:v>1/29/2020</c:v>
                </c:pt>
                <c:pt idx="63">
                  <c:v>1/30/2020</c:v>
                </c:pt>
                <c:pt idx="64">
                  <c:v>1/31/2020</c:v>
                </c:pt>
                <c:pt idx="65">
                  <c:v>2/3/2020</c:v>
                </c:pt>
                <c:pt idx="66">
                  <c:v>2/4/2020</c:v>
                </c:pt>
                <c:pt idx="67">
                  <c:v>2/5/2020</c:v>
                </c:pt>
                <c:pt idx="68">
                  <c:v>2/6/2020</c:v>
                </c:pt>
                <c:pt idx="69">
                  <c:v>2/7/2020</c:v>
                </c:pt>
                <c:pt idx="70">
                  <c:v>2/10/2020</c:v>
                </c:pt>
                <c:pt idx="71">
                  <c:v>2/11/2020</c:v>
                </c:pt>
                <c:pt idx="72">
                  <c:v>2/12/2020</c:v>
                </c:pt>
                <c:pt idx="73">
                  <c:v>2/13/2020</c:v>
                </c:pt>
                <c:pt idx="74">
                  <c:v>2/14/2020</c:v>
                </c:pt>
                <c:pt idx="75">
                  <c:v>2/17/2020</c:v>
                </c:pt>
                <c:pt idx="76">
                  <c:v>2/18/2020</c:v>
                </c:pt>
                <c:pt idx="77">
                  <c:v>2/19/2020</c:v>
                </c:pt>
                <c:pt idx="78">
                  <c:v>2/20/2020</c:v>
                </c:pt>
                <c:pt idx="79">
                  <c:v>2/21/2020</c:v>
                </c:pt>
                <c:pt idx="80">
                  <c:v>2/24/2020</c:v>
                </c:pt>
                <c:pt idx="81">
                  <c:v>2/25/2020</c:v>
                </c:pt>
                <c:pt idx="82">
                  <c:v>2/26/2020</c:v>
                </c:pt>
                <c:pt idx="83">
                  <c:v>2/27/2020</c:v>
                </c:pt>
                <c:pt idx="84">
                  <c:v>2/28/2020</c:v>
                </c:pt>
                <c:pt idx="85">
                  <c:v>3/2/2020</c:v>
                </c:pt>
                <c:pt idx="86">
                  <c:v>3/3/2020</c:v>
                </c:pt>
                <c:pt idx="87">
                  <c:v>3/4/2020</c:v>
                </c:pt>
                <c:pt idx="88">
                  <c:v>3/5/2020</c:v>
                </c:pt>
                <c:pt idx="89">
                  <c:v>3/6/2020</c:v>
                </c:pt>
                <c:pt idx="90">
                  <c:v>3/9/2020</c:v>
                </c:pt>
                <c:pt idx="91">
                  <c:v>3/10/2020</c:v>
                </c:pt>
                <c:pt idx="92">
                  <c:v>3/11/2020</c:v>
                </c:pt>
                <c:pt idx="93">
                  <c:v>3/12/2020</c:v>
                </c:pt>
                <c:pt idx="94">
                  <c:v>3/13/2020</c:v>
                </c:pt>
                <c:pt idx="95">
                  <c:v>3/16/2020</c:v>
                </c:pt>
                <c:pt idx="96">
                  <c:v>3/17/2020</c:v>
                </c:pt>
                <c:pt idx="97">
                  <c:v>3/18/2020</c:v>
                </c:pt>
                <c:pt idx="98">
                  <c:v>3/19/2020</c:v>
                </c:pt>
                <c:pt idx="99">
                  <c:v>3/20/2020</c:v>
                </c:pt>
                <c:pt idx="100">
                  <c:v>3/23/2020</c:v>
                </c:pt>
                <c:pt idx="101">
                  <c:v>3/24/2020</c:v>
                </c:pt>
                <c:pt idx="102">
                  <c:v>3/25/2020</c:v>
                </c:pt>
                <c:pt idx="103">
                  <c:v>3/26/2020</c:v>
                </c:pt>
                <c:pt idx="104">
                  <c:v>3/27/2020</c:v>
                </c:pt>
                <c:pt idx="105">
                  <c:v>3/30/2020</c:v>
                </c:pt>
                <c:pt idx="106">
                  <c:v>3/31/2020</c:v>
                </c:pt>
                <c:pt idx="107">
                  <c:v>4/1/2020</c:v>
                </c:pt>
                <c:pt idx="108">
                  <c:v>4/2/2020</c:v>
                </c:pt>
                <c:pt idx="109">
                  <c:v>4/3/2020</c:v>
                </c:pt>
                <c:pt idx="110">
                  <c:v>4/6/2020</c:v>
                </c:pt>
                <c:pt idx="111">
                  <c:v>4/7/2020</c:v>
                </c:pt>
                <c:pt idx="112">
                  <c:v>4/8/2020</c:v>
                </c:pt>
                <c:pt idx="113">
                  <c:v>4/9/2020</c:v>
                </c:pt>
                <c:pt idx="114">
                  <c:v>4/13/2020</c:v>
                </c:pt>
                <c:pt idx="115">
                  <c:v>4/14/2020</c:v>
                </c:pt>
                <c:pt idx="116">
                  <c:v>4/15/2020</c:v>
                </c:pt>
                <c:pt idx="117">
                  <c:v>4/16/2020</c:v>
                </c:pt>
                <c:pt idx="118">
                  <c:v>4/17/2020</c:v>
                </c:pt>
                <c:pt idx="119">
                  <c:v>4/20/2020</c:v>
                </c:pt>
                <c:pt idx="120">
                  <c:v>4/21/2020</c:v>
                </c:pt>
                <c:pt idx="121">
                  <c:v>4/22/2020</c:v>
                </c:pt>
                <c:pt idx="122">
                  <c:v>4/23/2020</c:v>
                </c:pt>
                <c:pt idx="123">
                  <c:v>4/24/2020</c:v>
                </c:pt>
                <c:pt idx="124">
                  <c:v>4/27/2020</c:v>
                </c:pt>
                <c:pt idx="125">
                  <c:v>4/28/2020</c:v>
                </c:pt>
                <c:pt idx="126">
                  <c:v>4/29/2020</c:v>
                </c:pt>
                <c:pt idx="127">
                  <c:v>4/30/2020</c:v>
                </c:pt>
                <c:pt idx="128">
                  <c:v>5/1/2020</c:v>
                </c:pt>
                <c:pt idx="129">
                  <c:v>5/4/2020</c:v>
                </c:pt>
                <c:pt idx="130">
                  <c:v>5/5/2020</c:v>
                </c:pt>
                <c:pt idx="131">
                  <c:v>5/6/2020</c:v>
                </c:pt>
                <c:pt idx="132">
                  <c:v>5/7/2020</c:v>
                </c:pt>
                <c:pt idx="133">
                  <c:v>5/8/2020</c:v>
                </c:pt>
                <c:pt idx="134">
                  <c:v>5/11/2020</c:v>
                </c:pt>
                <c:pt idx="135">
                  <c:v>5/12/2020</c:v>
                </c:pt>
                <c:pt idx="136">
                  <c:v>5/13/2020</c:v>
                </c:pt>
                <c:pt idx="137">
                  <c:v>5/14/2020</c:v>
                </c:pt>
                <c:pt idx="138">
                  <c:v>5/15/2020</c:v>
                </c:pt>
                <c:pt idx="139">
                  <c:v>5/18/2020</c:v>
                </c:pt>
                <c:pt idx="140">
                  <c:v>5/19/2020</c:v>
                </c:pt>
                <c:pt idx="141">
                  <c:v>5/20/2020</c:v>
                </c:pt>
                <c:pt idx="142">
                  <c:v>5/21/2020</c:v>
                </c:pt>
                <c:pt idx="143">
                  <c:v>5/22/2020</c:v>
                </c:pt>
                <c:pt idx="144">
                  <c:v>5/26/2020</c:v>
                </c:pt>
                <c:pt idx="145">
                  <c:v>5/27/2020</c:v>
                </c:pt>
                <c:pt idx="146">
                  <c:v>5/28/2020</c:v>
                </c:pt>
                <c:pt idx="147">
                  <c:v>5/29/2020</c:v>
                </c:pt>
                <c:pt idx="148">
                  <c:v>6/1/2020</c:v>
                </c:pt>
                <c:pt idx="149">
                  <c:v>6/2/2020</c:v>
                </c:pt>
                <c:pt idx="150">
                  <c:v>6/3/2020</c:v>
                </c:pt>
                <c:pt idx="151">
                  <c:v>6/4/2020</c:v>
                </c:pt>
                <c:pt idx="152">
                  <c:v>6/5/2020</c:v>
                </c:pt>
                <c:pt idx="153">
                  <c:v>6/8/2020</c:v>
                </c:pt>
                <c:pt idx="154">
                  <c:v>6/9/2020</c:v>
                </c:pt>
                <c:pt idx="155">
                  <c:v>6/10/2020</c:v>
                </c:pt>
                <c:pt idx="156">
                  <c:v>6/11/2020</c:v>
                </c:pt>
                <c:pt idx="157">
                  <c:v>6/12/2020</c:v>
                </c:pt>
                <c:pt idx="158">
                  <c:v>6/15/2020</c:v>
                </c:pt>
                <c:pt idx="159">
                  <c:v>6/16/2020</c:v>
                </c:pt>
                <c:pt idx="160">
                  <c:v>6/17/2020</c:v>
                </c:pt>
                <c:pt idx="161">
                  <c:v>6/18/2020</c:v>
                </c:pt>
                <c:pt idx="162">
                  <c:v>6/19/2020</c:v>
                </c:pt>
                <c:pt idx="163">
                  <c:v>6/22/2020</c:v>
                </c:pt>
                <c:pt idx="164">
                  <c:v>6/23/2020</c:v>
                </c:pt>
                <c:pt idx="165">
                  <c:v>6/24/2020</c:v>
                </c:pt>
                <c:pt idx="166">
                  <c:v>6/25/2020</c:v>
                </c:pt>
                <c:pt idx="167">
                  <c:v>6/26/2020</c:v>
                </c:pt>
                <c:pt idx="168">
                  <c:v>6/29/2020</c:v>
                </c:pt>
                <c:pt idx="169">
                  <c:v>6/30/2020</c:v>
                </c:pt>
                <c:pt idx="170">
                  <c:v>7/1/2020</c:v>
                </c:pt>
                <c:pt idx="171">
                  <c:v>7/2/2020</c:v>
                </c:pt>
                <c:pt idx="172">
                  <c:v>7/3/2020</c:v>
                </c:pt>
                <c:pt idx="173">
                  <c:v>7/6/2020</c:v>
                </c:pt>
                <c:pt idx="174">
                  <c:v>7/7/2020</c:v>
                </c:pt>
                <c:pt idx="175">
                  <c:v>7/8/2020</c:v>
                </c:pt>
                <c:pt idx="176">
                  <c:v>7/9/2020</c:v>
                </c:pt>
                <c:pt idx="177">
                  <c:v>7/10/2020</c:v>
                </c:pt>
                <c:pt idx="178">
                  <c:v>7/13/2020</c:v>
                </c:pt>
                <c:pt idx="179">
                  <c:v>7/14/2020</c:v>
                </c:pt>
                <c:pt idx="180">
                  <c:v>7/15/2020</c:v>
                </c:pt>
                <c:pt idx="181">
                  <c:v>7/16/2020</c:v>
                </c:pt>
                <c:pt idx="182">
                  <c:v>7/17/2020</c:v>
                </c:pt>
                <c:pt idx="183">
                  <c:v>7/20/2020</c:v>
                </c:pt>
                <c:pt idx="184">
                  <c:v>7/21/2020</c:v>
                </c:pt>
                <c:pt idx="185">
                  <c:v>7/22/2020</c:v>
                </c:pt>
                <c:pt idx="186">
                  <c:v>7/23/2020</c:v>
                </c:pt>
                <c:pt idx="187">
                  <c:v>7/24/2020</c:v>
                </c:pt>
                <c:pt idx="188">
                  <c:v>7/27/2020</c:v>
                </c:pt>
                <c:pt idx="189">
                  <c:v>7/28/2020</c:v>
                </c:pt>
                <c:pt idx="190">
                  <c:v>7/29/2020</c:v>
                </c:pt>
                <c:pt idx="191">
                  <c:v>7/30/2020</c:v>
                </c:pt>
                <c:pt idx="192">
                  <c:v>7/31/2020</c:v>
                </c:pt>
                <c:pt idx="193">
                  <c:v>8/3/2020</c:v>
                </c:pt>
                <c:pt idx="194">
                  <c:v>8/4/2020</c:v>
                </c:pt>
                <c:pt idx="195">
                  <c:v>8/5/2020</c:v>
                </c:pt>
                <c:pt idx="196">
                  <c:v>8/6/2020</c:v>
                </c:pt>
                <c:pt idx="197">
                  <c:v>8/7/2020</c:v>
                </c:pt>
                <c:pt idx="198">
                  <c:v>8/10/2020</c:v>
                </c:pt>
                <c:pt idx="199">
                  <c:v>8/11/2020</c:v>
                </c:pt>
                <c:pt idx="200">
                  <c:v>8/12/2020</c:v>
                </c:pt>
                <c:pt idx="201">
                  <c:v>8/13/2020</c:v>
                </c:pt>
                <c:pt idx="202">
                  <c:v>8/14/2020</c:v>
                </c:pt>
                <c:pt idx="203">
                  <c:v>8/17/2020</c:v>
                </c:pt>
                <c:pt idx="204">
                  <c:v>8/18/2020</c:v>
                </c:pt>
                <c:pt idx="205">
                  <c:v>8/19/2020</c:v>
                </c:pt>
                <c:pt idx="206">
                  <c:v>8/20/2020</c:v>
                </c:pt>
                <c:pt idx="207">
                  <c:v>8/21/2020</c:v>
                </c:pt>
                <c:pt idx="208">
                  <c:v>8/24/2020</c:v>
                </c:pt>
                <c:pt idx="209">
                  <c:v>8/25/2020</c:v>
                </c:pt>
                <c:pt idx="210">
                  <c:v>8/26/2020</c:v>
                </c:pt>
                <c:pt idx="211">
                  <c:v>8/27/2020</c:v>
                </c:pt>
                <c:pt idx="212">
                  <c:v>8/28/2020</c:v>
                </c:pt>
                <c:pt idx="213">
                  <c:v>8/31/2020</c:v>
                </c:pt>
                <c:pt idx="214">
                  <c:v>9/1/2020</c:v>
                </c:pt>
                <c:pt idx="215">
                  <c:v>9/2/2020</c:v>
                </c:pt>
                <c:pt idx="216">
                  <c:v>9/3/2020</c:v>
                </c:pt>
                <c:pt idx="217">
                  <c:v>9/4/2020</c:v>
                </c:pt>
                <c:pt idx="218">
                  <c:v>9/7/2020</c:v>
                </c:pt>
                <c:pt idx="219">
                  <c:v>9/8/2020</c:v>
                </c:pt>
                <c:pt idx="220">
                  <c:v>9/9/2020</c:v>
                </c:pt>
                <c:pt idx="221">
                  <c:v>9/10/2020</c:v>
                </c:pt>
                <c:pt idx="222">
                  <c:v>9/11/2020</c:v>
                </c:pt>
                <c:pt idx="223">
                  <c:v>9/14/2020</c:v>
                </c:pt>
                <c:pt idx="224">
                  <c:v>9/15/2020</c:v>
                </c:pt>
                <c:pt idx="225">
                  <c:v>9/16/2020</c:v>
                </c:pt>
                <c:pt idx="226">
                  <c:v>9/17/2020</c:v>
                </c:pt>
                <c:pt idx="227">
                  <c:v>9/18/2020</c:v>
                </c:pt>
                <c:pt idx="228">
                  <c:v>9/21/2020</c:v>
                </c:pt>
                <c:pt idx="229">
                  <c:v>9/22/2020</c:v>
                </c:pt>
                <c:pt idx="230">
                  <c:v>9/23/2020</c:v>
                </c:pt>
                <c:pt idx="231">
                  <c:v>9/24/2020</c:v>
                </c:pt>
                <c:pt idx="232">
                  <c:v>9/25/2020</c:v>
                </c:pt>
                <c:pt idx="233">
                  <c:v>9/28/2020</c:v>
                </c:pt>
                <c:pt idx="234">
                  <c:v>9/29/2020</c:v>
                </c:pt>
                <c:pt idx="235">
                  <c:v>9/30/2020</c:v>
                </c:pt>
                <c:pt idx="236">
                  <c:v>10/1/2020</c:v>
                </c:pt>
                <c:pt idx="237">
                  <c:v>10/2/2020</c:v>
                </c:pt>
                <c:pt idx="238">
                  <c:v>10/5/2020</c:v>
                </c:pt>
                <c:pt idx="239">
                  <c:v>10/6/2020</c:v>
                </c:pt>
                <c:pt idx="240">
                  <c:v>10/7/2020</c:v>
                </c:pt>
                <c:pt idx="241">
                  <c:v>10/8/2020</c:v>
                </c:pt>
                <c:pt idx="242">
                  <c:v>10/9/2020</c:v>
                </c:pt>
                <c:pt idx="243">
                  <c:v>10/12/2020</c:v>
                </c:pt>
                <c:pt idx="244">
                  <c:v>10/13/2020</c:v>
                </c:pt>
                <c:pt idx="245">
                  <c:v>10/14/2020</c:v>
                </c:pt>
                <c:pt idx="246">
                  <c:v>10/15/2020</c:v>
                </c:pt>
                <c:pt idx="247">
                  <c:v>10/16/2020</c:v>
                </c:pt>
                <c:pt idx="248">
                  <c:v>10/19/2020</c:v>
                </c:pt>
                <c:pt idx="249">
                  <c:v>10/20/2020</c:v>
                </c:pt>
                <c:pt idx="250">
                  <c:v>10/21/2020</c:v>
                </c:pt>
                <c:pt idx="251">
                  <c:v>10/22/2020</c:v>
                </c:pt>
                <c:pt idx="252">
                  <c:v>10/23/2020</c:v>
                </c:pt>
                <c:pt idx="253">
                  <c:v>10/26/2020</c:v>
                </c:pt>
                <c:pt idx="254">
                  <c:v>10/27/2020</c:v>
                </c:pt>
                <c:pt idx="255">
                  <c:v>10/28/2020</c:v>
                </c:pt>
                <c:pt idx="256">
                  <c:v>10/29/2020</c:v>
                </c:pt>
                <c:pt idx="257">
                  <c:v>10/30/2020</c:v>
                </c:pt>
                <c:pt idx="258">
                  <c:v>11/2/2020</c:v>
                </c:pt>
                <c:pt idx="259">
                  <c:v>11/3/2020</c:v>
                </c:pt>
                <c:pt idx="260">
                  <c:v>11/4/2020</c:v>
                </c:pt>
                <c:pt idx="261">
                  <c:v>11/5/2020</c:v>
                </c:pt>
                <c:pt idx="262">
                  <c:v>11/6/2020</c:v>
                </c:pt>
                <c:pt idx="263">
                  <c:v>11/9/2020</c:v>
                </c:pt>
                <c:pt idx="264">
                  <c:v>11/10/2020</c:v>
                </c:pt>
                <c:pt idx="265">
                  <c:v>11/11/2020</c:v>
                </c:pt>
                <c:pt idx="266">
                  <c:v>11/12/2020</c:v>
                </c:pt>
                <c:pt idx="267">
                  <c:v>11/13/2020</c:v>
                </c:pt>
                <c:pt idx="268">
                  <c:v>11/16/2020</c:v>
                </c:pt>
                <c:pt idx="269">
                  <c:v>11/17/2020</c:v>
                </c:pt>
                <c:pt idx="270">
                  <c:v>11/18/2020</c:v>
                </c:pt>
                <c:pt idx="271">
                  <c:v>11/19/2020</c:v>
                </c:pt>
                <c:pt idx="272">
                  <c:v>11/20/2020</c:v>
                </c:pt>
                <c:pt idx="273">
                  <c:v>11/23/2020</c:v>
                </c:pt>
                <c:pt idx="274">
                  <c:v>11/24/2020</c:v>
                </c:pt>
                <c:pt idx="275">
                  <c:v>11/25/2020</c:v>
                </c:pt>
                <c:pt idx="276">
                  <c:v>11/26/2020</c:v>
                </c:pt>
                <c:pt idx="277">
                  <c:v>11/27/2020</c:v>
                </c:pt>
                <c:pt idx="278">
                  <c:v>11/30/2020</c:v>
                </c:pt>
                <c:pt idx="279">
                  <c:v>12/1/2020</c:v>
                </c:pt>
                <c:pt idx="280">
                  <c:v>12/2/2020</c:v>
                </c:pt>
                <c:pt idx="281">
                  <c:v>12/3/2020</c:v>
                </c:pt>
                <c:pt idx="282">
                  <c:v>12/4/2020</c:v>
                </c:pt>
                <c:pt idx="283">
                  <c:v>12/7/2020</c:v>
                </c:pt>
                <c:pt idx="284">
                  <c:v>12/8/2020</c:v>
                </c:pt>
                <c:pt idx="285">
                  <c:v>12/9/2020</c:v>
                </c:pt>
                <c:pt idx="286">
                  <c:v>12/10/2020</c:v>
                </c:pt>
                <c:pt idx="287">
                  <c:v>12/11/2020</c:v>
                </c:pt>
                <c:pt idx="288">
                  <c:v>12/14/2020</c:v>
                </c:pt>
                <c:pt idx="289">
                  <c:v>12/15/2020</c:v>
                </c:pt>
                <c:pt idx="290">
                  <c:v>12/16/2020</c:v>
                </c:pt>
                <c:pt idx="291">
                  <c:v>12/17/2020</c:v>
                </c:pt>
                <c:pt idx="292">
                  <c:v>12/18/2020</c:v>
                </c:pt>
                <c:pt idx="293">
                  <c:v>12/21/2020</c:v>
                </c:pt>
                <c:pt idx="294">
                  <c:v>12/22/2020</c:v>
                </c:pt>
                <c:pt idx="295">
                  <c:v>12/23/2020</c:v>
                </c:pt>
                <c:pt idx="296">
                  <c:v>12/24/2020</c:v>
                </c:pt>
                <c:pt idx="297">
                  <c:v>12/28/2020</c:v>
                </c:pt>
                <c:pt idx="298">
                  <c:v>12/29/2020</c:v>
                </c:pt>
                <c:pt idx="299">
                  <c:v>12/30/2020</c:v>
                </c:pt>
                <c:pt idx="300">
                  <c:v>12/31/2020</c:v>
                </c:pt>
                <c:pt idx="301">
                  <c:v>1/4/2021</c:v>
                </c:pt>
                <c:pt idx="302">
                  <c:v>1/5/2021</c:v>
                </c:pt>
                <c:pt idx="303">
                  <c:v>1/6/2021</c:v>
                </c:pt>
                <c:pt idx="304">
                  <c:v>1/7/2021</c:v>
                </c:pt>
                <c:pt idx="305">
                  <c:v>1/8/2021</c:v>
                </c:pt>
                <c:pt idx="306">
                  <c:v>1/11/2021</c:v>
                </c:pt>
                <c:pt idx="307">
                  <c:v>1/12/2021</c:v>
                </c:pt>
                <c:pt idx="308">
                  <c:v>1/13/2021</c:v>
                </c:pt>
                <c:pt idx="309">
                  <c:v>1/14/2021</c:v>
                </c:pt>
                <c:pt idx="310">
                  <c:v>1/15/2021</c:v>
                </c:pt>
                <c:pt idx="311">
                  <c:v>1/18/2021</c:v>
                </c:pt>
                <c:pt idx="312">
                  <c:v>1/19/2021</c:v>
                </c:pt>
                <c:pt idx="313">
                  <c:v>1/20/2021</c:v>
                </c:pt>
                <c:pt idx="314">
                  <c:v>1/21/2021</c:v>
                </c:pt>
                <c:pt idx="315">
                  <c:v>1/22/2021</c:v>
                </c:pt>
                <c:pt idx="316">
                  <c:v>1/25/2021</c:v>
                </c:pt>
                <c:pt idx="317">
                  <c:v>1/26/2021</c:v>
                </c:pt>
                <c:pt idx="318">
                  <c:v>1/27/2021</c:v>
                </c:pt>
                <c:pt idx="319">
                  <c:v>1/28/2021</c:v>
                </c:pt>
                <c:pt idx="320">
                  <c:v>1/29/2021</c:v>
                </c:pt>
                <c:pt idx="321">
                  <c:v>2/1/2021</c:v>
                </c:pt>
                <c:pt idx="322">
                  <c:v>2/2/2021</c:v>
                </c:pt>
                <c:pt idx="323">
                  <c:v>2/3/2021</c:v>
                </c:pt>
                <c:pt idx="324">
                  <c:v>2/4/2021</c:v>
                </c:pt>
                <c:pt idx="325">
                  <c:v>2/5/2021</c:v>
                </c:pt>
                <c:pt idx="326">
                  <c:v>2/8/2021</c:v>
                </c:pt>
                <c:pt idx="327">
                  <c:v>2/9/2021</c:v>
                </c:pt>
                <c:pt idx="328">
                  <c:v>2/10/2021</c:v>
                </c:pt>
                <c:pt idx="329">
                  <c:v>2/11/2021</c:v>
                </c:pt>
                <c:pt idx="330">
                  <c:v>2/12/2021</c:v>
                </c:pt>
                <c:pt idx="331">
                  <c:v>2/15/2021</c:v>
                </c:pt>
                <c:pt idx="332">
                  <c:v>2/16/2021</c:v>
                </c:pt>
                <c:pt idx="333">
                  <c:v>2/17/2021</c:v>
                </c:pt>
                <c:pt idx="334">
                  <c:v>2/18/2021</c:v>
                </c:pt>
                <c:pt idx="335">
                  <c:v>2/19/2021</c:v>
                </c:pt>
                <c:pt idx="336">
                  <c:v>2/22/2021</c:v>
                </c:pt>
                <c:pt idx="337">
                  <c:v>2/23/2021</c:v>
                </c:pt>
                <c:pt idx="338">
                  <c:v>2/24/2021</c:v>
                </c:pt>
                <c:pt idx="339">
                  <c:v>2/25/2021</c:v>
                </c:pt>
                <c:pt idx="340">
                  <c:v>2/26/2021</c:v>
                </c:pt>
                <c:pt idx="341">
                  <c:v>3/1/2021</c:v>
                </c:pt>
                <c:pt idx="342">
                  <c:v>3/2/2021</c:v>
                </c:pt>
                <c:pt idx="343">
                  <c:v>3/3/2021</c:v>
                </c:pt>
                <c:pt idx="344">
                  <c:v>3/4/2021</c:v>
                </c:pt>
                <c:pt idx="345">
                  <c:v>3/5/2021</c:v>
                </c:pt>
                <c:pt idx="346">
                  <c:v>3/8/2021</c:v>
                </c:pt>
                <c:pt idx="347">
                  <c:v>3/9/2021</c:v>
                </c:pt>
                <c:pt idx="348">
                  <c:v>3/10/2021</c:v>
                </c:pt>
                <c:pt idx="349">
                  <c:v>3/11/2021</c:v>
                </c:pt>
                <c:pt idx="350">
                  <c:v>3/12/2021</c:v>
                </c:pt>
                <c:pt idx="351">
                  <c:v>3/15/2021</c:v>
                </c:pt>
                <c:pt idx="352">
                  <c:v>3/16/2021</c:v>
                </c:pt>
                <c:pt idx="353">
                  <c:v>3/17/2021</c:v>
                </c:pt>
                <c:pt idx="354">
                  <c:v>3/18/2021</c:v>
                </c:pt>
                <c:pt idx="355">
                  <c:v>3/19/2021</c:v>
                </c:pt>
                <c:pt idx="356">
                  <c:v>3/22/2021</c:v>
                </c:pt>
                <c:pt idx="357">
                  <c:v>3/23/2021</c:v>
                </c:pt>
                <c:pt idx="358">
                  <c:v>3/24/2021</c:v>
                </c:pt>
                <c:pt idx="359">
                  <c:v>3/25/2021</c:v>
                </c:pt>
                <c:pt idx="360">
                  <c:v>3/26/2021</c:v>
                </c:pt>
                <c:pt idx="361">
                  <c:v>3/29/2021</c:v>
                </c:pt>
                <c:pt idx="362">
                  <c:v>3/30/2021</c:v>
                </c:pt>
                <c:pt idx="363">
                  <c:v>3/31/2021</c:v>
                </c:pt>
                <c:pt idx="364">
                  <c:v>4/1/2021</c:v>
                </c:pt>
                <c:pt idx="365">
                  <c:v>4/5/2021</c:v>
                </c:pt>
                <c:pt idx="366">
                  <c:v>4/6/2021</c:v>
                </c:pt>
                <c:pt idx="367">
                  <c:v>4/7/2021</c:v>
                </c:pt>
                <c:pt idx="368">
                  <c:v>4/8/2021</c:v>
                </c:pt>
                <c:pt idx="369">
                  <c:v>4/9/2021</c:v>
                </c:pt>
                <c:pt idx="370">
                  <c:v>4/12/2021</c:v>
                </c:pt>
                <c:pt idx="371">
                  <c:v>4/13/2021</c:v>
                </c:pt>
                <c:pt idx="372">
                  <c:v>4/14/2021</c:v>
                </c:pt>
                <c:pt idx="373">
                  <c:v>4/15/2021</c:v>
                </c:pt>
                <c:pt idx="374">
                  <c:v>4/16/2021</c:v>
                </c:pt>
                <c:pt idx="375">
                  <c:v>4/19/2021</c:v>
                </c:pt>
                <c:pt idx="376">
                  <c:v>4/20/2021</c:v>
                </c:pt>
                <c:pt idx="377">
                  <c:v>4/21/2021</c:v>
                </c:pt>
                <c:pt idx="378">
                  <c:v>4/22/2021</c:v>
                </c:pt>
                <c:pt idx="379">
                  <c:v>4/23/2021</c:v>
                </c:pt>
                <c:pt idx="380">
                  <c:v>4/26/2021</c:v>
                </c:pt>
                <c:pt idx="381">
                  <c:v>4/27/2021</c:v>
                </c:pt>
                <c:pt idx="382">
                  <c:v>4/28/2021</c:v>
                </c:pt>
                <c:pt idx="383">
                  <c:v>4/29/2021</c:v>
                </c:pt>
                <c:pt idx="384">
                  <c:v>4/30/2021</c:v>
                </c:pt>
                <c:pt idx="385">
                  <c:v>5/3/2021</c:v>
                </c:pt>
                <c:pt idx="386">
                  <c:v>5/4/2021</c:v>
                </c:pt>
                <c:pt idx="387">
                  <c:v>5/5/2021</c:v>
                </c:pt>
                <c:pt idx="388">
                  <c:v>5/6/2021</c:v>
                </c:pt>
                <c:pt idx="389">
                  <c:v>5/7/2021</c:v>
                </c:pt>
                <c:pt idx="390">
                  <c:v>5/10/2021</c:v>
                </c:pt>
                <c:pt idx="391">
                  <c:v>5/11/2021</c:v>
                </c:pt>
                <c:pt idx="392">
                  <c:v>5/12/2021</c:v>
                </c:pt>
                <c:pt idx="393">
                  <c:v>5/13/2021</c:v>
                </c:pt>
                <c:pt idx="394">
                  <c:v>5/14/2021</c:v>
                </c:pt>
                <c:pt idx="395">
                  <c:v>5/17/2021</c:v>
                </c:pt>
                <c:pt idx="396">
                  <c:v>5/18/2021</c:v>
                </c:pt>
                <c:pt idx="397">
                  <c:v>5/19/2021</c:v>
                </c:pt>
                <c:pt idx="398">
                  <c:v>5/20/2021</c:v>
                </c:pt>
                <c:pt idx="399">
                  <c:v>5/21/2021</c:v>
                </c:pt>
                <c:pt idx="400">
                  <c:v>5/24/2021</c:v>
                </c:pt>
                <c:pt idx="401">
                  <c:v>5/25/2021</c:v>
                </c:pt>
                <c:pt idx="402">
                  <c:v>5/26/2021</c:v>
                </c:pt>
                <c:pt idx="403">
                  <c:v>5/27/2021</c:v>
                </c:pt>
                <c:pt idx="404">
                  <c:v>5/28/2021</c:v>
                </c:pt>
                <c:pt idx="405">
                  <c:v>5/31/2021</c:v>
                </c:pt>
                <c:pt idx="406">
                  <c:v>6/1/2021</c:v>
                </c:pt>
                <c:pt idx="407">
                  <c:v>6/2/2021</c:v>
                </c:pt>
                <c:pt idx="408">
                  <c:v>6/3/2021</c:v>
                </c:pt>
                <c:pt idx="409">
                  <c:v>6/4/2021</c:v>
                </c:pt>
                <c:pt idx="410">
                  <c:v>6/7/2021</c:v>
                </c:pt>
                <c:pt idx="411">
                  <c:v>6/8/2021</c:v>
                </c:pt>
                <c:pt idx="412">
                  <c:v>6/9/2021</c:v>
                </c:pt>
                <c:pt idx="413">
                  <c:v>6/10/2021</c:v>
                </c:pt>
                <c:pt idx="414">
                  <c:v>6/11/2021</c:v>
                </c:pt>
                <c:pt idx="415">
                  <c:v>6/14/2021</c:v>
                </c:pt>
                <c:pt idx="416">
                  <c:v>6/15/2021</c:v>
                </c:pt>
                <c:pt idx="417">
                  <c:v>6/16/2021</c:v>
                </c:pt>
                <c:pt idx="418">
                  <c:v>6/17/2021</c:v>
                </c:pt>
                <c:pt idx="419">
                  <c:v>6/18/2021</c:v>
                </c:pt>
                <c:pt idx="420">
                  <c:v>6/21/2021</c:v>
                </c:pt>
                <c:pt idx="421">
                  <c:v>6/22/2021</c:v>
                </c:pt>
                <c:pt idx="422">
                  <c:v>6/23/2021</c:v>
                </c:pt>
                <c:pt idx="423">
                  <c:v>6/24/2021</c:v>
                </c:pt>
                <c:pt idx="424">
                  <c:v>6/25/2021</c:v>
                </c:pt>
                <c:pt idx="425">
                  <c:v>6/28/2021</c:v>
                </c:pt>
                <c:pt idx="426">
                  <c:v>6/29/2021</c:v>
                </c:pt>
                <c:pt idx="427">
                  <c:v>6/30/2021</c:v>
                </c:pt>
                <c:pt idx="428">
                  <c:v>7/1/2021</c:v>
                </c:pt>
                <c:pt idx="429">
                  <c:v>7/2/2021</c:v>
                </c:pt>
                <c:pt idx="430">
                  <c:v>7/5/2021</c:v>
                </c:pt>
                <c:pt idx="431">
                  <c:v>7/6/2021</c:v>
                </c:pt>
                <c:pt idx="432">
                  <c:v>7/7/2021</c:v>
                </c:pt>
                <c:pt idx="433">
                  <c:v>7/8/2021</c:v>
                </c:pt>
                <c:pt idx="434">
                  <c:v>7/9/2021</c:v>
                </c:pt>
                <c:pt idx="435">
                  <c:v>7/12/2021</c:v>
                </c:pt>
                <c:pt idx="436">
                  <c:v>7/13/2021</c:v>
                </c:pt>
                <c:pt idx="437">
                  <c:v>7/14/2021</c:v>
                </c:pt>
                <c:pt idx="438">
                  <c:v>7/15/2021</c:v>
                </c:pt>
                <c:pt idx="439">
                  <c:v>7/16/2021</c:v>
                </c:pt>
                <c:pt idx="440">
                  <c:v>7/19/2021</c:v>
                </c:pt>
                <c:pt idx="441">
                  <c:v>7/20/2021</c:v>
                </c:pt>
                <c:pt idx="442">
                  <c:v>7/21/2021</c:v>
                </c:pt>
                <c:pt idx="443">
                  <c:v>7/22/2021</c:v>
                </c:pt>
                <c:pt idx="444">
                  <c:v>7/23/2021</c:v>
                </c:pt>
                <c:pt idx="445">
                  <c:v>7/26/2021</c:v>
                </c:pt>
                <c:pt idx="446">
                  <c:v>7/27/2021</c:v>
                </c:pt>
                <c:pt idx="447">
                  <c:v>7/28/2021</c:v>
                </c:pt>
                <c:pt idx="448">
                  <c:v>7/29/2021</c:v>
                </c:pt>
                <c:pt idx="449">
                  <c:v>7/30/2021</c:v>
                </c:pt>
                <c:pt idx="450">
                  <c:v>8/2/2021</c:v>
                </c:pt>
                <c:pt idx="451">
                  <c:v>8/3/2021</c:v>
                </c:pt>
                <c:pt idx="452">
                  <c:v>8/4/2021</c:v>
                </c:pt>
                <c:pt idx="453">
                  <c:v>8/5/2021</c:v>
                </c:pt>
                <c:pt idx="454">
                  <c:v>8/6/2021</c:v>
                </c:pt>
                <c:pt idx="455">
                  <c:v>8/9/2021</c:v>
                </c:pt>
                <c:pt idx="456">
                  <c:v>8/10/2021</c:v>
                </c:pt>
                <c:pt idx="457">
                  <c:v>8/11/2021</c:v>
                </c:pt>
                <c:pt idx="458">
                  <c:v>8/12/2021</c:v>
                </c:pt>
                <c:pt idx="459">
                  <c:v>8/13/2021</c:v>
                </c:pt>
                <c:pt idx="460">
                  <c:v>8/16/2021</c:v>
                </c:pt>
                <c:pt idx="461">
                  <c:v>8/17/2021</c:v>
                </c:pt>
                <c:pt idx="462">
                  <c:v>8/18/2021</c:v>
                </c:pt>
                <c:pt idx="463">
                  <c:v>8/19/2021</c:v>
                </c:pt>
                <c:pt idx="464">
                  <c:v>8/20/2021</c:v>
                </c:pt>
                <c:pt idx="465">
                  <c:v>8/23/2021</c:v>
                </c:pt>
                <c:pt idx="466">
                  <c:v>8/24/2021</c:v>
                </c:pt>
                <c:pt idx="467">
                  <c:v>8/25/2021</c:v>
                </c:pt>
                <c:pt idx="468">
                  <c:v>8/26/2021</c:v>
                </c:pt>
                <c:pt idx="469">
                  <c:v>8/27/2021</c:v>
                </c:pt>
                <c:pt idx="470">
                  <c:v>8/30/2021</c:v>
                </c:pt>
                <c:pt idx="471">
                  <c:v>8/31/2021</c:v>
                </c:pt>
                <c:pt idx="472">
                  <c:v>9/1/2021</c:v>
                </c:pt>
                <c:pt idx="473">
                  <c:v>9/2/2021</c:v>
                </c:pt>
                <c:pt idx="474">
                  <c:v>9/3/2021</c:v>
                </c:pt>
                <c:pt idx="475">
                  <c:v>9/6/2021</c:v>
                </c:pt>
                <c:pt idx="476">
                  <c:v>9/7/2021</c:v>
                </c:pt>
                <c:pt idx="477">
                  <c:v>9/8/2021</c:v>
                </c:pt>
                <c:pt idx="478">
                  <c:v>9/9/2021</c:v>
                </c:pt>
                <c:pt idx="479">
                  <c:v>9/10/2021</c:v>
                </c:pt>
                <c:pt idx="480">
                  <c:v>9/13/2021</c:v>
                </c:pt>
                <c:pt idx="481">
                  <c:v>9/14/2021</c:v>
                </c:pt>
                <c:pt idx="482">
                  <c:v>9/15/2021</c:v>
                </c:pt>
                <c:pt idx="483">
                  <c:v>9/16/2021</c:v>
                </c:pt>
                <c:pt idx="484">
                  <c:v>9/17/2021</c:v>
                </c:pt>
                <c:pt idx="485">
                  <c:v>9/20/2021</c:v>
                </c:pt>
                <c:pt idx="486">
                  <c:v>9/21/2021</c:v>
                </c:pt>
                <c:pt idx="487">
                  <c:v>9/22/2021</c:v>
                </c:pt>
                <c:pt idx="488">
                  <c:v>9/23/2021</c:v>
                </c:pt>
                <c:pt idx="489">
                  <c:v>9/24/2021</c:v>
                </c:pt>
                <c:pt idx="490">
                  <c:v>9/27/2021</c:v>
                </c:pt>
                <c:pt idx="491">
                  <c:v>9/28/2021</c:v>
                </c:pt>
                <c:pt idx="492">
                  <c:v>9/29/2021</c:v>
                </c:pt>
                <c:pt idx="493">
                  <c:v>9/30/2021</c:v>
                </c:pt>
                <c:pt idx="494">
                  <c:v>10/1/2021</c:v>
                </c:pt>
                <c:pt idx="495">
                  <c:v>10/4/2021</c:v>
                </c:pt>
                <c:pt idx="496">
                  <c:v>10/5/2021</c:v>
                </c:pt>
                <c:pt idx="497">
                  <c:v>10/6/2021</c:v>
                </c:pt>
                <c:pt idx="498">
                  <c:v>10/7/2021</c:v>
                </c:pt>
                <c:pt idx="499">
                  <c:v>10/8/2021</c:v>
                </c:pt>
                <c:pt idx="500">
                  <c:v>10/11/2021</c:v>
                </c:pt>
                <c:pt idx="501">
                  <c:v>10/12/2021</c:v>
                </c:pt>
                <c:pt idx="502">
                  <c:v>10/13/2021</c:v>
                </c:pt>
                <c:pt idx="503">
                  <c:v>10/14/2021</c:v>
                </c:pt>
                <c:pt idx="504">
                  <c:v>10/15/2021</c:v>
                </c:pt>
                <c:pt idx="505">
                  <c:v>10/18/2021</c:v>
                </c:pt>
                <c:pt idx="506">
                  <c:v>10/19/2021</c:v>
                </c:pt>
                <c:pt idx="507">
                  <c:v>10/20/2021</c:v>
                </c:pt>
                <c:pt idx="508">
                  <c:v>10/21/2021</c:v>
                </c:pt>
                <c:pt idx="509">
                  <c:v>10/22/2021</c:v>
                </c:pt>
                <c:pt idx="510">
                  <c:v>10/25/2021</c:v>
                </c:pt>
                <c:pt idx="511">
                  <c:v>10/26/2021</c:v>
                </c:pt>
                <c:pt idx="512">
                  <c:v>10/27/2021</c:v>
                </c:pt>
                <c:pt idx="513">
                  <c:v>10/28/2021</c:v>
                </c:pt>
                <c:pt idx="514">
                  <c:v>10/29/2021</c:v>
                </c:pt>
                <c:pt idx="515">
                  <c:v>11/1/2021</c:v>
                </c:pt>
                <c:pt idx="516">
                  <c:v>11/2/2021</c:v>
                </c:pt>
                <c:pt idx="517">
                  <c:v>11/3/2021</c:v>
                </c:pt>
                <c:pt idx="518">
                  <c:v>11/4/2021</c:v>
                </c:pt>
                <c:pt idx="519">
                  <c:v>11/5/2021</c:v>
                </c:pt>
                <c:pt idx="520">
                  <c:v>11/8/2021</c:v>
                </c:pt>
                <c:pt idx="521">
                  <c:v>11/9/2021</c:v>
                </c:pt>
                <c:pt idx="522">
                  <c:v>11/10/2021</c:v>
                </c:pt>
                <c:pt idx="523">
                  <c:v>11/11/2021</c:v>
                </c:pt>
                <c:pt idx="524">
                  <c:v>11/12/2021</c:v>
                </c:pt>
                <c:pt idx="525">
                  <c:v>11/15/2021</c:v>
                </c:pt>
                <c:pt idx="526">
                  <c:v>11/16/2021</c:v>
                </c:pt>
                <c:pt idx="527">
                  <c:v>11/17/2021</c:v>
                </c:pt>
                <c:pt idx="528">
                  <c:v>11/18/2021</c:v>
                </c:pt>
                <c:pt idx="529">
                  <c:v>11/19/2021</c:v>
                </c:pt>
                <c:pt idx="530">
                  <c:v>11/22/2021</c:v>
                </c:pt>
                <c:pt idx="531">
                  <c:v>11/23/2021</c:v>
                </c:pt>
                <c:pt idx="532">
                  <c:v>11/24/2021</c:v>
                </c:pt>
                <c:pt idx="533">
                  <c:v>11/25/2021</c:v>
                </c:pt>
                <c:pt idx="534">
                  <c:v>11/26/2021</c:v>
                </c:pt>
                <c:pt idx="535">
                  <c:v>11/29/2021</c:v>
                </c:pt>
                <c:pt idx="536">
                  <c:v>11/30/2021</c:v>
                </c:pt>
                <c:pt idx="537">
                  <c:v>12/1/2021</c:v>
                </c:pt>
                <c:pt idx="538">
                  <c:v>12/2/2021</c:v>
                </c:pt>
                <c:pt idx="539">
                  <c:v>12/3/2021</c:v>
                </c:pt>
                <c:pt idx="540">
                  <c:v>12/6/2021</c:v>
                </c:pt>
                <c:pt idx="541">
                  <c:v>12/7/2021</c:v>
                </c:pt>
                <c:pt idx="542">
                  <c:v>12/8/2021</c:v>
                </c:pt>
                <c:pt idx="543">
                  <c:v>12/9/2021</c:v>
                </c:pt>
                <c:pt idx="544">
                  <c:v>12/10/2021</c:v>
                </c:pt>
                <c:pt idx="545">
                  <c:v>12/13/2021</c:v>
                </c:pt>
                <c:pt idx="546">
                  <c:v>12/14/2021</c:v>
                </c:pt>
                <c:pt idx="547">
                  <c:v>12/15/2021</c:v>
                </c:pt>
                <c:pt idx="548">
                  <c:v>12/16/2021</c:v>
                </c:pt>
                <c:pt idx="549">
                  <c:v>12/17/2021</c:v>
                </c:pt>
                <c:pt idx="550">
                  <c:v>12/20/2021</c:v>
                </c:pt>
                <c:pt idx="551">
                  <c:v>12/21/2021</c:v>
                </c:pt>
                <c:pt idx="552">
                  <c:v>12/22/2021</c:v>
                </c:pt>
                <c:pt idx="553">
                  <c:v>12/23/2021</c:v>
                </c:pt>
                <c:pt idx="554">
                  <c:v>12/24/2021</c:v>
                </c:pt>
                <c:pt idx="555">
                  <c:v>12/27/2021</c:v>
                </c:pt>
                <c:pt idx="556">
                  <c:v>12/28/2021</c:v>
                </c:pt>
                <c:pt idx="557">
                  <c:v>12/29/2021</c:v>
                </c:pt>
                <c:pt idx="558">
                  <c:v>12/30/2021</c:v>
                </c:pt>
                <c:pt idx="559">
                  <c:v>12/31/2021</c:v>
                </c:pt>
                <c:pt idx="560">
                  <c:v>1/3/2022</c:v>
                </c:pt>
                <c:pt idx="561">
                  <c:v>1/4/2022</c:v>
                </c:pt>
                <c:pt idx="562">
                  <c:v>1/5/2022</c:v>
                </c:pt>
                <c:pt idx="563">
                  <c:v>1/6/2022</c:v>
                </c:pt>
                <c:pt idx="564">
                  <c:v>1/7/2022</c:v>
                </c:pt>
                <c:pt idx="565">
                  <c:v>1/10/2022</c:v>
                </c:pt>
                <c:pt idx="566">
                  <c:v>1/11/2022</c:v>
                </c:pt>
                <c:pt idx="567">
                  <c:v>1/12/2022</c:v>
                </c:pt>
                <c:pt idx="568">
                  <c:v>1/13/2022</c:v>
                </c:pt>
                <c:pt idx="569">
                  <c:v>1/14/2022</c:v>
                </c:pt>
                <c:pt idx="570">
                  <c:v>1/17/2022</c:v>
                </c:pt>
                <c:pt idx="571">
                  <c:v>1/18/2022</c:v>
                </c:pt>
                <c:pt idx="572">
                  <c:v>1/19/2022</c:v>
                </c:pt>
                <c:pt idx="573">
                  <c:v>1/20/2022</c:v>
                </c:pt>
                <c:pt idx="574">
                  <c:v>1/21/2022</c:v>
                </c:pt>
                <c:pt idx="575">
                  <c:v>1/24/2022</c:v>
                </c:pt>
                <c:pt idx="576">
                  <c:v>1/25/2022</c:v>
                </c:pt>
                <c:pt idx="577">
                  <c:v>1/26/2022</c:v>
                </c:pt>
                <c:pt idx="578">
                  <c:v>1/27/2022</c:v>
                </c:pt>
                <c:pt idx="579">
                  <c:v>1/28/2022</c:v>
                </c:pt>
                <c:pt idx="580">
                  <c:v>1/31/2022</c:v>
                </c:pt>
                <c:pt idx="581">
                  <c:v>2/1/2022</c:v>
                </c:pt>
                <c:pt idx="582">
                  <c:v>2/2/2022</c:v>
                </c:pt>
                <c:pt idx="583">
                  <c:v>2/3/2022</c:v>
                </c:pt>
                <c:pt idx="584">
                  <c:v>2/4/2022</c:v>
                </c:pt>
                <c:pt idx="585">
                  <c:v>2/7/2022</c:v>
                </c:pt>
                <c:pt idx="586">
                  <c:v>2/8/2022</c:v>
                </c:pt>
                <c:pt idx="587">
                  <c:v>2/9/2022</c:v>
                </c:pt>
                <c:pt idx="588">
                  <c:v>2/10/2022</c:v>
                </c:pt>
                <c:pt idx="589">
                  <c:v>2/11/2022</c:v>
                </c:pt>
                <c:pt idx="590">
                  <c:v>2/14/2022</c:v>
                </c:pt>
                <c:pt idx="591">
                  <c:v>2/15/2022</c:v>
                </c:pt>
                <c:pt idx="592">
                  <c:v>2/16/2022</c:v>
                </c:pt>
                <c:pt idx="593">
                  <c:v>2/17/2022</c:v>
                </c:pt>
                <c:pt idx="594">
                  <c:v>2/18/2022</c:v>
                </c:pt>
                <c:pt idx="595">
                  <c:v>2/21/2022</c:v>
                </c:pt>
                <c:pt idx="596">
                  <c:v>2/22/2022</c:v>
                </c:pt>
                <c:pt idx="597">
                  <c:v>2/23/2022</c:v>
                </c:pt>
                <c:pt idx="598">
                  <c:v>2/24/2022</c:v>
                </c:pt>
                <c:pt idx="599">
                  <c:v>2/25/2022</c:v>
                </c:pt>
                <c:pt idx="600">
                  <c:v>2/28/2022</c:v>
                </c:pt>
                <c:pt idx="601">
                  <c:v>3/1/2022</c:v>
                </c:pt>
                <c:pt idx="602">
                  <c:v>3/2/2022</c:v>
                </c:pt>
                <c:pt idx="603">
                  <c:v>3/3/2022</c:v>
                </c:pt>
                <c:pt idx="604">
                  <c:v>3/4/2022</c:v>
                </c:pt>
                <c:pt idx="605">
                  <c:v>3/7/2022</c:v>
                </c:pt>
                <c:pt idx="606">
                  <c:v>3/8/2022</c:v>
                </c:pt>
                <c:pt idx="607">
                  <c:v>3/9/2022</c:v>
                </c:pt>
                <c:pt idx="608">
                  <c:v>3/10/2022</c:v>
                </c:pt>
                <c:pt idx="609">
                  <c:v>3/11/2022</c:v>
                </c:pt>
                <c:pt idx="610">
                  <c:v>3/14/2022</c:v>
                </c:pt>
                <c:pt idx="611">
                  <c:v>3/15/2022</c:v>
                </c:pt>
                <c:pt idx="612">
                  <c:v>3/16/2022</c:v>
                </c:pt>
                <c:pt idx="613">
                  <c:v>3/17/2022</c:v>
                </c:pt>
                <c:pt idx="614">
                  <c:v>3/18/2022</c:v>
                </c:pt>
                <c:pt idx="615">
                  <c:v>3/21/2022</c:v>
                </c:pt>
                <c:pt idx="616">
                  <c:v>3/22/2022</c:v>
                </c:pt>
                <c:pt idx="617">
                  <c:v>3/23/2022</c:v>
                </c:pt>
                <c:pt idx="618">
                  <c:v>3/24/2022</c:v>
                </c:pt>
                <c:pt idx="619">
                  <c:v>3/25/2022</c:v>
                </c:pt>
                <c:pt idx="620">
                  <c:v>3/28/2022</c:v>
                </c:pt>
                <c:pt idx="621">
                  <c:v>3/29/2022</c:v>
                </c:pt>
                <c:pt idx="622">
                  <c:v>3/30/2022</c:v>
                </c:pt>
                <c:pt idx="623">
                  <c:v>3/31/2022</c:v>
                </c:pt>
                <c:pt idx="624">
                  <c:v>4/1/2022</c:v>
                </c:pt>
                <c:pt idx="625">
                  <c:v>4/4/2022</c:v>
                </c:pt>
                <c:pt idx="626">
                  <c:v>4/5/2022</c:v>
                </c:pt>
                <c:pt idx="627">
                  <c:v>4/6/2022</c:v>
                </c:pt>
                <c:pt idx="628">
                  <c:v>4/7/2022</c:v>
                </c:pt>
                <c:pt idx="629">
                  <c:v>4/8/2022</c:v>
                </c:pt>
                <c:pt idx="630">
                  <c:v>4/11/2022</c:v>
                </c:pt>
                <c:pt idx="631">
                  <c:v>4/12/2022</c:v>
                </c:pt>
                <c:pt idx="632">
                  <c:v>4/13/2022</c:v>
                </c:pt>
                <c:pt idx="633">
                  <c:v>4/14/2022</c:v>
                </c:pt>
                <c:pt idx="634">
                  <c:v>4/18/2022</c:v>
                </c:pt>
                <c:pt idx="635">
                  <c:v>4/19/2022</c:v>
                </c:pt>
                <c:pt idx="636">
                  <c:v>4/20/2022</c:v>
                </c:pt>
                <c:pt idx="637">
                  <c:v>4/21/2022</c:v>
                </c:pt>
                <c:pt idx="638">
                  <c:v>4/22/2022</c:v>
                </c:pt>
                <c:pt idx="639">
                  <c:v>4/25/2022</c:v>
                </c:pt>
                <c:pt idx="640">
                  <c:v>4/26/2022</c:v>
                </c:pt>
                <c:pt idx="641">
                  <c:v>4/27/2022</c:v>
                </c:pt>
                <c:pt idx="642">
                  <c:v>4/28/2022</c:v>
                </c:pt>
                <c:pt idx="643">
                  <c:v>4/29/2022</c:v>
                </c:pt>
                <c:pt idx="644">
                  <c:v>5/2/2022</c:v>
                </c:pt>
                <c:pt idx="645">
                  <c:v>5/3/2022</c:v>
                </c:pt>
                <c:pt idx="646">
                  <c:v>5/4/2022</c:v>
                </c:pt>
                <c:pt idx="647">
                  <c:v>5/5/2022</c:v>
                </c:pt>
                <c:pt idx="648">
                  <c:v>5/6/2022</c:v>
                </c:pt>
                <c:pt idx="649">
                  <c:v>5/9/2022</c:v>
                </c:pt>
                <c:pt idx="650">
                  <c:v>5/10/2022</c:v>
                </c:pt>
                <c:pt idx="651">
                  <c:v>5/11/2022</c:v>
                </c:pt>
                <c:pt idx="652">
                  <c:v>5/12/2022</c:v>
                </c:pt>
                <c:pt idx="653">
                  <c:v>5/13/2022</c:v>
                </c:pt>
                <c:pt idx="654">
                  <c:v>5/16/2022</c:v>
                </c:pt>
                <c:pt idx="655">
                  <c:v>5/17/2022</c:v>
                </c:pt>
                <c:pt idx="656">
                  <c:v>5/18/2022</c:v>
                </c:pt>
                <c:pt idx="657">
                  <c:v>5/19/2022</c:v>
                </c:pt>
                <c:pt idx="658">
                  <c:v>5/20/2022</c:v>
                </c:pt>
                <c:pt idx="659">
                  <c:v>5/23/2022</c:v>
                </c:pt>
                <c:pt idx="660">
                  <c:v>5/24/2022</c:v>
                </c:pt>
                <c:pt idx="661">
                  <c:v>5/25/2022</c:v>
                </c:pt>
                <c:pt idx="662">
                  <c:v>5/26/2022</c:v>
                </c:pt>
                <c:pt idx="663">
                  <c:v>5/27/2022</c:v>
                </c:pt>
                <c:pt idx="664">
                  <c:v>5/30/2022</c:v>
                </c:pt>
                <c:pt idx="665">
                  <c:v>5/31/2022</c:v>
                </c:pt>
                <c:pt idx="666">
                  <c:v>6/1/2022</c:v>
                </c:pt>
                <c:pt idx="667">
                  <c:v>6/2/2022</c:v>
                </c:pt>
                <c:pt idx="668">
                  <c:v>6/3/2022</c:v>
                </c:pt>
                <c:pt idx="669">
                  <c:v>6/6/2022</c:v>
                </c:pt>
                <c:pt idx="670">
                  <c:v>6/7/2022</c:v>
                </c:pt>
                <c:pt idx="671">
                  <c:v>6/8/2022</c:v>
                </c:pt>
                <c:pt idx="672">
                  <c:v>6/9/2022</c:v>
                </c:pt>
                <c:pt idx="673">
                  <c:v>6/10/2022</c:v>
                </c:pt>
                <c:pt idx="674">
                  <c:v>6/13/2022</c:v>
                </c:pt>
                <c:pt idx="675">
                  <c:v>6/14/2022</c:v>
                </c:pt>
                <c:pt idx="676">
                  <c:v>6/15/2022</c:v>
                </c:pt>
                <c:pt idx="677">
                  <c:v>6/16/2022</c:v>
                </c:pt>
                <c:pt idx="678">
                  <c:v>6/17/2022</c:v>
                </c:pt>
                <c:pt idx="679">
                  <c:v>6/21/2022</c:v>
                </c:pt>
                <c:pt idx="680">
                  <c:v>6/22/2022</c:v>
                </c:pt>
                <c:pt idx="681">
                  <c:v>6/23/2022</c:v>
                </c:pt>
                <c:pt idx="682">
                  <c:v>6/24/2022</c:v>
                </c:pt>
                <c:pt idx="683">
                  <c:v>6/27/2022</c:v>
                </c:pt>
              </c:strCache>
            </c:strRef>
          </c:cat>
          <c:val>
            <c:numRef>
              <c:f>'Cheapest crude price'!$B$4:$B$687</c:f>
              <c:numCache>
                <c:formatCode>"$"#,##0.00</c:formatCode>
                <c:ptCount val="684"/>
                <c:pt idx="0">
                  <c:v>52.66</c:v>
                </c:pt>
                <c:pt idx="1">
                  <c:v>53.32</c:v>
                </c:pt>
                <c:pt idx="2">
                  <c:v>54.09</c:v>
                </c:pt>
                <c:pt idx="3">
                  <c:v>53.41</c:v>
                </c:pt>
                <c:pt idx="4">
                  <c:v>52.97</c:v>
                </c:pt>
                <c:pt idx="5">
                  <c:v>53.26</c:v>
                </c:pt>
                <c:pt idx="6">
                  <c:v>53.54</c:v>
                </c:pt>
                <c:pt idx="7">
                  <c:v>53.47</c:v>
                </c:pt>
                <c:pt idx="8">
                  <c:v>53.32</c:v>
                </c:pt>
                <c:pt idx="9">
                  <c:v>53.65</c:v>
                </c:pt>
                <c:pt idx="10">
                  <c:v>54.11</c:v>
                </c:pt>
                <c:pt idx="11">
                  <c:v>54.18</c:v>
                </c:pt>
                <c:pt idx="12">
                  <c:v>54.27</c:v>
                </c:pt>
                <c:pt idx="13">
                  <c:v>54.12</c:v>
                </c:pt>
                <c:pt idx="14">
                  <c:v>54.09</c:v>
                </c:pt>
                <c:pt idx="15">
                  <c:v>54.04</c:v>
                </c:pt>
                <c:pt idx="16">
                  <c:v>54.01</c:v>
                </c:pt>
                <c:pt idx="17">
                  <c:v>56.22</c:v>
                </c:pt>
                <c:pt idx="18">
                  <c:v>56.54</c:v>
                </c:pt>
                <c:pt idx="19">
                  <c:v>57.16</c:v>
                </c:pt>
                <c:pt idx="20">
                  <c:v>56.41</c:v>
                </c:pt>
                <c:pt idx="21">
                  <c:v>57.04</c:v>
                </c:pt>
                <c:pt idx="22">
                  <c:v>57.11</c:v>
                </c:pt>
                <c:pt idx="23">
                  <c:v>56.85</c:v>
                </c:pt>
                <c:pt idx="24">
                  <c:v>56.81</c:v>
                </c:pt>
                <c:pt idx="25">
                  <c:v>57.01</c:v>
                </c:pt>
                <c:pt idx="26">
                  <c:v>56.83</c:v>
                </c:pt>
                <c:pt idx="27">
                  <c:v>57.31</c:v>
                </c:pt>
                <c:pt idx="28">
                  <c:v>57</c:v>
                </c:pt>
                <c:pt idx="29">
                  <c:v>56.28</c:v>
                </c:pt>
                <c:pt idx="30">
                  <c:v>56.87</c:v>
                </c:pt>
                <c:pt idx="31">
                  <c:v>57.34</c:v>
                </c:pt>
                <c:pt idx="32">
                  <c:v>57.14</c:v>
                </c:pt>
                <c:pt idx="33">
                  <c:v>57.19</c:v>
                </c:pt>
                <c:pt idx="34">
                  <c:v>57.25</c:v>
                </c:pt>
                <c:pt idx="35">
                  <c:v>57.22</c:v>
                </c:pt>
                <c:pt idx="36">
                  <c:v>57.07</c:v>
                </c:pt>
                <c:pt idx="37">
                  <c:v>55.94</c:v>
                </c:pt>
                <c:pt idx="38">
                  <c:v>56.07</c:v>
                </c:pt>
                <c:pt idx="39">
                  <c:v>58.17</c:v>
                </c:pt>
                <c:pt idx="40">
                  <c:v>58.17</c:v>
                </c:pt>
                <c:pt idx="41">
                  <c:v>58.79</c:v>
                </c:pt>
                <c:pt idx="42">
                  <c:v>58.65</c:v>
                </c:pt>
                <c:pt idx="43">
                  <c:v>58.81</c:v>
                </c:pt>
                <c:pt idx="44">
                  <c:v>58.49</c:v>
                </c:pt>
                <c:pt idx="45">
                  <c:v>58.74</c:v>
                </c:pt>
                <c:pt idx="46">
                  <c:v>59.26</c:v>
                </c:pt>
                <c:pt idx="47">
                  <c:v>59.34</c:v>
                </c:pt>
                <c:pt idx="48">
                  <c:v>59.69</c:v>
                </c:pt>
                <c:pt idx="49">
                  <c:v>59.68</c:v>
                </c:pt>
                <c:pt idx="50">
                  <c:v>59.81</c:v>
                </c:pt>
                <c:pt idx="51">
                  <c:v>59.56</c:v>
                </c:pt>
                <c:pt idx="52">
                  <c:v>59.58</c:v>
                </c:pt>
                <c:pt idx="53">
                  <c:v>59.72</c:v>
                </c:pt>
                <c:pt idx="54">
                  <c:v>59.83</c:v>
                </c:pt>
                <c:pt idx="55">
                  <c:v>59.84</c:v>
                </c:pt>
                <c:pt idx="56">
                  <c:v>59.83</c:v>
                </c:pt>
                <c:pt idx="57">
                  <c:v>59.8</c:v>
                </c:pt>
                <c:pt idx="58">
                  <c:v>61.09</c:v>
                </c:pt>
                <c:pt idx="59">
                  <c:v>62.52</c:v>
                </c:pt>
                <c:pt idx="60">
                  <c:v>61.98</c:v>
                </c:pt>
                <c:pt idx="61">
                  <c:v>60.67</c:v>
                </c:pt>
                <c:pt idx="62">
                  <c:v>60.11</c:v>
                </c:pt>
                <c:pt idx="63">
                  <c:v>58.8</c:v>
                </c:pt>
                <c:pt idx="64">
                  <c:v>58.94</c:v>
                </c:pt>
                <c:pt idx="65">
                  <c:v>55.53</c:v>
                </c:pt>
                <c:pt idx="66">
                  <c:v>54.68</c:v>
                </c:pt>
                <c:pt idx="67">
                  <c:v>55.01</c:v>
                </c:pt>
                <c:pt idx="68">
                  <c:v>55.74</c:v>
                </c:pt>
                <c:pt idx="69">
                  <c:v>55.13</c:v>
                </c:pt>
                <c:pt idx="70">
                  <c:v>54.21</c:v>
                </c:pt>
                <c:pt idx="71">
                  <c:v>54.2</c:v>
                </c:pt>
                <c:pt idx="72">
                  <c:v>55.59</c:v>
                </c:pt>
                <c:pt idx="73">
                  <c:v>55.9</c:v>
                </c:pt>
                <c:pt idx="74">
                  <c:v>56.77</c:v>
                </c:pt>
                <c:pt idx="75">
                  <c:v>57.28</c:v>
                </c:pt>
                <c:pt idx="76">
                  <c:v>56.72</c:v>
                </c:pt>
                <c:pt idx="77">
                  <c:v>57.56</c:v>
                </c:pt>
                <c:pt idx="78">
                  <c:v>57.53</c:v>
                </c:pt>
                <c:pt idx="79">
                  <c:v>50.16</c:v>
                </c:pt>
                <c:pt idx="80">
                  <c:v>49.7</c:v>
                </c:pt>
                <c:pt idx="81">
                  <c:v>50.71</c:v>
                </c:pt>
                <c:pt idx="82">
                  <c:v>50.88</c:v>
                </c:pt>
                <c:pt idx="83">
                  <c:v>50.4</c:v>
                </c:pt>
                <c:pt idx="84">
                  <c:v>49.84</c:v>
                </c:pt>
                <c:pt idx="85">
                  <c:v>50.1</c:v>
                </c:pt>
                <c:pt idx="86">
                  <c:v>50.88</c:v>
                </c:pt>
                <c:pt idx="87">
                  <c:v>51.03</c:v>
                </c:pt>
                <c:pt idx="88">
                  <c:v>51.37</c:v>
                </c:pt>
                <c:pt idx="89">
                  <c:v>48.35</c:v>
                </c:pt>
                <c:pt idx="90">
                  <c:v>34.72</c:v>
                </c:pt>
                <c:pt idx="91">
                  <c:v>35.729999999999997</c:v>
                </c:pt>
                <c:pt idx="92">
                  <c:v>35.56</c:v>
                </c:pt>
                <c:pt idx="93">
                  <c:v>33.270000000000003</c:v>
                </c:pt>
                <c:pt idx="94">
                  <c:v>34.14</c:v>
                </c:pt>
                <c:pt idx="95">
                  <c:v>30.63</c:v>
                </c:pt>
                <c:pt idx="96">
                  <c:v>30.36</c:v>
                </c:pt>
                <c:pt idx="97">
                  <c:v>27.31</c:v>
                </c:pt>
                <c:pt idx="98">
                  <c:v>26.73</c:v>
                </c:pt>
                <c:pt idx="99">
                  <c:v>28.57</c:v>
                </c:pt>
                <c:pt idx="100">
                  <c:v>24.72</c:v>
                </c:pt>
                <c:pt idx="101">
                  <c:v>26.53</c:v>
                </c:pt>
                <c:pt idx="102">
                  <c:v>26.94</c:v>
                </c:pt>
                <c:pt idx="103">
                  <c:v>26.04</c:v>
                </c:pt>
                <c:pt idx="104">
                  <c:v>24.26</c:v>
                </c:pt>
                <c:pt idx="105">
                  <c:v>21.66</c:v>
                </c:pt>
                <c:pt idx="106">
                  <c:v>22.61</c:v>
                </c:pt>
                <c:pt idx="107">
                  <c:v>16.850000000000001</c:v>
                </c:pt>
                <c:pt idx="108">
                  <c:v>18.91</c:v>
                </c:pt>
                <c:pt idx="109">
                  <c:v>23.01</c:v>
                </c:pt>
                <c:pt idx="110">
                  <c:v>23.48</c:v>
                </c:pt>
                <c:pt idx="111">
                  <c:v>22.67</c:v>
                </c:pt>
                <c:pt idx="112">
                  <c:v>21.19</c:v>
                </c:pt>
                <c:pt idx="113">
                  <c:v>21.77</c:v>
                </c:pt>
                <c:pt idx="114">
                  <c:v>21.18</c:v>
                </c:pt>
                <c:pt idx="115">
                  <c:v>19.7</c:v>
                </c:pt>
                <c:pt idx="116">
                  <c:v>17.510000000000002</c:v>
                </c:pt>
                <c:pt idx="117">
                  <c:v>17.73</c:v>
                </c:pt>
                <c:pt idx="118">
                  <c:v>18.170000000000002</c:v>
                </c:pt>
                <c:pt idx="119">
                  <c:v>14.19</c:v>
                </c:pt>
                <c:pt idx="120">
                  <c:v>14.63</c:v>
                </c:pt>
                <c:pt idx="121">
                  <c:v>12.22</c:v>
                </c:pt>
                <c:pt idx="122">
                  <c:v>15.23</c:v>
                </c:pt>
                <c:pt idx="123">
                  <c:v>14.31</c:v>
                </c:pt>
                <c:pt idx="124">
                  <c:v>13.3</c:v>
                </c:pt>
                <c:pt idx="125">
                  <c:v>12.41</c:v>
                </c:pt>
                <c:pt idx="126">
                  <c:v>14.36</c:v>
                </c:pt>
                <c:pt idx="127">
                  <c:v>18.05</c:v>
                </c:pt>
                <c:pt idx="128">
                  <c:v>16.52</c:v>
                </c:pt>
                <c:pt idx="129">
                  <c:v>18.36</c:v>
                </c:pt>
                <c:pt idx="130">
                  <c:v>21.43</c:v>
                </c:pt>
                <c:pt idx="131">
                  <c:v>22.4</c:v>
                </c:pt>
                <c:pt idx="132">
                  <c:v>16.18</c:v>
                </c:pt>
                <c:pt idx="133">
                  <c:v>15.5</c:v>
                </c:pt>
                <c:pt idx="134">
                  <c:v>16.23</c:v>
                </c:pt>
                <c:pt idx="135">
                  <c:v>17.010000000000002</c:v>
                </c:pt>
                <c:pt idx="136">
                  <c:v>17.12</c:v>
                </c:pt>
                <c:pt idx="137">
                  <c:v>16.32</c:v>
                </c:pt>
                <c:pt idx="138">
                  <c:v>16.260000000000002</c:v>
                </c:pt>
                <c:pt idx="139">
                  <c:v>16.52</c:v>
                </c:pt>
                <c:pt idx="140">
                  <c:v>16.7</c:v>
                </c:pt>
                <c:pt idx="141">
                  <c:v>20.66</c:v>
                </c:pt>
                <c:pt idx="142">
                  <c:v>21.2</c:v>
                </c:pt>
                <c:pt idx="143">
                  <c:v>24.79</c:v>
                </c:pt>
                <c:pt idx="144">
                  <c:v>24.2</c:v>
                </c:pt>
                <c:pt idx="145">
                  <c:v>23.72</c:v>
                </c:pt>
                <c:pt idx="146">
                  <c:v>24.67</c:v>
                </c:pt>
                <c:pt idx="147">
                  <c:v>24.08</c:v>
                </c:pt>
                <c:pt idx="148">
                  <c:v>25.01</c:v>
                </c:pt>
                <c:pt idx="149">
                  <c:v>24.66</c:v>
                </c:pt>
                <c:pt idx="150">
                  <c:v>25.88</c:v>
                </c:pt>
                <c:pt idx="151">
                  <c:v>26.74</c:v>
                </c:pt>
                <c:pt idx="152">
                  <c:v>27.72</c:v>
                </c:pt>
                <c:pt idx="153">
                  <c:v>27.86</c:v>
                </c:pt>
                <c:pt idx="154">
                  <c:v>28.4</c:v>
                </c:pt>
                <c:pt idx="155">
                  <c:v>28.53</c:v>
                </c:pt>
                <c:pt idx="156">
                  <c:v>28.36</c:v>
                </c:pt>
                <c:pt idx="157">
                  <c:v>28.58</c:v>
                </c:pt>
                <c:pt idx="158">
                  <c:v>28.35</c:v>
                </c:pt>
                <c:pt idx="159">
                  <c:v>28.44</c:v>
                </c:pt>
                <c:pt idx="160">
                  <c:v>28.53</c:v>
                </c:pt>
                <c:pt idx="161">
                  <c:v>35.54</c:v>
                </c:pt>
                <c:pt idx="162">
                  <c:v>36.82</c:v>
                </c:pt>
                <c:pt idx="163">
                  <c:v>37.270000000000003</c:v>
                </c:pt>
                <c:pt idx="164">
                  <c:v>37.369999999999997</c:v>
                </c:pt>
                <c:pt idx="165">
                  <c:v>38.17</c:v>
                </c:pt>
                <c:pt idx="166">
                  <c:v>37.18</c:v>
                </c:pt>
                <c:pt idx="167">
                  <c:v>37.99</c:v>
                </c:pt>
                <c:pt idx="168">
                  <c:v>37.340000000000003</c:v>
                </c:pt>
                <c:pt idx="169">
                  <c:v>36.97</c:v>
                </c:pt>
                <c:pt idx="170">
                  <c:v>36.93</c:v>
                </c:pt>
                <c:pt idx="171">
                  <c:v>37.42</c:v>
                </c:pt>
                <c:pt idx="172">
                  <c:v>38.03</c:v>
                </c:pt>
                <c:pt idx="173">
                  <c:v>37.840000000000003</c:v>
                </c:pt>
                <c:pt idx="174">
                  <c:v>38.19</c:v>
                </c:pt>
                <c:pt idx="175">
                  <c:v>38.479999999999997</c:v>
                </c:pt>
                <c:pt idx="176">
                  <c:v>38.76</c:v>
                </c:pt>
                <c:pt idx="177">
                  <c:v>38.659999999999997</c:v>
                </c:pt>
                <c:pt idx="178">
                  <c:v>38.130000000000003</c:v>
                </c:pt>
                <c:pt idx="179">
                  <c:v>38.25</c:v>
                </c:pt>
                <c:pt idx="180">
                  <c:v>38.22</c:v>
                </c:pt>
                <c:pt idx="181">
                  <c:v>38.33</c:v>
                </c:pt>
                <c:pt idx="182">
                  <c:v>38.31</c:v>
                </c:pt>
                <c:pt idx="183">
                  <c:v>39.86</c:v>
                </c:pt>
                <c:pt idx="184">
                  <c:v>40.65</c:v>
                </c:pt>
                <c:pt idx="185">
                  <c:v>40.630000000000003</c:v>
                </c:pt>
                <c:pt idx="186">
                  <c:v>40.61</c:v>
                </c:pt>
                <c:pt idx="187">
                  <c:v>40.869999999999997</c:v>
                </c:pt>
                <c:pt idx="188">
                  <c:v>39.9</c:v>
                </c:pt>
                <c:pt idx="189">
                  <c:v>40.58</c:v>
                </c:pt>
                <c:pt idx="190">
                  <c:v>40.28</c:v>
                </c:pt>
                <c:pt idx="191">
                  <c:v>40.409999999999997</c:v>
                </c:pt>
                <c:pt idx="192">
                  <c:v>40.93</c:v>
                </c:pt>
                <c:pt idx="193">
                  <c:v>40.67</c:v>
                </c:pt>
                <c:pt idx="194">
                  <c:v>40.590000000000003</c:v>
                </c:pt>
                <c:pt idx="195">
                  <c:v>40.67</c:v>
                </c:pt>
                <c:pt idx="196">
                  <c:v>41.08</c:v>
                </c:pt>
                <c:pt idx="197">
                  <c:v>41.08</c:v>
                </c:pt>
                <c:pt idx="198">
                  <c:v>40.81</c:v>
                </c:pt>
                <c:pt idx="199">
                  <c:v>40.869999999999997</c:v>
                </c:pt>
                <c:pt idx="200">
                  <c:v>40.94</c:v>
                </c:pt>
                <c:pt idx="201">
                  <c:v>40.840000000000003</c:v>
                </c:pt>
                <c:pt idx="202">
                  <c:v>40.869999999999997</c:v>
                </c:pt>
                <c:pt idx="203">
                  <c:v>40.75</c:v>
                </c:pt>
                <c:pt idx="204">
                  <c:v>40.770000000000003</c:v>
                </c:pt>
                <c:pt idx="205">
                  <c:v>41.11</c:v>
                </c:pt>
                <c:pt idx="206">
                  <c:v>41.74</c:v>
                </c:pt>
                <c:pt idx="207">
                  <c:v>42.19</c:v>
                </c:pt>
                <c:pt idx="208">
                  <c:v>41.99</c:v>
                </c:pt>
                <c:pt idx="209">
                  <c:v>41.4</c:v>
                </c:pt>
                <c:pt idx="210">
                  <c:v>41.94</c:v>
                </c:pt>
                <c:pt idx="211">
                  <c:v>41.71</c:v>
                </c:pt>
                <c:pt idx="212">
                  <c:v>42.43</c:v>
                </c:pt>
                <c:pt idx="213">
                  <c:v>42.16</c:v>
                </c:pt>
                <c:pt idx="214">
                  <c:v>42.04</c:v>
                </c:pt>
                <c:pt idx="215">
                  <c:v>42.49</c:v>
                </c:pt>
                <c:pt idx="216">
                  <c:v>42.47</c:v>
                </c:pt>
                <c:pt idx="217">
                  <c:v>42.47</c:v>
                </c:pt>
                <c:pt idx="218">
                  <c:v>41.64</c:v>
                </c:pt>
                <c:pt idx="219">
                  <c:v>40.29</c:v>
                </c:pt>
                <c:pt idx="220">
                  <c:v>39.82</c:v>
                </c:pt>
                <c:pt idx="221">
                  <c:v>39.83</c:v>
                </c:pt>
                <c:pt idx="222">
                  <c:v>39.369999999999997</c:v>
                </c:pt>
                <c:pt idx="223">
                  <c:v>38.96</c:v>
                </c:pt>
                <c:pt idx="224">
                  <c:v>39.35</c:v>
                </c:pt>
                <c:pt idx="225">
                  <c:v>41.29</c:v>
                </c:pt>
                <c:pt idx="226">
                  <c:v>42.07</c:v>
                </c:pt>
                <c:pt idx="227">
                  <c:v>41.67</c:v>
                </c:pt>
                <c:pt idx="228">
                  <c:v>41.49</c:v>
                </c:pt>
                <c:pt idx="229">
                  <c:v>40.18</c:v>
                </c:pt>
                <c:pt idx="230">
                  <c:v>37.76</c:v>
                </c:pt>
                <c:pt idx="231">
                  <c:v>38.72</c:v>
                </c:pt>
                <c:pt idx="232">
                  <c:v>38.18</c:v>
                </c:pt>
                <c:pt idx="233">
                  <c:v>38.19</c:v>
                </c:pt>
                <c:pt idx="234">
                  <c:v>38.14</c:v>
                </c:pt>
                <c:pt idx="235">
                  <c:v>38.72</c:v>
                </c:pt>
                <c:pt idx="236">
                  <c:v>39.700000000000003</c:v>
                </c:pt>
                <c:pt idx="237">
                  <c:v>38.090000000000003</c:v>
                </c:pt>
                <c:pt idx="238">
                  <c:v>39.07</c:v>
                </c:pt>
                <c:pt idx="239">
                  <c:v>39.450000000000003</c:v>
                </c:pt>
                <c:pt idx="240">
                  <c:v>39.54</c:v>
                </c:pt>
                <c:pt idx="241">
                  <c:v>39.58</c:v>
                </c:pt>
                <c:pt idx="242">
                  <c:v>39.67</c:v>
                </c:pt>
                <c:pt idx="243">
                  <c:v>39.659999999999997</c:v>
                </c:pt>
                <c:pt idx="244">
                  <c:v>39.71</c:v>
                </c:pt>
                <c:pt idx="245">
                  <c:v>39.58</c:v>
                </c:pt>
                <c:pt idx="246">
                  <c:v>39.630000000000003</c:v>
                </c:pt>
                <c:pt idx="247">
                  <c:v>38.83</c:v>
                </c:pt>
                <c:pt idx="248">
                  <c:v>37.229999999999997</c:v>
                </c:pt>
                <c:pt idx="249">
                  <c:v>39.200000000000003</c:v>
                </c:pt>
                <c:pt idx="250">
                  <c:v>40.450000000000003</c:v>
                </c:pt>
                <c:pt idx="251">
                  <c:v>39.86</c:v>
                </c:pt>
                <c:pt idx="252">
                  <c:v>40.82</c:v>
                </c:pt>
                <c:pt idx="253">
                  <c:v>39.22</c:v>
                </c:pt>
                <c:pt idx="254">
                  <c:v>39.53</c:v>
                </c:pt>
                <c:pt idx="255">
                  <c:v>38.42</c:v>
                </c:pt>
                <c:pt idx="256">
                  <c:v>37.119999999999997</c:v>
                </c:pt>
                <c:pt idx="257">
                  <c:v>36.5</c:v>
                </c:pt>
                <c:pt idx="258">
                  <c:v>35.89</c:v>
                </c:pt>
                <c:pt idx="259">
                  <c:v>38.44</c:v>
                </c:pt>
                <c:pt idx="260">
                  <c:v>39.090000000000003</c:v>
                </c:pt>
                <c:pt idx="261">
                  <c:v>39.79</c:v>
                </c:pt>
                <c:pt idx="262">
                  <c:v>39.22</c:v>
                </c:pt>
                <c:pt idx="263">
                  <c:v>39.97</c:v>
                </c:pt>
                <c:pt idx="264">
                  <c:v>39.799999999999997</c:v>
                </c:pt>
                <c:pt idx="265">
                  <c:v>39.979999999999997</c:v>
                </c:pt>
                <c:pt idx="266">
                  <c:v>39.119999999999997</c:v>
                </c:pt>
                <c:pt idx="267">
                  <c:v>37.65</c:v>
                </c:pt>
                <c:pt idx="268">
                  <c:v>37.46</c:v>
                </c:pt>
                <c:pt idx="269">
                  <c:v>36.9</c:v>
                </c:pt>
                <c:pt idx="270">
                  <c:v>37.700000000000003</c:v>
                </c:pt>
                <c:pt idx="271">
                  <c:v>39.04</c:v>
                </c:pt>
                <c:pt idx="272">
                  <c:v>38.729999999999997</c:v>
                </c:pt>
                <c:pt idx="273">
                  <c:v>37.42</c:v>
                </c:pt>
                <c:pt idx="274">
                  <c:v>39.78</c:v>
                </c:pt>
                <c:pt idx="275">
                  <c:v>40.520000000000003</c:v>
                </c:pt>
                <c:pt idx="276">
                  <c:v>40.58</c:v>
                </c:pt>
                <c:pt idx="277">
                  <c:v>40.380000000000003</c:v>
                </c:pt>
                <c:pt idx="278">
                  <c:v>39.83</c:v>
                </c:pt>
                <c:pt idx="279">
                  <c:v>40.42</c:v>
                </c:pt>
                <c:pt idx="280">
                  <c:v>40.46</c:v>
                </c:pt>
                <c:pt idx="281">
                  <c:v>40.61</c:v>
                </c:pt>
                <c:pt idx="282">
                  <c:v>40.57</c:v>
                </c:pt>
                <c:pt idx="283">
                  <c:v>40.72</c:v>
                </c:pt>
                <c:pt idx="284">
                  <c:v>40.880000000000003</c:v>
                </c:pt>
                <c:pt idx="285">
                  <c:v>41.25</c:v>
                </c:pt>
                <c:pt idx="286">
                  <c:v>41.37</c:v>
                </c:pt>
                <c:pt idx="287">
                  <c:v>41.36</c:v>
                </c:pt>
                <c:pt idx="288">
                  <c:v>41.35</c:v>
                </c:pt>
                <c:pt idx="289">
                  <c:v>44.61</c:v>
                </c:pt>
                <c:pt idx="290">
                  <c:v>45.3</c:v>
                </c:pt>
                <c:pt idx="291">
                  <c:v>45.62</c:v>
                </c:pt>
                <c:pt idx="292">
                  <c:v>46.16</c:v>
                </c:pt>
                <c:pt idx="293">
                  <c:v>45.76</c:v>
                </c:pt>
                <c:pt idx="294">
                  <c:v>45.64</c:v>
                </c:pt>
                <c:pt idx="295">
                  <c:v>45.58</c:v>
                </c:pt>
                <c:pt idx="296">
                  <c:v>46.44</c:v>
                </c:pt>
                <c:pt idx="297">
                  <c:v>46.3</c:v>
                </c:pt>
                <c:pt idx="298">
                  <c:v>46.54</c:v>
                </c:pt>
                <c:pt idx="299">
                  <c:v>46.89</c:v>
                </c:pt>
                <c:pt idx="300">
                  <c:v>46.99</c:v>
                </c:pt>
                <c:pt idx="301">
                  <c:v>47.24</c:v>
                </c:pt>
                <c:pt idx="302">
                  <c:v>47.53</c:v>
                </c:pt>
                <c:pt idx="303">
                  <c:v>47.06</c:v>
                </c:pt>
                <c:pt idx="304">
                  <c:v>46.76</c:v>
                </c:pt>
                <c:pt idx="305">
                  <c:v>47.06</c:v>
                </c:pt>
                <c:pt idx="306">
                  <c:v>47.09</c:v>
                </c:pt>
                <c:pt idx="307">
                  <c:v>46.97</c:v>
                </c:pt>
                <c:pt idx="308">
                  <c:v>47.03</c:v>
                </c:pt>
                <c:pt idx="309">
                  <c:v>47.06</c:v>
                </c:pt>
                <c:pt idx="310">
                  <c:v>47.07</c:v>
                </c:pt>
                <c:pt idx="311">
                  <c:v>47.67</c:v>
                </c:pt>
                <c:pt idx="312">
                  <c:v>49.84</c:v>
                </c:pt>
                <c:pt idx="313">
                  <c:v>50.46</c:v>
                </c:pt>
                <c:pt idx="314">
                  <c:v>50.62</c:v>
                </c:pt>
                <c:pt idx="315">
                  <c:v>51.72</c:v>
                </c:pt>
                <c:pt idx="316">
                  <c:v>51.73</c:v>
                </c:pt>
                <c:pt idx="317">
                  <c:v>52.39</c:v>
                </c:pt>
                <c:pt idx="318">
                  <c:v>52.21</c:v>
                </c:pt>
                <c:pt idx="319">
                  <c:v>52.59</c:v>
                </c:pt>
                <c:pt idx="320">
                  <c:v>51.96</c:v>
                </c:pt>
                <c:pt idx="321">
                  <c:v>45.13</c:v>
                </c:pt>
                <c:pt idx="322">
                  <c:v>52.37</c:v>
                </c:pt>
                <c:pt idx="323">
                  <c:v>52.3</c:v>
                </c:pt>
                <c:pt idx="324">
                  <c:v>52.03</c:v>
                </c:pt>
                <c:pt idx="325">
                  <c:v>52.16</c:v>
                </c:pt>
                <c:pt idx="326">
                  <c:v>52.13</c:v>
                </c:pt>
                <c:pt idx="327">
                  <c:v>52.16</c:v>
                </c:pt>
                <c:pt idx="328">
                  <c:v>52.11</c:v>
                </c:pt>
                <c:pt idx="329">
                  <c:v>52.1</c:v>
                </c:pt>
                <c:pt idx="330">
                  <c:v>53.52</c:v>
                </c:pt>
                <c:pt idx="331">
                  <c:v>54.67</c:v>
                </c:pt>
                <c:pt idx="332">
                  <c:v>55.5</c:v>
                </c:pt>
                <c:pt idx="333">
                  <c:v>55.95</c:v>
                </c:pt>
                <c:pt idx="334">
                  <c:v>56.44</c:v>
                </c:pt>
                <c:pt idx="335">
                  <c:v>57.27</c:v>
                </c:pt>
                <c:pt idx="336">
                  <c:v>57.54</c:v>
                </c:pt>
                <c:pt idx="337">
                  <c:v>57.74</c:v>
                </c:pt>
                <c:pt idx="338">
                  <c:v>57.49</c:v>
                </c:pt>
                <c:pt idx="339">
                  <c:v>58.14</c:v>
                </c:pt>
                <c:pt idx="340">
                  <c:v>58.44</c:v>
                </c:pt>
                <c:pt idx="341">
                  <c:v>50.94</c:v>
                </c:pt>
                <c:pt idx="342">
                  <c:v>58.67</c:v>
                </c:pt>
                <c:pt idx="343">
                  <c:v>58.26</c:v>
                </c:pt>
                <c:pt idx="344">
                  <c:v>58.9</c:v>
                </c:pt>
                <c:pt idx="345">
                  <c:v>58.89</c:v>
                </c:pt>
                <c:pt idx="346">
                  <c:v>59.14</c:v>
                </c:pt>
                <c:pt idx="347">
                  <c:v>59.17</c:v>
                </c:pt>
                <c:pt idx="348">
                  <c:v>59.06</c:v>
                </c:pt>
                <c:pt idx="349">
                  <c:v>60.57</c:v>
                </c:pt>
                <c:pt idx="350">
                  <c:v>59.73</c:v>
                </c:pt>
                <c:pt idx="351">
                  <c:v>61.13</c:v>
                </c:pt>
                <c:pt idx="352">
                  <c:v>63.34</c:v>
                </c:pt>
                <c:pt idx="353">
                  <c:v>65.22</c:v>
                </c:pt>
                <c:pt idx="354">
                  <c:v>64.42</c:v>
                </c:pt>
                <c:pt idx="355">
                  <c:v>62.47</c:v>
                </c:pt>
                <c:pt idx="356">
                  <c:v>63.22</c:v>
                </c:pt>
                <c:pt idx="357">
                  <c:v>62.27</c:v>
                </c:pt>
                <c:pt idx="358">
                  <c:v>61.61</c:v>
                </c:pt>
                <c:pt idx="359">
                  <c:v>61.63</c:v>
                </c:pt>
                <c:pt idx="360">
                  <c:v>62.56</c:v>
                </c:pt>
                <c:pt idx="361">
                  <c:v>62.86</c:v>
                </c:pt>
                <c:pt idx="362">
                  <c:v>62.26</c:v>
                </c:pt>
                <c:pt idx="363">
                  <c:v>62.8</c:v>
                </c:pt>
                <c:pt idx="364">
                  <c:v>50.51</c:v>
                </c:pt>
                <c:pt idx="365">
                  <c:v>60.79</c:v>
                </c:pt>
                <c:pt idx="366">
                  <c:v>61.31</c:v>
                </c:pt>
                <c:pt idx="367">
                  <c:v>60.67</c:v>
                </c:pt>
                <c:pt idx="368">
                  <c:v>61.2</c:v>
                </c:pt>
                <c:pt idx="369">
                  <c:v>61.12</c:v>
                </c:pt>
                <c:pt idx="370">
                  <c:v>61.44</c:v>
                </c:pt>
                <c:pt idx="371">
                  <c:v>61.85</c:v>
                </c:pt>
                <c:pt idx="372">
                  <c:v>61.46</c:v>
                </c:pt>
                <c:pt idx="373">
                  <c:v>58.79</c:v>
                </c:pt>
                <c:pt idx="374">
                  <c:v>59.41</c:v>
                </c:pt>
                <c:pt idx="375">
                  <c:v>59.79</c:v>
                </c:pt>
                <c:pt idx="376">
                  <c:v>59.65</c:v>
                </c:pt>
                <c:pt idx="377">
                  <c:v>59.44</c:v>
                </c:pt>
                <c:pt idx="378">
                  <c:v>59.72</c:v>
                </c:pt>
                <c:pt idx="379">
                  <c:v>60.04</c:v>
                </c:pt>
                <c:pt idx="380">
                  <c:v>61.88</c:v>
                </c:pt>
                <c:pt idx="381">
                  <c:v>62.05</c:v>
                </c:pt>
                <c:pt idx="382">
                  <c:v>61.88</c:v>
                </c:pt>
                <c:pt idx="383">
                  <c:v>62</c:v>
                </c:pt>
                <c:pt idx="384">
                  <c:v>61.66</c:v>
                </c:pt>
                <c:pt idx="385">
                  <c:v>54.78</c:v>
                </c:pt>
                <c:pt idx="386">
                  <c:v>61.19</c:v>
                </c:pt>
                <c:pt idx="387">
                  <c:v>61.39</c:v>
                </c:pt>
                <c:pt idx="388">
                  <c:v>61.33</c:v>
                </c:pt>
                <c:pt idx="389">
                  <c:v>61.53</c:v>
                </c:pt>
                <c:pt idx="390">
                  <c:v>61.66</c:v>
                </c:pt>
                <c:pt idx="391">
                  <c:v>61.77</c:v>
                </c:pt>
                <c:pt idx="392">
                  <c:v>61.7</c:v>
                </c:pt>
                <c:pt idx="393">
                  <c:v>64.47</c:v>
                </c:pt>
                <c:pt idx="394">
                  <c:v>65.61</c:v>
                </c:pt>
                <c:pt idx="395">
                  <c:v>65.56</c:v>
                </c:pt>
                <c:pt idx="396">
                  <c:v>64.78</c:v>
                </c:pt>
                <c:pt idx="397">
                  <c:v>64.94</c:v>
                </c:pt>
                <c:pt idx="398">
                  <c:v>64.959999999999994</c:v>
                </c:pt>
                <c:pt idx="399">
                  <c:v>64.180000000000007</c:v>
                </c:pt>
                <c:pt idx="400">
                  <c:v>65.739999999999995</c:v>
                </c:pt>
                <c:pt idx="401">
                  <c:v>64.38</c:v>
                </c:pt>
                <c:pt idx="402">
                  <c:v>65.23</c:v>
                </c:pt>
                <c:pt idx="403">
                  <c:v>65.680000000000007</c:v>
                </c:pt>
                <c:pt idx="404">
                  <c:v>65.33</c:v>
                </c:pt>
                <c:pt idx="405">
                  <c:v>64.47</c:v>
                </c:pt>
                <c:pt idx="406">
                  <c:v>58.46</c:v>
                </c:pt>
                <c:pt idx="407">
                  <c:v>64.48</c:v>
                </c:pt>
                <c:pt idx="408">
                  <c:v>65.09</c:v>
                </c:pt>
                <c:pt idx="409">
                  <c:v>65.099999999999994</c:v>
                </c:pt>
                <c:pt idx="410">
                  <c:v>65.12</c:v>
                </c:pt>
                <c:pt idx="411">
                  <c:v>65.180000000000007</c:v>
                </c:pt>
                <c:pt idx="412">
                  <c:v>65.16</c:v>
                </c:pt>
                <c:pt idx="413">
                  <c:v>67.67</c:v>
                </c:pt>
                <c:pt idx="414">
                  <c:v>68.73</c:v>
                </c:pt>
                <c:pt idx="415">
                  <c:v>68.7</c:v>
                </c:pt>
                <c:pt idx="416">
                  <c:v>69.400000000000006</c:v>
                </c:pt>
                <c:pt idx="417">
                  <c:v>69.09</c:v>
                </c:pt>
                <c:pt idx="418">
                  <c:v>69.73</c:v>
                </c:pt>
                <c:pt idx="419">
                  <c:v>69.66</c:v>
                </c:pt>
                <c:pt idx="420">
                  <c:v>69.88</c:v>
                </c:pt>
                <c:pt idx="421">
                  <c:v>70.25</c:v>
                </c:pt>
                <c:pt idx="422">
                  <c:v>70.239999999999995</c:v>
                </c:pt>
                <c:pt idx="423">
                  <c:v>70.92</c:v>
                </c:pt>
                <c:pt idx="424">
                  <c:v>70.95</c:v>
                </c:pt>
                <c:pt idx="425">
                  <c:v>70.430000000000007</c:v>
                </c:pt>
                <c:pt idx="426">
                  <c:v>70.650000000000006</c:v>
                </c:pt>
                <c:pt idx="427">
                  <c:v>71.33</c:v>
                </c:pt>
                <c:pt idx="428">
                  <c:v>58.46</c:v>
                </c:pt>
                <c:pt idx="429">
                  <c:v>71.290000000000006</c:v>
                </c:pt>
                <c:pt idx="430">
                  <c:v>71.34</c:v>
                </c:pt>
                <c:pt idx="431">
                  <c:v>71.48</c:v>
                </c:pt>
                <c:pt idx="432">
                  <c:v>71.319999999999993</c:v>
                </c:pt>
                <c:pt idx="433">
                  <c:v>71.33</c:v>
                </c:pt>
                <c:pt idx="434">
                  <c:v>71.349999999999994</c:v>
                </c:pt>
                <c:pt idx="435">
                  <c:v>74.33</c:v>
                </c:pt>
                <c:pt idx="436">
                  <c:v>74.86</c:v>
                </c:pt>
                <c:pt idx="437">
                  <c:v>73.239999999999995</c:v>
                </c:pt>
                <c:pt idx="438">
                  <c:v>72.27</c:v>
                </c:pt>
                <c:pt idx="439">
                  <c:v>72.84</c:v>
                </c:pt>
                <c:pt idx="440">
                  <c:v>70.540000000000006</c:v>
                </c:pt>
                <c:pt idx="441">
                  <c:v>70.5</c:v>
                </c:pt>
                <c:pt idx="442">
                  <c:v>69.930000000000007</c:v>
                </c:pt>
                <c:pt idx="443">
                  <c:v>72.09</c:v>
                </c:pt>
                <c:pt idx="444">
                  <c:v>72.55</c:v>
                </c:pt>
                <c:pt idx="445">
                  <c:v>72.64</c:v>
                </c:pt>
                <c:pt idx="446">
                  <c:v>68.62</c:v>
                </c:pt>
                <c:pt idx="447">
                  <c:v>69.349999999999994</c:v>
                </c:pt>
                <c:pt idx="448">
                  <c:v>71.7</c:v>
                </c:pt>
                <c:pt idx="449">
                  <c:v>72.23</c:v>
                </c:pt>
                <c:pt idx="450">
                  <c:v>54.47</c:v>
                </c:pt>
                <c:pt idx="451">
                  <c:v>72.239999999999995</c:v>
                </c:pt>
                <c:pt idx="452">
                  <c:v>71.83</c:v>
                </c:pt>
                <c:pt idx="453">
                  <c:v>70.34</c:v>
                </c:pt>
                <c:pt idx="454">
                  <c:v>71.3</c:v>
                </c:pt>
                <c:pt idx="455">
                  <c:v>70.66</c:v>
                </c:pt>
                <c:pt idx="456">
                  <c:v>70.13</c:v>
                </c:pt>
                <c:pt idx="457">
                  <c:v>70.42</c:v>
                </c:pt>
                <c:pt idx="458">
                  <c:v>68.290000000000006</c:v>
                </c:pt>
                <c:pt idx="459">
                  <c:v>69.099999999999994</c:v>
                </c:pt>
                <c:pt idx="460">
                  <c:v>68.489999999999995</c:v>
                </c:pt>
                <c:pt idx="461">
                  <c:v>67.099999999999994</c:v>
                </c:pt>
                <c:pt idx="462">
                  <c:v>68.400000000000006</c:v>
                </c:pt>
                <c:pt idx="463">
                  <c:v>66.08</c:v>
                </c:pt>
                <c:pt idx="464">
                  <c:v>66.13</c:v>
                </c:pt>
                <c:pt idx="465">
                  <c:v>67.33</c:v>
                </c:pt>
                <c:pt idx="466">
                  <c:v>67.94</c:v>
                </c:pt>
                <c:pt idx="467">
                  <c:v>67.59</c:v>
                </c:pt>
                <c:pt idx="468">
                  <c:v>67.069999999999993</c:v>
                </c:pt>
                <c:pt idx="469">
                  <c:v>66.37</c:v>
                </c:pt>
                <c:pt idx="470">
                  <c:v>65.180000000000007</c:v>
                </c:pt>
                <c:pt idx="471">
                  <c:v>66.989999999999995</c:v>
                </c:pt>
                <c:pt idx="472">
                  <c:v>58.02</c:v>
                </c:pt>
                <c:pt idx="473">
                  <c:v>67.69</c:v>
                </c:pt>
                <c:pt idx="474">
                  <c:v>67.52</c:v>
                </c:pt>
                <c:pt idx="475">
                  <c:v>67.7</c:v>
                </c:pt>
                <c:pt idx="476">
                  <c:v>67.739999999999995</c:v>
                </c:pt>
                <c:pt idx="477">
                  <c:v>67.709999999999994</c:v>
                </c:pt>
                <c:pt idx="478">
                  <c:v>68.5</c:v>
                </c:pt>
                <c:pt idx="479">
                  <c:v>69.84</c:v>
                </c:pt>
                <c:pt idx="480">
                  <c:v>69.22</c:v>
                </c:pt>
                <c:pt idx="481">
                  <c:v>68.41</c:v>
                </c:pt>
                <c:pt idx="482">
                  <c:v>69.17</c:v>
                </c:pt>
                <c:pt idx="483">
                  <c:v>68.3</c:v>
                </c:pt>
                <c:pt idx="484">
                  <c:v>69.41</c:v>
                </c:pt>
                <c:pt idx="485">
                  <c:v>69.900000000000006</c:v>
                </c:pt>
                <c:pt idx="486">
                  <c:v>69.91</c:v>
                </c:pt>
                <c:pt idx="487">
                  <c:v>71.13</c:v>
                </c:pt>
                <c:pt idx="488">
                  <c:v>71.14</c:v>
                </c:pt>
                <c:pt idx="489">
                  <c:v>70.86</c:v>
                </c:pt>
                <c:pt idx="490">
                  <c:v>70.14</c:v>
                </c:pt>
                <c:pt idx="491">
                  <c:v>70.27</c:v>
                </c:pt>
                <c:pt idx="492">
                  <c:v>70.849999999999994</c:v>
                </c:pt>
                <c:pt idx="493">
                  <c:v>71.16</c:v>
                </c:pt>
                <c:pt idx="494">
                  <c:v>69.3</c:v>
                </c:pt>
                <c:pt idx="495">
                  <c:v>71.599999999999994</c:v>
                </c:pt>
                <c:pt idx="496">
                  <c:v>71.58</c:v>
                </c:pt>
                <c:pt idx="497">
                  <c:v>71.540000000000006</c:v>
                </c:pt>
                <c:pt idx="498">
                  <c:v>71.13</c:v>
                </c:pt>
                <c:pt idx="499">
                  <c:v>75.78</c:v>
                </c:pt>
                <c:pt idx="500">
                  <c:v>77.44</c:v>
                </c:pt>
                <c:pt idx="501">
                  <c:v>78.599999999999994</c:v>
                </c:pt>
                <c:pt idx="502">
                  <c:v>77.31</c:v>
                </c:pt>
                <c:pt idx="503">
                  <c:v>78.03</c:v>
                </c:pt>
                <c:pt idx="504">
                  <c:v>78.739999999999995</c:v>
                </c:pt>
                <c:pt idx="505">
                  <c:v>79.58</c:v>
                </c:pt>
                <c:pt idx="506">
                  <c:v>79.62</c:v>
                </c:pt>
                <c:pt idx="507">
                  <c:v>79.53</c:v>
                </c:pt>
                <c:pt idx="508">
                  <c:v>80.05</c:v>
                </c:pt>
                <c:pt idx="509">
                  <c:v>80.55</c:v>
                </c:pt>
                <c:pt idx="510">
                  <c:v>80.56</c:v>
                </c:pt>
                <c:pt idx="511">
                  <c:v>80.86</c:v>
                </c:pt>
                <c:pt idx="512">
                  <c:v>81.23</c:v>
                </c:pt>
                <c:pt idx="513">
                  <c:v>80.930000000000007</c:v>
                </c:pt>
                <c:pt idx="514">
                  <c:v>81.290000000000006</c:v>
                </c:pt>
                <c:pt idx="515">
                  <c:v>65.25</c:v>
                </c:pt>
                <c:pt idx="516">
                  <c:v>81.459999999999994</c:v>
                </c:pt>
                <c:pt idx="517">
                  <c:v>81.17</c:v>
                </c:pt>
                <c:pt idx="518">
                  <c:v>81.19</c:v>
                </c:pt>
                <c:pt idx="519">
                  <c:v>80.16</c:v>
                </c:pt>
                <c:pt idx="520">
                  <c:v>82.39</c:v>
                </c:pt>
                <c:pt idx="521">
                  <c:v>82.7</c:v>
                </c:pt>
                <c:pt idx="522">
                  <c:v>80.790000000000006</c:v>
                </c:pt>
                <c:pt idx="523">
                  <c:v>79.08</c:v>
                </c:pt>
                <c:pt idx="524">
                  <c:v>81.069999999999993</c:v>
                </c:pt>
                <c:pt idx="525">
                  <c:v>80.900000000000006</c:v>
                </c:pt>
                <c:pt idx="526">
                  <c:v>82.01</c:v>
                </c:pt>
                <c:pt idx="527">
                  <c:v>81.099999999999994</c:v>
                </c:pt>
                <c:pt idx="528">
                  <c:v>79.37</c:v>
                </c:pt>
                <c:pt idx="529">
                  <c:v>80.319999999999993</c:v>
                </c:pt>
                <c:pt idx="530">
                  <c:v>78.900000000000006</c:v>
                </c:pt>
                <c:pt idx="531">
                  <c:v>79.400000000000006</c:v>
                </c:pt>
                <c:pt idx="532">
                  <c:v>80.03</c:v>
                </c:pt>
                <c:pt idx="533">
                  <c:v>80.34</c:v>
                </c:pt>
                <c:pt idx="534">
                  <c:v>76.09</c:v>
                </c:pt>
                <c:pt idx="535">
                  <c:v>74.2</c:v>
                </c:pt>
                <c:pt idx="536">
                  <c:v>71.010000000000005</c:v>
                </c:pt>
                <c:pt idx="537">
                  <c:v>53.1</c:v>
                </c:pt>
                <c:pt idx="538">
                  <c:v>70.069999999999993</c:v>
                </c:pt>
                <c:pt idx="539">
                  <c:v>71.650000000000006</c:v>
                </c:pt>
                <c:pt idx="540">
                  <c:v>70.569999999999993</c:v>
                </c:pt>
                <c:pt idx="541">
                  <c:v>65.5</c:v>
                </c:pt>
                <c:pt idx="542">
                  <c:v>66.37</c:v>
                </c:pt>
                <c:pt idx="543">
                  <c:v>66.180000000000007</c:v>
                </c:pt>
                <c:pt idx="544">
                  <c:v>68.959999999999994</c:v>
                </c:pt>
                <c:pt idx="545">
                  <c:v>71.05</c:v>
                </c:pt>
                <c:pt idx="546">
                  <c:v>71.3</c:v>
                </c:pt>
                <c:pt idx="547">
                  <c:v>70.28</c:v>
                </c:pt>
                <c:pt idx="548">
                  <c:v>70.760000000000005</c:v>
                </c:pt>
                <c:pt idx="549">
                  <c:v>70.5</c:v>
                </c:pt>
                <c:pt idx="550">
                  <c:v>70.180000000000007</c:v>
                </c:pt>
                <c:pt idx="551">
                  <c:v>70.260000000000005</c:v>
                </c:pt>
                <c:pt idx="552">
                  <c:v>71</c:v>
                </c:pt>
                <c:pt idx="553">
                  <c:v>70.349999999999994</c:v>
                </c:pt>
                <c:pt idx="554">
                  <c:v>69.459999999999994</c:v>
                </c:pt>
                <c:pt idx="555">
                  <c:v>70.37</c:v>
                </c:pt>
                <c:pt idx="556">
                  <c:v>70.89</c:v>
                </c:pt>
                <c:pt idx="557">
                  <c:v>71.17</c:v>
                </c:pt>
                <c:pt idx="558">
                  <c:v>71.58</c:v>
                </c:pt>
                <c:pt idx="559">
                  <c:v>71.650000000000006</c:v>
                </c:pt>
                <c:pt idx="560">
                  <c:v>65.25</c:v>
                </c:pt>
                <c:pt idx="561">
                  <c:v>71.77</c:v>
                </c:pt>
                <c:pt idx="562">
                  <c:v>71.69</c:v>
                </c:pt>
                <c:pt idx="563">
                  <c:v>76</c:v>
                </c:pt>
                <c:pt idx="564">
                  <c:v>76.86</c:v>
                </c:pt>
                <c:pt idx="565">
                  <c:v>77.59</c:v>
                </c:pt>
                <c:pt idx="566">
                  <c:v>78.88</c:v>
                </c:pt>
                <c:pt idx="567">
                  <c:v>78.48</c:v>
                </c:pt>
                <c:pt idx="568">
                  <c:v>77.95</c:v>
                </c:pt>
                <c:pt idx="569">
                  <c:v>80.040000000000006</c:v>
                </c:pt>
                <c:pt idx="570">
                  <c:v>80.94</c:v>
                </c:pt>
                <c:pt idx="571">
                  <c:v>80.67</c:v>
                </c:pt>
                <c:pt idx="572">
                  <c:v>81.59</c:v>
                </c:pt>
                <c:pt idx="573">
                  <c:v>82.37</c:v>
                </c:pt>
                <c:pt idx="574">
                  <c:v>82.86</c:v>
                </c:pt>
                <c:pt idx="575">
                  <c:v>82.77</c:v>
                </c:pt>
                <c:pt idx="576">
                  <c:v>82.63</c:v>
                </c:pt>
                <c:pt idx="577">
                  <c:v>82.08</c:v>
                </c:pt>
                <c:pt idx="578">
                  <c:v>82.65</c:v>
                </c:pt>
                <c:pt idx="579">
                  <c:v>83</c:v>
                </c:pt>
                <c:pt idx="580">
                  <c:v>82.89</c:v>
                </c:pt>
                <c:pt idx="581">
                  <c:v>82.91</c:v>
                </c:pt>
                <c:pt idx="582">
                  <c:v>82.98</c:v>
                </c:pt>
                <c:pt idx="583">
                  <c:v>79.099999999999994</c:v>
                </c:pt>
                <c:pt idx="584">
                  <c:v>87.93</c:v>
                </c:pt>
                <c:pt idx="585">
                  <c:v>89.67</c:v>
                </c:pt>
                <c:pt idx="586">
                  <c:v>91.36</c:v>
                </c:pt>
                <c:pt idx="587">
                  <c:v>90.67</c:v>
                </c:pt>
                <c:pt idx="588">
                  <c:v>89.24</c:v>
                </c:pt>
                <c:pt idx="589">
                  <c:v>89.51</c:v>
                </c:pt>
                <c:pt idx="590">
                  <c:v>89.61</c:v>
                </c:pt>
                <c:pt idx="591">
                  <c:v>91.4</c:v>
                </c:pt>
                <c:pt idx="592">
                  <c:v>92.59</c:v>
                </c:pt>
                <c:pt idx="593">
                  <c:v>91</c:v>
                </c:pt>
                <c:pt idx="594">
                  <c:v>91.68</c:v>
                </c:pt>
                <c:pt idx="595">
                  <c:v>91</c:v>
                </c:pt>
                <c:pt idx="596">
                  <c:v>90.96</c:v>
                </c:pt>
                <c:pt idx="597">
                  <c:v>91.39</c:v>
                </c:pt>
                <c:pt idx="598">
                  <c:v>91.43</c:v>
                </c:pt>
                <c:pt idx="599">
                  <c:v>91.54</c:v>
                </c:pt>
                <c:pt idx="600">
                  <c:v>91.41</c:v>
                </c:pt>
                <c:pt idx="601">
                  <c:v>91.63</c:v>
                </c:pt>
                <c:pt idx="602">
                  <c:v>94.57</c:v>
                </c:pt>
                <c:pt idx="603">
                  <c:v>109.21</c:v>
                </c:pt>
                <c:pt idx="604">
                  <c:v>106.68</c:v>
                </c:pt>
                <c:pt idx="605">
                  <c:v>113.49</c:v>
                </c:pt>
                <c:pt idx="606">
                  <c:v>116.55</c:v>
                </c:pt>
                <c:pt idx="607">
                  <c:v>119.78</c:v>
                </c:pt>
                <c:pt idx="608">
                  <c:v>108.82</c:v>
                </c:pt>
                <c:pt idx="609">
                  <c:v>107.14</c:v>
                </c:pt>
                <c:pt idx="610">
                  <c:v>109.3</c:v>
                </c:pt>
                <c:pt idx="611">
                  <c:v>102.67</c:v>
                </c:pt>
                <c:pt idx="612">
                  <c:v>99.91</c:v>
                </c:pt>
                <c:pt idx="613">
                  <c:v>98.02</c:v>
                </c:pt>
                <c:pt idx="614">
                  <c:v>105.32</c:v>
                </c:pt>
                <c:pt idx="615">
                  <c:v>105.99</c:v>
                </c:pt>
                <c:pt idx="616">
                  <c:v>108.73</c:v>
                </c:pt>
                <c:pt idx="617">
                  <c:v>108.5</c:v>
                </c:pt>
                <c:pt idx="618">
                  <c:v>110.22</c:v>
                </c:pt>
                <c:pt idx="619">
                  <c:v>109.54</c:v>
                </c:pt>
                <c:pt idx="620">
                  <c:v>109.88</c:v>
                </c:pt>
                <c:pt idx="621">
                  <c:v>108.5</c:v>
                </c:pt>
                <c:pt idx="622">
                  <c:v>108.28</c:v>
                </c:pt>
                <c:pt idx="623">
                  <c:v>107.74</c:v>
                </c:pt>
                <c:pt idx="624">
                  <c:v>104.93</c:v>
                </c:pt>
                <c:pt idx="625">
                  <c:v>89.06</c:v>
                </c:pt>
                <c:pt idx="626">
                  <c:v>102.58</c:v>
                </c:pt>
                <c:pt idx="627">
                  <c:v>101.44</c:v>
                </c:pt>
                <c:pt idx="628">
                  <c:v>96.73</c:v>
                </c:pt>
                <c:pt idx="629">
                  <c:v>96.68</c:v>
                </c:pt>
                <c:pt idx="630">
                  <c:v>98.35</c:v>
                </c:pt>
                <c:pt idx="631">
                  <c:v>95.63</c:v>
                </c:pt>
                <c:pt idx="632">
                  <c:v>99.7</c:v>
                </c:pt>
                <c:pt idx="633">
                  <c:v>101.89</c:v>
                </c:pt>
                <c:pt idx="634">
                  <c:v>103.33</c:v>
                </c:pt>
                <c:pt idx="635">
                  <c:v>103.95</c:v>
                </c:pt>
                <c:pt idx="636">
                  <c:v>101.44</c:v>
                </c:pt>
                <c:pt idx="637">
                  <c:v>101.5</c:v>
                </c:pt>
                <c:pt idx="638">
                  <c:v>102.06</c:v>
                </c:pt>
                <c:pt idx="639">
                  <c:v>101.54</c:v>
                </c:pt>
                <c:pt idx="640">
                  <c:v>100.66</c:v>
                </c:pt>
                <c:pt idx="641">
                  <c:v>101.29</c:v>
                </c:pt>
                <c:pt idx="642">
                  <c:v>101.34</c:v>
                </c:pt>
                <c:pt idx="643">
                  <c:v>101.67</c:v>
                </c:pt>
                <c:pt idx="644">
                  <c:v>101.64</c:v>
                </c:pt>
                <c:pt idx="645">
                  <c:v>104.67</c:v>
                </c:pt>
                <c:pt idx="646">
                  <c:v>102.11</c:v>
                </c:pt>
                <c:pt idx="647">
                  <c:v>106.97</c:v>
                </c:pt>
                <c:pt idx="648">
                  <c:v>107.38</c:v>
                </c:pt>
                <c:pt idx="649">
                  <c:v>108.62</c:v>
                </c:pt>
                <c:pt idx="650">
                  <c:v>103.57</c:v>
                </c:pt>
                <c:pt idx="651">
                  <c:v>101.19</c:v>
                </c:pt>
                <c:pt idx="652">
                  <c:v>105.05</c:v>
                </c:pt>
                <c:pt idx="653">
                  <c:v>105.3</c:v>
                </c:pt>
                <c:pt idx="654">
                  <c:v>107.75</c:v>
                </c:pt>
                <c:pt idx="655">
                  <c:v>109.55</c:v>
                </c:pt>
                <c:pt idx="656">
                  <c:v>108.58</c:v>
                </c:pt>
                <c:pt idx="657">
                  <c:v>107.44</c:v>
                </c:pt>
                <c:pt idx="658">
                  <c:v>108.5</c:v>
                </c:pt>
                <c:pt idx="659">
                  <c:v>108.66</c:v>
                </c:pt>
                <c:pt idx="660">
                  <c:v>108.67</c:v>
                </c:pt>
                <c:pt idx="661">
                  <c:v>108.54</c:v>
                </c:pt>
                <c:pt idx="662">
                  <c:v>108.65</c:v>
                </c:pt>
                <c:pt idx="663">
                  <c:v>109.19</c:v>
                </c:pt>
                <c:pt idx="664">
                  <c:v>100.97</c:v>
                </c:pt>
                <c:pt idx="665">
                  <c:v>100.57</c:v>
                </c:pt>
                <c:pt idx="666">
                  <c:v>101.16</c:v>
                </c:pt>
                <c:pt idx="667">
                  <c:v>102.77</c:v>
                </c:pt>
                <c:pt idx="668">
                  <c:v>104.77</c:v>
                </c:pt>
                <c:pt idx="669">
                  <c:v>104.4</c:v>
                </c:pt>
                <c:pt idx="670">
                  <c:v>105.31</c:v>
                </c:pt>
                <c:pt idx="671">
                  <c:v>108.01</c:v>
                </c:pt>
                <c:pt idx="672">
                  <c:v>107.41</c:v>
                </c:pt>
                <c:pt idx="673">
                  <c:v>106.57</c:v>
                </c:pt>
                <c:pt idx="674">
                  <c:v>106.83</c:v>
                </c:pt>
                <c:pt idx="675">
                  <c:v>104.83</c:v>
                </c:pt>
                <c:pt idx="676">
                  <c:v>101.21</c:v>
                </c:pt>
                <c:pt idx="677">
                  <c:v>97.66</c:v>
                </c:pt>
                <c:pt idx="678">
                  <c:v>96</c:v>
                </c:pt>
                <c:pt idx="679">
                  <c:v>95.42</c:v>
                </c:pt>
                <c:pt idx="680">
                  <c:v>92.09</c:v>
                </c:pt>
                <c:pt idx="681">
                  <c:v>90.17</c:v>
                </c:pt>
                <c:pt idx="682">
                  <c:v>93.52</c:v>
                </c:pt>
                <c:pt idx="683">
                  <c:v>97.66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4F8-4F07-8C58-0F181FC61E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2255400"/>
        <c:axId val="612241544"/>
      </c:lineChart>
      <c:catAx>
        <c:axId val="7222554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2241544"/>
        <c:crosses val="autoZero"/>
        <c:auto val="1"/>
        <c:lblAlgn val="ctr"/>
        <c:lblOffset val="100"/>
        <c:noMultiLvlLbl val="0"/>
      </c:catAx>
      <c:valAx>
        <c:axId val="6122415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&quot;$&quot;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22554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[Foley_FinalProject_Completed.xlsm]Cheapest crude price!CrudeFinalProject</c:name>
    <c:fmtId val="7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'Cheapest crude price'!$B$3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'Cheapest crude price'!$A$4:$A$687</c:f>
              <c:strCache>
                <c:ptCount val="684"/>
                <c:pt idx="0">
                  <c:v>10/31/2019</c:v>
                </c:pt>
                <c:pt idx="1">
                  <c:v>11/1/2019</c:v>
                </c:pt>
                <c:pt idx="2">
                  <c:v>11/4/2019</c:v>
                </c:pt>
                <c:pt idx="3">
                  <c:v>11/5/2019</c:v>
                </c:pt>
                <c:pt idx="4">
                  <c:v>11/6/2019</c:v>
                </c:pt>
                <c:pt idx="5">
                  <c:v>11/7/2019</c:v>
                </c:pt>
                <c:pt idx="6">
                  <c:v>11/8/2019</c:v>
                </c:pt>
                <c:pt idx="7">
                  <c:v>11/11/2019</c:v>
                </c:pt>
                <c:pt idx="8">
                  <c:v>11/12/2019</c:v>
                </c:pt>
                <c:pt idx="9">
                  <c:v>11/13/2019</c:v>
                </c:pt>
                <c:pt idx="10">
                  <c:v>11/14/2019</c:v>
                </c:pt>
                <c:pt idx="11">
                  <c:v>11/15/2019</c:v>
                </c:pt>
                <c:pt idx="12">
                  <c:v>11/18/2019</c:v>
                </c:pt>
                <c:pt idx="13">
                  <c:v>11/19/2019</c:v>
                </c:pt>
                <c:pt idx="14">
                  <c:v>11/20/2019</c:v>
                </c:pt>
                <c:pt idx="15">
                  <c:v>11/21/2019</c:v>
                </c:pt>
                <c:pt idx="16">
                  <c:v>11/22/2019</c:v>
                </c:pt>
                <c:pt idx="17">
                  <c:v>11/25/2019</c:v>
                </c:pt>
                <c:pt idx="18">
                  <c:v>11/26/2019</c:v>
                </c:pt>
                <c:pt idx="19">
                  <c:v>11/27/2019</c:v>
                </c:pt>
                <c:pt idx="20">
                  <c:v>11/28/2019</c:v>
                </c:pt>
                <c:pt idx="21">
                  <c:v>11/29/2019</c:v>
                </c:pt>
                <c:pt idx="22">
                  <c:v>12/2/2019</c:v>
                </c:pt>
                <c:pt idx="23">
                  <c:v>12/3/2019</c:v>
                </c:pt>
                <c:pt idx="24">
                  <c:v>12/4/2019</c:v>
                </c:pt>
                <c:pt idx="25">
                  <c:v>12/5/2019</c:v>
                </c:pt>
                <c:pt idx="26">
                  <c:v>12/6/2019</c:v>
                </c:pt>
                <c:pt idx="27">
                  <c:v>12/9/2019</c:v>
                </c:pt>
                <c:pt idx="28">
                  <c:v>12/10/2019</c:v>
                </c:pt>
                <c:pt idx="29">
                  <c:v>12/11/2019</c:v>
                </c:pt>
                <c:pt idx="30">
                  <c:v>12/12/2019</c:v>
                </c:pt>
                <c:pt idx="31">
                  <c:v>12/13/2019</c:v>
                </c:pt>
                <c:pt idx="32">
                  <c:v>12/16/2019</c:v>
                </c:pt>
                <c:pt idx="33">
                  <c:v>12/17/2019</c:v>
                </c:pt>
                <c:pt idx="34">
                  <c:v>12/18/2019</c:v>
                </c:pt>
                <c:pt idx="35">
                  <c:v>12/19/2019</c:v>
                </c:pt>
                <c:pt idx="36">
                  <c:v>12/20/2019</c:v>
                </c:pt>
                <c:pt idx="37">
                  <c:v>12/23/2019</c:v>
                </c:pt>
                <c:pt idx="38">
                  <c:v>12/24/2019</c:v>
                </c:pt>
                <c:pt idx="39">
                  <c:v>12/26/2019</c:v>
                </c:pt>
                <c:pt idx="40">
                  <c:v>12/27/2019</c:v>
                </c:pt>
                <c:pt idx="41">
                  <c:v>12/30/2019</c:v>
                </c:pt>
                <c:pt idx="42">
                  <c:v>12/31/2019</c:v>
                </c:pt>
                <c:pt idx="43">
                  <c:v>1/2/2020</c:v>
                </c:pt>
                <c:pt idx="44">
                  <c:v>1/3/2020</c:v>
                </c:pt>
                <c:pt idx="45">
                  <c:v>1/6/2020</c:v>
                </c:pt>
                <c:pt idx="46">
                  <c:v>1/7/2020</c:v>
                </c:pt>
                <c:pt idx="47">
                  <c:v>1/8/2020</c:v>
                </c:pt>
                <c:pt idx="48">
                  <c:v>1/9/2020</c:v>
                </c:pt>
                <c:pt idx="49">
                  <c:v>1/10/2020</c:v>
                </c:pt>
                <c:pt idx="50">
                  <c:v>1/13/2020</c:v>
                </c:pt>
                <c:pt idx="51">
                  <c:v>1/14/2020</c:v>
                </c:pt>
                <c:pt idx="52">
                  <c:v>1/15/2020</c:v>
                </c:pt>
                <c:pt idx="53">
                  <c:v>1/16/2020</c:v>
                </c:pt>
                <c:pt idx="54">
                  <c:v>1/17/2020</c:v>
                </c:pt>
                <c:pt idx="55">
                  <c:v>1/20/2020</c:v>
                </c:pt>
                <c:pt idx="56">
                  <c:v>1/21/2020</c:v>
                </c:pt>
                <c:pt idx="57">
                  <c:v>1/22/2020</c:v>
                </c:pt>
                <c:pt idx="58">
                  <c:v>1/23/2020</c:v>
                </c:pt>
                <c:pt idx="59">
                  <c:v>1/24/2020</c:v>
                </c:pt>
                <c:pt idx="60">
                  <c:v>1/27/2020</c:v>
                </c:pt>
                <c:pt idx="61">
                  <c:v>1/28/2020</c:v>
                </c:pt>
                <c:pt idx="62">
                  <c:v>1/29/2020</c:v>
                </c:pt>
                <c:pt idx="63">
                  <c:v>1/30/2020</c:v>
                </c:pt>
                <c:pt idx="64">
                  <c:v>1/31/2020</c:v>
                </c:pt>
                <c:pt idx="65">
                  <c:v>2/3/2020</c:v>
                </c:pt>
                <c:pt idx="66">
                  <c:v>2/4/2020</c:v>
                </c:pt>
                <c:pt idx="67">
                  <c:v>2/5/2020</c:v>
                </c:pt>
                <c:pt idx="68">
                  <c:v>2/6/2020</c:v>
                </c:pt>
                <c:pt idx="69">
                  <c:v>2/7/2020</c:v>
                </c:pt>
                <c:pt idx="70">
                  <c:v>2/10/2020</c:v>
                </c:pt>
                <c:pt idx="71">
                  <c:v>2/11/2020</c:v>
                </c:pt>
                <c:pt idx="72">
                  <c:v>2/12/2020</c:v>
                </c:pt>
                <c:pt idx="73">
                  <c:v>2/13/2020</c:v>
                </c:pt>
                <c:pt idx="74">
                  <c:v>2/14/2020</c:v>
                </c:pt>
                <c:pt idx="75">
                  <c:v>2/17/2020</c:v>
                </c:pt>
                <c:pt idx="76">
                  <c:v>2/18/2020</c:v>
                </c:pt>
                <c:pt idx="77">
                  <c:v>2/19/2020</c:v>
                </c:pt>
                <c:pt idx="78">
                  <c:v>2/20/2020</c:v>
                </c:pt>
                <c:pt idx="79">
                  <c:v>2/21/2020</c:v>
                </c:pt>
                <c:pt idx="80">
                  <c:v>2/24/2020</c:v>
                </c:pt>
                <c:pt idx="81">
                  <c:v>2/25/2020</c:v>
                </c:pt>
                <c:pt idx="82">
                  <c:v>2/26/2020</c:v>
                </c:pt>
                <c:pt idx="83">
                  <c:v>2/27/2020</c:v>
                </c:pt>
                <c:pt idx="84">
                  <c:v>2/28/2020</c:v>
                </c:pt>
                <c:pt idx="85">
                  <c:v>3/2/2020</c:v>
                </c:pt>
                <c:pt idx="86">
                  <c:v>3/3/2020</c:v>
                </c:pt>
                <c:pt idx="87">
                  <c:v>3/4/2020</c:v>
                </c:pt>
                <c:pt idx="88">
                  <c:v>3/5/2020</c:v>
                </c:pt>
                <c:pt idx="89">
                  <c:v>3/6/2020</c:v>
                </c:pt>
                <c:pt idx="90">
                  <c:v>3/9/2020</c:v>
                </c:pt>
                <c:pt idx="91">
                  <c:v>3/10/2020</c:v>
                </c:pt>
                <c:pt idx="92">
                  <c:v>3/11/2020</c:v>
                </c:pt>
                <c:pt idx="93">
                  <c:v>3/12/2020</c:v>
                </c:pt>
                <c:pt idx="94">
                  <c:v>3/13/2020</c:v>
                </c:pt>
                <c:pt idx="95">
                  <c:v>3/16/2020</c:v>
                </c:pt>
                <c:pt idx="96">
                  <c:v>3/17/2020</c:v>
                </c:pt>
                <c:pt idx="97">
                  <c:v>3/18/2020</c:v>
                </c:pt>
                <c:pt idx="98">
                  <c:v>3/19/2020</c:v>
                </c:pt>
                <c:pt idx="99">
                  <c:v>3/20/2020</c:v>
                </c:pt>
                <c:pt idx="100">
                  <c:v>3/23/2020</c:v>
                </c:pt>
                <c:pt idx="101">
                  <c:v>3/24/2020</c:v>
                </c:pt>
                <c:pt idx="102">
                  <c:v>3/25/2020</c:v>
                </c:pt>
                <c:pt idx="103">
                  <c:v>3/26/2020</c:v>
                </c:pt>
                <c:pt idx="104">
                  <c:v>3/27/2020</c:v>
                </c:pt>
                <c:pt idx="105">
                  <c:v>3/30/2020</c:v>
                </c:pt>
                <c:pt idx="106">
                  <c:v>3/31/2020</c:v>
                </c:pt>
                <c:pt idx="107">
                  <c:v>4/1/2020</c:v>
                </c:pt>
                <c:pt idx="108">
                  <c:v>4/2/2020</c:v>
                </c:pt>
                <c:pt idx="109">
                  <c:v>4/3/2020</c:v>
                </c:pt>
                <c:pt idx="110">
                  <c:v>4/6/2020</c:v>
                </c:pt>
                <c:pt idx="111">
                  <c:v>4/7/2020</c:v>
                </c:pt>
                <c:pt idx="112">
                  <c:v>4/8/2020</c:v>
                </c:pt>
                <c:pt idx="113">
                  <c:v>4/9/2020</c:v>
                </c:pt>
                <c:pt idx="114">
                  <c:v>4/13/2020</c:v>
                </c:pt>
                <c:pt idx="115">
                  <c:v>4/14/2020</c:v>
                </c:pt>
                <c:pt idx="116">
                  <c:v>4/15/2020</c:v>
                </c:pt>
                <c:pt idx="117">
                  <c:v>4/16/2020</c:v>
                </c:pt>
                <c:pt idx="118">
                  <c:v>4/17/2020</c:v>
                </c:pt>
                <c:pt idx="119">
                  <c:v>4/20/2020</c:v>
                </c:pt>
                <c:pt idx="120">
                  <c:v>4/21/2020</c:v>
                </c:pt>
                <c:pt idx="121">
                  <c:v>4/22/2020</c:v>
                </c:pt>
                <c:pt idx="122">
                  <c:v>4/23/2020</c:v>
                </c:pt>
                <c:pt idx="123">
                  <c:v>4/24/2020</c:v>
                </c:pt>
                <c:pt idx="124">
                  <c:v>4/27/2020</c:v>
                </c:pt>
                <c:pt idx="125">
                  <c:v>4/28/2020</c:v>
                </c:pt>
                <c:pt idx="126">
                  <c:v>4/29/2020</c:v>
                </c:pt>
                <c:pt idx="127">
                  <c:v>4/30/2020</c:v>
                </c:pt>
                <c:pt idx="128">
                  <c:v>5/1/2020</c:v>
                </c:pt>
                <c:pt idx="129">
                  <c:v>5/4/2020</c:v>
                </c:pt>
                <c:pt idx="130">
                  <c:v>5/5/2020</c:v>
                </c:pt>
                <c:pt idx="131">
                  <c:v>5/6/2020</c:v>
                </c:pt>
                <c:pt idx="132">
                  <c:v>5/7/2020</c:v>
                </c:pt>
                <c:pt idx="133">
                  <c:v>5/8/2020</c:v>
                </c:pt>
                <c:pt idx="134">
                  <c:v>5/11/2020</c:v>
                </c:pt>
                <c:pt idx="135">
                  <c:v>5/12/2020</c:v>
                </c:pt>
                <c:pt idx="136">
                  <c:v>5/13/2020</c:v>
                </c:pt>
                <c:pt idx="137">
                  <c:v>5/14/2020</c:v>
                </c:pt>
                <c:pt idx="138">
                  <c:v>5/15/2020</c:v>
                </c:pt>
                <c:pt idx="139">
                  <c:v>5/18/2020</c:v>
                </c:pt>
                <c:pt idx="140">
                  <c:v>5/19/2020</c:v>
                </c:pt>
                <c:pt idx="141">
                  <c:v>5/20/2020</c:v>
                </c:pt>
                <c:pt idx="142">
                  <c:v>5/21/2020</c:v>
                </c:pt>
                <c:pt idx="143">
                  <c:v>5/22/2020</c:v>
                </c:pt>
                <c:pt idx="144">
                  <c:v>5/26/2020</c:v>
                </c:pt>
                <c:pt idx="145">
                  <c:v>5/27/2020</c:v>
                </c:pt>
                <c:pt idx="146">
                  <c:v>5/28/2020</c:v>
                </c:pt>
                <c:pt idx="147">
                  <c:v>5/29/2020</c:v>
                </c:pt>
                <c:pt idx="148">
                  <c:v>6/1/2020</c:v>
                </c:pt>
                <c:pt idx="149">
                  <c:v>6/2/2020</c:v>
                </c:pt>
                <c:pt idx="150">
                  <c:v>6/3/2020</c:v>
                </c:pt>
                <c:pt idx="151">
                  <c:v>6/4/2020</c:v>
                </c:pt>
                <c:pt idx="152">
                  <c:v>6/5/2020</c:v>
                </c:pt>
                <c:pt idx="153">
                  <c:v>6/8/2020</c:v>
                </c:pt>
                <c:pt idx="154">
                  <c:v>6/9/2020</c:v>
                </c:pt>
                <c:pt idx="155">
                  <c:v>6/10/2020</c:v>
                </c:pt>
                <c:pt idx="156">
                  <c:v>6/11/2020</c:v>
                </c:pt>
                <c:pt idx="157">
                  <c:v>6/12/2020</c:v>
                </c:pt>
                <c:pt idx="158">
                  <c:v>6/15/2020</c:v>
                </c:pt>
                <c:pt idx="159">
                  <c:v>6/16/2020</c:v>
                </c:pt>
                <c:pt idx="160">
                  <c:v>6/17/2020</c:v>
                </c:pt>
                <c:pt idx="161">
                  <c:v>6/18/2020</c:v>
                </c:pt>
                <c:pt idx="162">
                  <c:v>6/19/2020</c:v>
                </c:pt>
                <c:pt idx="163">
                  <c:v>6/22/2020</c:v>
                </c:pt>
                <c:pt idx="164">
                  <c:v>6/23/2020</c:v>
                </c:pt>
                <c:pt idx="165">
                  <c:v>6/24/2020</c:v>
                </c:pt>
                <c:pt idx="166">
                  <c:v>6/25/2020</c:v>
                </c:pt>
                <c:pt idx="167">
                  <c:v>6/26/2020</c:v>
                </c:pt>
                <c:pt idx="168">
                  <c:v>6/29/2020</c:v>
                </c:pt>
                <c:pt idx="169">
                  <c:v>6/30/2020</c:v>
                </c:pt>
                <c:pt idx="170">
                  <c:v>7/1/2020</c:v>
                </c:pt>
                <c:pt idx="171">
                  <c:v>7/2/2020</c:v>
                </c:pt>
                <c:pt idx="172">
                  <c:v>7/3/2020</c:v>
                </c:pt>
                <c:pt idx="173">
                  <c:v>7/6/2020</c:v>
                </c:pt>
                <c:pt idx="174">
                  <c:v>7/7/2020</c:v>
                </c:pt>
                <c:pt idx="175">
                  <c:v>7/8/2020</c:v>
                </c:pt>
                <c:pt idx="176">
                  <c:v>7/9/2020</c:v>
                </c:pt>
                <c:pt idx="177">
                  <c:v>7/10/2020</c:v>
                </c:pt>
                <c:pt idx="178">
                  <c:v>7/13/2020</c:v>
                </c:pt>
                <c:pt idx="179">
                  <c:v>7/14/2020</c:v>
                </c:pt>
                <c:pt idx="180">
                  <c:v>7/15/2020</c:v>
                </c:pt>
                <c:pt idx="181">
                  <c:v>7/16/2020</c:v>
                </c:pt>
                <c:pt idx="182">
                  <c:v>7/17/2020</c:v>
                </c:pt>
                <c:pt idx="183">
                  <c:v>7/20/2020</c:v>
                </c:pt>
                <c:pt idx="184">
                  <c:v>7/21/2020</c:v>
                </c:pt>
                <c:pt idx="185">
                  <c:v>7/22/2020</c:v>
                </c:pt>
                <c:pt idx="186">
                  <c:v>7/23/2020</c:v>
                </c:pt>
                <c:pt idx="187">
                  <c:v>7/24/2020</c:v>
                </c:pt>
                <c:pt idx="188">
                  <c:v>7/27/2020</c:v>
                </c:pt>
                <c:pt idx="189">
                  <c:v>7/28/2020</c:v>
                </c:pt>
                <c:pt idx="190">
                  <c:v>7/29/2020</c:v>
                </c:pt>
                <c:pt idx="191">
                  <c:v>7/30/2020</c:v>
                </c:pt>
                <c:pt idx="192">
                  <c:v>7/31/2020</c:v>
                </c:pt>
                <c:pt idx="193">
                  <c:v>8/3/2020</c:v>
                </c:pt>
                <c:pt idx="194">
                  <c:v>8/4/2020</c:v>
                </c:pt>
                <c:pt idx="195">
                  <c:v>8/5/2020</c:v>
                </c:pt>
                <c:pt idx="196">
                  <c:v>8/6/2020</c:v>
                </c:pt>
                <c:pt idx="197">
                  <c:v>8/7/2020</c:v>
                </c:pt>
                <c:pt idx="198">
                  <c:v>8/10/2020</c:v>
                </c:pt>
                <c:pt idx="199">
                  <c:v>8/11/2020</c:v>
                </c:pt>
                <c:pt idx="200">
                  <c:v>8/12/2020</c:v>
                </c:pt>
                <c:pt idx="201">
                  <c:v>8/13/2020</c:v>
                </c:pt>
                <c:pt idx="202">
                  <c:v>8/14/2020</c:v>
                </c:pt>
                <c:pt idx="203">
                  <c:v>8/17/2020</c:v>
                </c:pt>
                <c:pt idx="204">
                  <c:v>8/18/2020</c:v>
                </c:pt>
                <c:pt idx="205">
                  <c:v>8/19/2020</c:v>
                </c:pt>
                <c:pt idx="206">
                  <c:v>8/20/2020</c:v>
                </c:pt>
                <c:pt idx="207">
                  <c:v>8/21/2020</c:v>
                </c:pt>
                <c:pt idx="208">
                  <c:v>8/24/2020</c:v>
                </c:pt>
                <c:pt idx="209">
                  <c:v>8/25/2020</c:v>
                </c:pt>
                <c:pt idx="210">
                  <c:v>8/26/2020</c:v>
                </c:pt>
                <c:pt idx="211">
                  <c:v>8/27/2020</c:v>
                </c:pt>
                <c:pt idx="212">
                  <c:v>8/28/2020</c:v>
                </c:pt>
                <c:pt idx="213">
                  <c:v>8/31/2020</c:v>
                </c:pt>
                <c:pt idx="214">
                  <c:v>9/1/2020</c:v>
                </c:pt>
                <c:pt idx="215">
                  <c:v>9/2/2020</c:v>
                </c:pt>
                <c:pt idx="216">
                  <c:v>9/3/2020</c:v>
                </c:pt>
                <c:pt idx="217">
                  <c:v>9/4/2020</c:v>
                </c:pt>
                <c:pt idx="218">
                  <c:v>9/7/2020</c:v>
                </c:pt>
                <c:pt idx="219">
                  <c:v>9/8/2020</c:v>
                </c:pt>
                <c:pt idx="220">
                  <c:v>9/9/2020</c:v>
                </c:pt>
                <c:pt idx="221">
                  <c:v>9/10/2020</c:v>
                </c:pt>
                <c:pt idx="222">
                  <c:v>9/11/2020</c:v>
                </c:pt>
                <c:pt idx="223">
                  <c:v>9/14/2020</c:v>
                </c:pt>
                <c:pt idx="224">
                  <c:v>9/15/2020</c:v>
                </c:pt>
                <c:pt idx="225">
                  <c:v>9/16/2020</c:v>
                </c:pt>
                <c:pt idx="226">
                  <c:v>9/17/2020</c:v>
                </c:pt>
                <c:pt idx="227">
                  <c:v>9/18/2020</c:v>
                </c:pt>
                <c:pt idx="228">
                  <c:v>9/21/2020</c:v>
                </c:pt>
                <c:pt idx="229">
                  <c:v>9/22/2020</c:v>
                </c:pt>
                <c:pt idx="230">
                  <c:v>9/23/2020</c:v>
                </c:pt>
                <c:pt idx="231">
                  <c:v>9/24/2020</c:v>
                </c:pt>
                <c:pt idx="232">
                  <c:v>9/25/2020</c:v>
                </c:pt>
                <c:pt idx="233">
                  <c:v>9/28/2020</c:v>
                </c:pt>
                <c:pt idx="234">
                  <c:v>9/29/2020</c:v>
                </c:pt>
                <c:pt idx="235">
                  <c:v>9/30/2020</c:v>
                </c:pt>
                <c:pt idx="236">
                  <c:v>10/1/2020</c:v>
                </c:pt>
                <c:pt idx="237">
                  <c:v>10/2/2020</c:v>
                </c:pt>
                <c:pt idx="238">
                  <c:v>10/5/2020</c:v>
                </c:pt>
                <c:pt idx="239">
                  <c:v>10/6/2020</c:v>
                </c:pt>
                <c:pt idx="240">
                  <c:v>10/7/2020</c:v>
                </c:pt>
                <c:pt idx="241">
                  <c:v>10/8/2020</c:v>
                </c:pt>
                <c:pt idx="242">
                  <c:v>10/9/2020</c:v>
                </c:pt>
                <c:pt idx="243">
                  <c:v>10/12/2020</c:v>
                </c:pt>
                <c:pt idx="244">
                  <c:v>10/13/2020</c:v>
                </c:pt>
                <c:pt idx="245">
                  <c:v>10/14/2020</c:v>
                </c:pt>
                <c:pt idx="246">
                  <c:v>10/15/2020</c:v>
                </c:pt>
                <c:pt idx="247">
                  <c:v>10/16/2020</c:v>
                </c:pt>
                <c:pt idx="248">
                  <c:v>10/19/2020</c:v>
                </c:pt>
                <c:pt idx="249">
                  <c:v>10/20/2020</c:v>
                </c:pt>
                <c:pt idx="250">
                  <c:v>10/21/2020</c:v>
                </c:pt>
                <c:pt idx="251">
                  <c:v>10/22/2020</c:v>
                </c:pt>
                <c:pt idx="252">
                  <c:v>10/23/2020</c:v>
                </c:pt>
                <c:pt idx="253">
                  <c:v>10/26/2020</c:v>
                </c:pt>
                <c:pt idx="254">
                  <c:v>10/27/2020</c:v>
                </c:pt>
                <c:pt idx="255">
                  <c:v>10/28/2020</c:v>
                </c:pt>
                <c:pt idx="256">
                  <c:v>10/29/2020</c:v>
                </c:pt>
                <c:pt idx="257">
                  <c:v>10/30/2020</c:v>
                </c:pt>
                <c:pt idx="258">
                  <c:v>11/2/2020</c:v>
                </c:pt>
                <c:pt idx="259">
                  <c:v>11/3/2020</c:v>
                </c:pt>
                <c:pt idx="260">
                  <c:v>11/4/2020</c:v>
                </c:pt>
                <c:pt idx="261">
                  <c:v>11/5/2020</c:v>
                </c:pt>
                <c:pt idx="262">
                  <c:v>11/6/2020</c:v>
                </c:pt>
                <c:pt idx="263">
                  <c:v>11/9/2020</c:v>
                </c:pt>
                <c:pt idx="264">
                  <c:v>11/10/2020</c:v>
                </c:pt>
                <c:pt idx="265">
                  <c:v>11/11/2020</c:v>
                </c:pt>
                <c:pt idx="266">
                  <c:v>11/12/2020</c:v>
                </c:pt>
                <c:pt idx="267">
                  <c:v>11/13/2020</c:v>
                </c:pt>
                <c:pt idx="268">
                  <c:v>11/16/2020</c:v>
                </c:pt>
                <c:pt idx="269">
                  <c:v>11/17/2020</c:v>
                </c:pt>
                <c:pt idx="270">
                  <c:v>11/18/2020</c:v>
                </c:pt>
                <c:pt idx="271">
                  <c:v>11/19/2020</c:v>
                </c:pt>
                <c:pt idx="272">
                  <c:v>11/20/2020</c:v>
                </c:pt>
                <c:pt idx="273">
                  <c:v>11/23/2020</c:v>
                </c:pt>
                <c:pt idx="274">
                  <c:v>11/24/2020</c:v>
                </c:pt>
                <c:pt idx="275">
                  <c:v>11/25/2020</c:v>
                </c:pt>
                <c:pt idx="276">
                  <c:v>11/26/2020</c:v>
                </c:pt>
                <c:pt idx="277">
                  <c:v>11/27/2020</c:v>
                </c:pt>
                <c:pt idx="278">
                  <c:v>11/30/2020</c:v>
                </c:pt>
                <c:pt idx="279">
                  <c:v>12/1/2020</c:v>
                </c:pt>
                <c:pt idx="280">
                  <c:v>12/2/2020</c:v>
                </c:pt>
                <c:pt idx="281">
                  <c:v>12/3/2020</c:v>
                </c:pt>
                <c:pt idx="282">
                  <c:v>12/4/2020</c:v>
                </c:pt>
                <c:pt idx="283">
                  <c:v>12/7/2020</c:v>
                </c:pt>
                <c:pt idx="284">
                  <c:v>12/8/2020</c:v>
                </c:pt>
                <c:pt idx="285">
                  <c:v>12/9/2020</c:v>
                </c:pt>
                <c:pt idx="286">
                  <c:v>12/10/2020</c:v>
                </c:pt>
                <c:pt idx="287">
                  <c:v>12/11/2020</c:v>
                </c:pt>
                <c:pt idx="288">
                  <c:v>12/14/2020</c:v>
                </c:pt>
                <c:pt idx="289">
                  <c:v>12/15/2020</c:v>
                </c:pt>
                <c:pt idx="290">
                  <c:v>12/16/2020</c:v>
                </c:pt>
                <c:pt idx="291">
                  <c:v>12/17/2020</c:v>
                </c:pt>
                <c:pt idx="292">
                  <c:v>12/18/2020</c:v>
                </c:pt>
                <c:pt idx="293">
                  <c:v>12/21/2020</c:v>
                </c:pt>
                <c:pt idx="294">
                  <c:v>12/22/2020</c:v>
                </c:pt>
                <c:pt idx="295">
                  <c:v>12/23/2020</c:v>
                </c:pt>
                <c:pt idx="296">
                  <c:v>12/24/2020</c:v>
                </c:pt>
                <c:pt idx="297">
                  <c:v>12/28/2020</c:v>
                </c:pt>
                <c:pt idx="298">
                  <c:v>12/29/2020</c:v>
                </c:pt>
                <c:pt idx="299">
                  <c:v>12/30/2020</c:v>
                </c:pt>
                <c:pt idx="300">
                  <c:v>12/31/2020</c:v>
                </c:pt>
                <c:pt idx="301">
                  <c:v>1/4/2021</c:v>
                </c:pt>
                <c:pt idx="302">
                  <c:v>1/5/2021</c:v>
                </c:pt>
                <c:pt idx="303">
                  <c:v>1/6/2021</c:v>
                </c:pt>
                <c:pt idx="304">
                  <c:v>1/7/2021</c:v>
                </c:pt>
                <c:pt idx="305">
                  <c:v>1/8/2021</c:v>
                </c:pt>
                <c:pt idx="306">
                  <c:v>1/11/2021</c:v>
                </c:pt>
                <c:pt idx="307">
                  <c:v>1/12/2021</c:v>
                </c:pt>
                <c:pt idx="308">
                  <c:v>1/13/2021</c:v>
                </c:pt>
                <c:pt idx="309">
                  <c:v>1/14/2021</c:v>
                </c:pt>
                <c:pt idx="310">
                  <c:v>1/15/2021</c:v>
                </c:pt>
                <c:pt idx="311">
                  <c:v>1/18/2021</c:v>
                </c:pt>
                <c:pt idx="312">
                  <c:v>1/19/2021</c:v>
                </c:pt>
                <c:pt idx="313">
                  <c:v>1/20/2021</c:v>
                </c:pt>
                <c:pt idx="314">
                  <c:v>1/21/2021</c:v>
                </c:pt>
                <c:pt idx="315">
                  <c:v>1/22/2021</c:v>
                </c:pt>
                <c:pt idx="316">
                  <c:v>1/25/2021</c:v>
                </c:pt>
                <c:pt idx="317">
                  <c:v>1/26/2021</c:v>
                </c:pt>
                <c:pt idx="318">
                  <c:v>1/27/2021</c:v>
                </c:pt>
                <c:pt idx="319">
                  <c:v>1/28/2021</c:v>
                </c:pt>
                <c:pt idx="320">
                  <c:v>1/29/2021</c:v>
                </c:pt>
                <c:pt idx="321">
                  <c:v>2/1/2021</c:v>
                </c:pt>
                <c:pt idx="322">
                  <c:v>2/2/2021</c:v>
                </c:pt>
                <c:pt idx="323">
                  <c:v>2/3/2021</c:v>
                </c:pt>
                <c:pt idx="324">
                  <c:v>2/4/2021</c:v>
                </c:pt>
                <c:pt idx="325">
                  <c:v>2/5/2021</c:v>
                </c:pt>
                <c:pt idx="326">
                  <c:v>2/8/2021</c:v>
                </c:pt>
                <c:pt idx="327">
                  <c:v>2/9/2021</c:v>
                </c:pt>
                <c:pt idx="328">
                  <c:v>2/10/2021</c:v>
                </c:pt>
                <c:pt idx="329">
                  <c:v>2/11/2021</c:v>
                </c:pt>
                <c:pt idx="330">
                  <c:v>2/12/2021</c:v>
                </c:pt>
                <c:pt idx="331">
                  <c:v>2/15/2021</c:v>
                </c:pt>
                <c:pt idx="332">
                  <c:v>2/16/2021</c:v>
                </c:pt>
                <c:pt idx="333">
                  <c:v>2/17/2021</c:v>
                </c:pt>
                <c:pt idx="334">
                  <c:v>2/18/2021</c:v>
                </c:pt>
                <c:pt idx="335">
                  <c:v>2/19/2021</c:v>
                </c:pt>
                <c:pt idx="336">
                  <c:v>2/22/2021</c:v>
                </c:pt>
                <c:pt idx="337">
                  <c:v>2/23/2021</c:v>
                </c:pt>
                <c:pt idx="338">
                  <c:v>2/24/2021</c:v>
                </c:pt>
                <c:pt idx="339">
                  <c:v>2/25/2021</c:v>
                </c:pt>
                <c:pt idx="340">
                  <c:v>2/26/2021</c:v>
                </c:pt>
                <c:pt idx="341">
                  <c:v>3/1/2021</c:v>
                </c:pt>
                <c:pt idx="342">
                  <c:v>3/2/2021</c:v>
                </c:pt>
                <c:pt idx="343">
                  <c:v>3/3/2021</c:v>
                </c:pt>
                <c:pt idx="344">
                  <c:v>3/4/2021</c:v>
                </c:pt>
                <c:pt idx="345">
                  <c:v>3/5/2021</c:v>
                </c:pt>
                <c:pt idx="346">
                  <c:v>3/8/2021</c:v>
                </c:pt>
                <c:pt idx="347">
                  <c:v>3/9/2021</c:v>
                </c:pt>
                <c:pt idx="348">
                  <c:v>3/10/2021</c:v>
                </c:pt>
                <c:pt idx="349">
                  <c:v>3/11/2021</c:v>
                </c:pt>
                <c:pt idx="350">
                  <c:v>3/12/2021</c:v>
                </c:pt>
                <c:pt idx="351">
                  <c:v>3/15/2021</c:v>
                </c:pt>
                <c:pt idx="352">
                  <c:v>3/16/2021</c:v>
                </c:pt>
                <c:pt idx="353">
                  <c:v>3/17/2021</c:v>
                </c:pt>
                <c:pt idx="354">
                  <c:v>3/18/2021</c:v>
                </c:pt>
                <c:pt idx="355">
                  <c:v>3/19/2021</c:v>
                </c:pt>
                <c:pt idx="356">
                  <c:v>3/22/2021</c:v>
                </c:pt>
                <c:pt idx="357">
                  <c:v>3/23/2021</c:v>
                </c:pt>
                <c:pt idx="358">
                  <c:v>3/24/2021</c:v>
                </c:pt>
                <c:pt idx="359">
                  <c:v>3/25/2021</c:v>
                </c:pt>
                <c:pt idx="360">
                  <c:v>3/26/2021</c:v>
                </c:pt>
                <c:pt idx="361">
                  <c:v>3/29/2021</c:v>
                </c:pt>
                <c:pt idx="362">
                  <c:v>3/30/2021</c:v>
                </c:pt>
                <c:pt idx="363">
                  <c:v>3/31/2021</c:v>
                </c:pt>
                <c:pt idx="364">
                  <c:v>4/1/2021</c:v>
                </c:pt>
                <c:pt idx="365">
                  <c:v>4/5/2021</c:v>
                </c:pt>
                <c:pt idx="366">
                  <c:v>4/6/2021</c:v>
                </c:pt>
                <c:pt idx="367">
                  <c:v>4/7/2021</c:v>
                </c:pt>
                <c:pt idx="368">
                  <c:v>4/8/2021</c:v>
                </c:pt>
                <c:pt idx="369">
                  <c:v>4/9/2021</c:v>
                </c:pt>
                <c:pt idx="370">
                  <c:v>4/12/2021</c:v>
                </c:pt>
                <c:pt idx="371">
                  <c:v>4/13/2021</c:v>
                </c:pt>
                <c:pt idx="372">
                  <c:v>4/14/2021</c:v>
                </c:pt>
                <c:pt idx="373">
                  <c:v>4/15/2021</c:v>
                </c:pt>
                <c:pt idx="374">
                  <c:v>4/16/2021</c:v>
                </c:pt>
                <c:pt idx="375">
                  <c:v>4/19/2021</c:v>
                </c:pt>
                <c:pt idx="376">
                  <c:v>4/20/2021</c:v>
                </c:pt>
                <c:pt idx="377">
                  <c:v>4/21/2021</c:v>
                </c:pt>
                <c:pt idx="378">
                  <c:v>4/22/2021</c:v>
                </c:pt>
                <c:pt idx="379">
                  <c:v>4/23/2021</c:v>
                </c:pt>
                <c:pt idx="380">
                  <c:v>4/26/2021</c:v>
                </c:pt>
                <c:pt idx="381">
                  <c:v>4/27/2021</c:v>
                </c:pt>
                <c:pt idx="382">
                  <c:v>4/28/2021</c:v>
                </c:pt>
                <c:pt idx="383">
                  <c:v>4/29/2021</c:v>
                </c:pt>
                <c:pt idx="384">
                  <c:v>4/30/2021</c:v>
                </c:pt>
                <c:pt idx="385">
                  <c:v>5/3/2021</c:v>
                </c:pt>
                <c:pt idx="386">
                  <c:v>5/4/2021</c:v>
                </c:pt>
                <c:pt idx="387">
                  <c:v>5/5/2021</c:v>
                </c:pt>
                <c:pt idx="388">
                  <c:v>5/6/2021</c:v>
                </c:pt>
                <c:pt idx="389">
                  <c:v>5/7/2021</c:v>
                </c:pt>
                <c:pt idx="390">
                  <c:v>5/10/2021</c:v>
                </c:pt>
                <c:pt idx="391">
                  <c:v>5/11/2021</c:v>
                </c:pt>
                <c:pt idx="392">
                  <c:v>5/12/2021</c:v>
                </c:pt>
                <c:pt idx="393">
                  <c:v>5/13/2021</c:v>
                </c:pt>
                <c:pt idx="394">
                  <c:v>5/14/2021</c:v>
                </c:pt>
                <c:pt idx="395">
                  <c:v>5/17/2021</c:v>
                </c:pt>
                <c:pt idx="396">
                  <c:v>5/18/2021</c:v>
                </c:pt>
                <c:pt idx="397">
                  <c:v>5/19/2021</c:v>
                </c:pt>
                <c:pt idx="398">
                  <c:v>5/20/2021</c:v>
                </c:pt>
                <c:pt idx="399">
                  <c:v>5/21/2021</c:v>
                </c:pt>
                <c:pt idx="400">
                  <c:v>5/24/2021</c:v>
                </c:pt>
                <c:pt idx="401">
                  <c:v>5/25/2021</c:v>
                </c:pt>
                <c:pt idx="402">
                  <c:v>5/26/2021</c:v>
                </c:pt>
                <c:pt idx="403">
                  <c:v>5/27/2021</c:v>
                </c:pt>
                <c:pt idx="404">
                  <c:v>5/28/2021</c:v>
                </c:pt>
                <c:pt idx="405">
                  <c:v>5/31/2021</c:v>
                </c:pt>
                <c:pt idx="406">
                  <c:v>6/1/2021</c:v>
                </c:pt>
                <c:pt idx="407">
                  <c:v>6/2/2021</c:v>
                </c:pt>
                <c:pt idx="408">
                  <c:v>6/3/2021</c:v>
                </c:pt>
                <c:pt idx="409">
                  <c:v>6/4/2021</c:v>
                </c:pt>
                <c:pt idx="410">
                  <c:v>6/7/2021</c:v>
                </c:pt>
                <c:pt idx="411">
                  <c:v>6/8/2021</c:v>
                </c:pt>
                <c:pt idx="412">
                  <c:v>6/9/2021</c:v>
                </c:pt>
                <c:pt idx="413">
                  <c:v>6/10/2021</c:v>
                </c:pt>
                <c:pt idx="414">
                  <c:v>6/11/2021</c:v>
                </c:pt>
                <c:pt idx="415">
                  <c:v>6/14/2021</c:v>
                </c:pt>
                <c:pt idx="416">
                  <c:v>6/15/2021</c:v>
                </c:pt>
                <c:pt idx="417">
                  <c:v>6/16/2021</c:v>
                </c:pt>
                <c:pt idx="418">
                  <c:v>6/17/2021</c:v>
                </c:pt>
                <c:pt idx="419">
                  <c:v>6/18/2021</c:v>
                </c:pt>
                <c:pt idx="420">
                  <c:v>6/21/2021</c:v>
                </c:pt>
                <c:pt idx="421">
                  <c:v>6/22/2021</c:v>
                </c:pt>
                <c:pt idx="422">
                  <c:v>6/23/2021</c:v>
                </c:pt>
                <c:pt idx="423">
                  <c:v>6/24/2021</c:v>
                </c:pt>
                <c:pt idx="424">
                  <c:v>6/25/2021</c:v>
                </c:pt>
                <c:pt idx="425">
                  <c:v>6/28/2021</c:v>
                </c:pt>
                <c:pt idx="426">
                  <c:v>6/29/2021</c:v>
                </c:pt>
                <c:pt idx="427">
                  <c:v>6/30/2021</c:v>
                </c:pt>
                <c:pt idx="428">
                  <c:v>7/1/2021</c:v>
                </c:pt>
                <c:pt idx="429">
                  <c:v>7/2/2021</c:v>
                </c:pt>
                <c:pt idx="430">
                  <c:v>7/5/2021</c:v>
                </c:pt>
                <c:pt idx="431">
                  <c:v>7/6/2021</c:v>
                </c:pt>
                <c:pt idx="432">
                  <c:v>7/7/2021</c:v>
                </c:pt>
                <c:pt idx="433">
                  <c:v>7/8/2021</c:v>
                </c:pt>
                <c:pt idx="434">
                  <c:v>7/9/2021</c:v>
                </c:pt>
                <c:pt idx="435">
                  <c:v>7/12/2021</c:v>
                </c:pt>
                <c:pt idx="436">
                  <c:v>7/13/2021</c:v>
                </c:pt>
                <c:pt idx="437">
                  <c:v>7/14/2021</c:v>
                </c:pt>
                <c:pt idx="438">
                  <c:v>7/15/2021</c:v>
                </c:pt>
                <c:pt idx="439">
                  <c:v>7/16/2021</c:v>
                </c:pt>
                <c:pt idx="440">
                  <c:v>7/19/2021</c:v>
                </c:pt>
                <c:pt idx="441">
                  <c:v>7/20/2021</c:v>
                </c:pt>
                <c:pt idx="442">
                  <c:v>7/21/2021</c:v>
                </c:pt>
                <c:pt idx="443">
                  <c:v>7/22/2021</c:v>
                </c:pt>
                <c:pt idx="444">
                  <c:v>7/23/2021</c:v>
                </c:pt>
                <c:pt idx="445">
                  <c:v>7/26/2021</c:v>
                </c:pt>
                <c:pt idx="446">
                  <c:v>7/27/2021</c:v>
                </c:pt>
                <c:pt idx="447">
                  <c:v>7/28/2021</c:v>
                </c:pt>
                <c:pt idx="448">
                  <c:v>7/29/2021</c:v>
                </c:pt>
                <c:pt idx="449">
                  <c:v>7/30/2021</c:v>
                </c:pt>
                <c:pt idx="450">
                  <c:v>8/2/2021</c:v>
                </c:pt>
                <c:pt idx="451">
                  <c:v>8/3/2021</c:v>
                </c:pt>
                <c:pt idx="452">
                  <c:v>8/4/2021</c:v>
                </c:pt>
                <c:pt idx="453">
                  <c:v>8/5/2021</c:v>
                </c:pt>
                <c:pt idx="454">
                  <c:v>8/6/2021</c:v>
                </c:pt>
                <c:pt idx="455">
                  <c:v>8/9/2021</c:v>
                </c:pt>
                <c:pt idx="456">
                  <c:v>8/10/2021</c:v>
                </c:pt>
                <c:pt idx="457">
                  <c:v>8/11/2021</c:v>
                </c:pt>
                <c:pt idx="458">
                  <c:v>8/12/2021</c:v>
                </c:pt>
                <c:pt idx="459">
                  <c:v>8/13/2021</c:v>
                </c:pt>
                <c:pt idx="460">
                  <c:v>8/16/2021</c:v>
                </c:pt>
                <c:pt idx="461">
                  <c:v>8/17/2021</c:v>
                </c:pt>
                <c:pt idx="462">
                  <c:v>8/18/2021</c:v>
                </c:pt>
                <c:pt idx="463">
                  <c:v>8/19/2021</c:v>
                </c:pt>
                <c:pt idx="464">
                  <c:v>8/20/2021</c:v>
                </c:pt>
                <c:pt idx="465">
                  <c:v>8/23/2021</c:v>
                </c:pt>
                <c:pt idx="466">
                  <c:v>8/24/2021</c:v>
                </c:pt>
                <c:pt idx="467">
                  <c:v>8/25/2021</c:v>
                </c:pt>
                <c:pt idx="468">
                  <c:v>8/26/2021</c:v>
                </c:pt>
                <c:pt idx="469">
                  <c:v>8/27/2021</c:v>
                </c:pt>
                <c:pt idx="470">
                  <c:v>8/30/2021</c:v>
                </c:pt>
                <c:pt idx="471">
                  <c:v>8/31/2021</c:v>
                </c:pt>
                <c:pt idx="472">
                  <c:v>9/1/2021</c:v>
                </c:pt>
                <c:pt idx="473">
                  <c:v>9/2/2021</c:v>
                </c:pt>
                <c:pt idx="474">
                  <c:v>9/3/2021</c:v>
                </c:pt>
                <c:pt idx="475">
                  <c:v>9/6/2021</c:v>
                </c:pt>
                <c:pt idx="476">
                  <c:v>9/7/2021</c:v>
                </c:pt>
                <c:pt idx="477">
                  <c:v>9/8/2021</c:v>
                </c:pt>
                <c:pt idx="478">
                  <c:v>9/9/2021</c:v>
                </c:pt>
                <c:pt idx="479">
                  <c:v>9/10/2021</c:v>
                </c:pt>
                <c:pt idx="480">
                  <c:v>9/13/2021</c:v>
                </c:pt>
                <c:pt idx="481">
                  <c:v>9/14/2021</c:v>
                </c:pt>
                <c:pt idx="482">
                  <c:v>9/15/2021</c:v>
                </c:pt>
                <c:pt idx="483">
                  <c:v>9/16/2021</c:v>
                </c:pt>
                <c:pt idx="484">
                  <c:v>9/17/2021</c:v>
                </c:pt>
                <c:pt idx="485">
                  <c:v>9/20/2021</c:v>
                </c:pt>
                <c:pt idx="486">
                  <c:v>9/21/2021</c:v>
                </c:pt>
                <c:pt idx="487">
                  <c:v>9/22/2021</c:v>
                </c:pt>
                <c:pt idx="488">
                  <c:v>9/23/2021</c:v>
                </c:pt>
                <c:pt idx="489">
                  <c:v>9/24/2021</c:v>
                </c:pt>
                <c:pt idx="490">
                  <c:v>9/27/2021</c:v>
                </c:pt>
                <c:pt idx="491">
                  <c:v>9/28/2021</c:v>
                </c:pt>
                <c:pt idx="492">
                  <c:v>9/29/2021</c:v>
                </c:pt>
                <c:pt idx="493">
                  <c:v>9/30/2021</c:v>
                </c:pt>
                <c:pt idx="494">
                  <c:v>10/1/2021</c:v>
                </c:pt>
                <c:pt idx="495">
                  <c:v>10/4/2021</c:v>
                </c:pt>
                <c:pt idx="496">
                  <c:v>10/5/2021</c:v>
                </c:pt>
                <c:pt idx="497">
                  <c:v>10/6/2021</c:v>
                </c:pt>
                <c:pt idx="498">
                  <c:v>10/7/2021</c:v>
                </c:pt>
                <c:pt idx="499">
                  <c:v>10/8/2021</c:v>
                </c:pt>
                <c:pt idx="500">
                  <c:v>10/11/2021</c:v>
                </c:pt>
                <c:pt idx="501">
                  <c:v>10/12/2021</c:v>
                </c:pt>
                <c:pt idx="502">
                  <c:v>10/13/2021</c:v>
                </c:pt>
                <c:pt idx="503">
                  <c:v>10/14/2021</c:v>
                </c:pt>
                <c:pt idx="504">
                  <c:v>10/15/2021</c:v>
                </c:pt>
                <c:pt idx="505">
                  <c:v>10/18/2021</c:v>
                </c:pt>
                <c:pt idx="506">
                  <c:v>10/19/2021</c:v>
                </c:pt>
                <c:pt idx="507">
                  <c:v>10/20/2021</c:v>
                </c:pt>
                <c:pt idx="508">
                  <c:v>10/21/2021</c:v>
                </c:pt>
                <c:pt idx="509">
                  <c:v>10/22/2021</c:v>
                </c:pt>
                <c:pt idx="510">
                  <c:v>10/25/2021</c:v>
                </c:pt>
                <c:pt idx="511">
                  <c:v>10/26/2021</c:v>
                </c:pt>
                <c:pt idx="512">
                  <c:v>10/27/2021</c:v>
                </c:pt>
                <c:pt idx="513">
                  <c:v>10/28/2021</c:v>
                </c:pt>
                <c:pt idx="514">
                  <c:v>10/29/2021</c:v>
                </c:pt>
                <c:pt idx="515">
                  <c:v>11/1/2021</c:v>
                </c:pt>
                <c:pt idx="516">
                  <c:v>11/2/2021</c:v>
                </c:pt>
                <c:pt idx="517">
                  <c:v>11/3/2021</c:v>
                </c:pt>
                <c:pt idx="518">
                  <c:v>11/4/2021</c:v>
                </c:pt>
                <c:pt idx="519">
                  <c:v>11/5/2021</c:v>
                </c:pt>
                <c:pt idx="520">
                  <c:v>11/8/2021</c:v>
                </c:pt>
                <c:pt idx="521">
                  <c:v>11/9/2021</c:v>
                </c:pt>
                <c:pt idx="522">
                  <c:v>11/10/2021</c:v>
                </c:pt>
                <c:pt idx="523">
                  <c:v>11/11/2021</c:v>
                </c:pt>
                <c:pt idx="524">
                  <c:v>11/12/2021</c:v>
                </c:pt>
                <c:pt idx="525">
                  <c:v>11/15/2021</c:v>
                </c:pt>
                <c:pt idx="526">
                  <c:v>11/16/2021</c:v>
                </c:pt>
                <c:pt idx="527">
                  <c:v>11/17/2021</c:v>
                </c:pt>
                <c:pt idx="528">
                  <c:v>11/18/2021</c:v>
                </c:pt>
                <c:pt idx="529">
                  <c:v>11/19/2021</c:v>
                </c:pt>
                <c:pt idx="530">
                  <c:v>11/22/2021</c:v>
                </c:pt>
                <c:pt idx="531">
                  <c:v>11/23/2021</c:v>
                </c:pt>
                <c:pt idx="532">
                  <c:v>11/24/2021</c:v>
                </c:pt>
                <c:pt idx="533">
                  <c:v>11/25/2021</c:v>
                </c:pt>
                <c:pt idx="534">
                  <c:v>11/26/2021</c:v>
                </c:pt>
                <c:pt idx="535">
                  <c:v>11/29/2021</c:v>
                </c:pt>
                <c:pt idx="536">
                  <c:v>11/30/2021</c:v>
                </c:pt>
                <c:pt idx="537">
                  <c:v>12/1/2021</c:v>
                </c:pt>
                <c:pt idx="538">
                  <c:v>12/2/2021</c:v>
                </c:pt>
                <c:pt idx="539">
                  <c:v>12/3/2021</c:v>
                </c:pt>
                <c:pt idx="540">
                  <c:v>12/6/2021</c:v>
                </c:pt>
                <c:pt idx="541">
                  <c:v>12/7/2021</c:v>
                </c:pt>
                <c:pt idx="542">
                  <c:v>12/8/2021</c:v>
                </c:pt>
                <c:pt idx="543">
                  <c:v>12/9/2021</c:v>
                </c:pt>
                <c:pt idx="544">
                  <c:v>12/10/2021</c:v>
                </c:pt>
                <c:pt idx="545">
                  <c:v>12/13/2021</c:v>
                </c:pt>
                <c:pt idx="546">
                  <c:v>12/14/2021</c:v>
                </c:pt>
                <c:pt idx="547">
                  <c:v>12/15/2021</c:v>
                </c:pt>
                <c:pt idx="548">
                  <c:v>12/16/2021</c:v>
                </c:pt>
                <c:pt idx="549">
                  <c:v>12/17/2021</c:v>
                </c:pt>
                <c:pt idx="550">
                  <c:v>12/20/2021</c:v>
                </c:pt>
                <c:pt idx="551">
                  <c:v>12/21/2021</c:v>
                </c:pt>
                <c:pt idx="552">
                  <c:v>12/22/2021</c:v>
                </c:pt>
                <c:pt idx="553">
                  <c:v>12/23/2021</c:v>
                </c:pt>
                <c:pt idx="554">
                  <c:v>12/24/2021</c:v>
                </c:pt>
                <c:pt idx="555">
                  <c:v>12/27/2021</c:v>
                </c:pt>
                <c:pt idx="556">
                  <c:v>12/28/2021</c:v>
                </c:pt>
                <c:pt idx="557">
                  <c:v>12/29/2021</c:v>
                </c:pt>
                <c:pt idx="558">
                  <c:v>12/30/2021</c:v>
                </c:pt>
                <c:pt idx="559">
                  <c:v>12/31/2021</c:v>
                </c:pt>
                <c:pt idx="560">
                  <c:v>1/3/2022</c:v>
                </c:pt>
                <c:pt idx="561">
                  <c:v>1/4/2022</c:v>
                </c:pt>
                <c:pt idx="562">
                  <c:v>1/5/2022</c:v>
                </c:pt>
                <c:pt idx="563">
                  <c:v>1/6/2022</c:v>
                </c:pt>
                <c:pt idx="564">
                  <c:v>1/7/2022</c:v>
                </c:pt>
                <c:pt idx="565">
                  <c:v>1/10/2022</c:v>
                </c:pt>
                <c:pt idx="566">
                  <c:v>1/11/2022</c:v>
                </c:pt>
                <c:pt idx="567">
                  <c:v>1/12/2022</c:v>
                </c:pt>
                <c:pt idx="568">
                  <c:v>1/13/2022</c:v>
                </c:pt>
                <c:pt idx="569">
                  <c:v>1/14/2022</c:v>
                </c:pt>
                <c:pt idx="570">
                  <c:v>1/17/2022</c:v>
                </c:pt>
                <c:pt idx="571">
                  <c:v>1/18/2022</c:v>
                </c:pt>
                <c:pt idx="572">
                  <c:v>1/19/2022</c:v>
                </c:pt>
                <c:pt idx="573">
                  <c:v>1/20/2022</c:v>
                </c:pt>
                <c:pt idx="574">
                  <c:v>1/21/2022</c:v>
                </c:pt>
                <c:pt idx="575">
                  <c:v>1/24/2022</c:v>
                </c:pt>
                <c:pt idx="576">
                  <c:v>1/25/2022</c:v>
                </c:pt>
                <c:pt idx="577">
                  <c:v>1/26/2022</c:v>
                </c:pt>
                <c:pt idx="578">
                  <c:v>1/27/2022</c:v>
                </c:pt>
                <c:pt idx="579">
                  <c:v>1/28/2022</c:v>
                </c:pt>
                <c:pt idx="580">
                  <c:v>1/31/2022</c:v>
                </c:pt>
                <c:pt idx="581">
                  <c:v>2/1/2022</c:v>
                </c:pt>
                <c:pt idx="582">
                  <c:v>2/2/2022</c:v>
                </c:pt>
                <c:pt idx="583">
                  <c:v>2/3/2022</c:v>
                </c:pt>
                <c:pt idx="584">
                  <c:v>2/4/2022</c:v>
                </c:pt>
                <c:pt idx="585">
                  <c:v>2/7/2022</c:v>
                </c:pt>
                <c:pt idx="586">
                  <c:v>2/8/2022</c:v>
                </c:pt>
                <c:pt idx="587">
                  <c:v>2/9/2022</c:v>
                </c:pt>
                <c:pt idx="588">
                  <c:v>2/10/2022</c:v>
                </c:pt>
                <c:pt idx="589">
                  <c:v>2/11/2022</c:v>
                </c:pt>
                <c:pt idx="590">
                  <c:v>2/14/2022</c:v>
                </c:pt>
                <c:pt idx="591">
                  <c:v>2/15/2022</c:v>
                </c:pt>
                <c:pt idx="592">
                  <c:v>2/16/2022</c:v>
                </c:pt>
                <c:pt idx="593">
                  <c:v>2/17/2022</c:v>
                </c:pt>
                <c:pt idx="594">
                  <c:v>2/18/2022</c:v>
                </c:pt>
                <c:pt idx="595">
                  <c:v>2/21/2022</c:v>
                </c:pt>
                <c:pt idx="596">
                  <c:v>2/22/2022</c:v>
                </c:pt>
                <c:pt idx="597">
                  <c:v>2/23/2022</c:v>
                </c:pt>
                <c:pt idx="598">
                  <c:v>2/24/2022</c:v>
                </c:pt>
                <c:pt idx="599">
                  <c:v>2/25/2022</c:v>
                </c:pt>
                <c:pt idx="600">
                  <c:v>2/28/2022</c:v>
                </c:pt>
                <c:pt idx="601">
                  <c:v>3/1/2022</c:v>
                </c:pt>
                <c:pt idx="602">
                  <c:v>3/2/2022</c:v>
                </c:pt>
                <c:pt idx="603">
                  <c:v>3/3/2022</c:v>
                </c:pt>
                <c:pt idx="604">
                  <c:v>3/4/2022</c:v>
                </c:pt>
                <c:pt idx="605">
                  <c:v>3/7/2022</c:v>
                </c:pt>
                <c:pt idx="606">
                  <c:v>3/8/2022</c:v>
                </c:pt>
                <c:pt idx="607">
                  <c:v>3/9/2022</c:v>
                </c:pt>
                <c:pt idx="608">
                  <c:v>3/10/2022</c:v>
                </c:pt>
                <c:pt idx="609">
                  <c:v>3/11/2022</c:v>
                </c:pt>
                <c:pt idx="610">
                  <c:v>3/14/2022</c:v>
                </c:pt>
                <c:pt idx="611">
                  <c:v>3/15/2022</c:v>
                </c:pt>
                <c:pt idx="612">
                  <c:v>3/16/2022</c:v>
                </c:pt>
                <c:pt idx="613">
                  <c:v>3/17/2022</c:v>
                </c:pt>
                <c:pt idx="614">
                  <c:v>3/18/2022</c:v>
                </c:pt>
                <c:pt idx="615">
                  <c:v>3/21/2022</c:v>
                </c:pt>
                <c:pt idx="616">
                  <c:v>3/22/2022</c:v>
                </c:pt>
                <c:pt idx="617">
                  <c:v>3/23/2022</c:v>
                </c:pt>
                <c:pt idx="618">
                  <c:v>3/24/2022</c:v>
                </c:pt>
                <c:pt idx="619">
                  <c:v>3/25/2022</c:v>
                </c:pt>
                <c:pt idx="620">
                  <c:v>3/28/2022</c:v>
                </c:pt>
                <c:pt idx="621">
                  <c:v>3/29/2022</c:v>
                </c:pt>
                <c:pt idx="622">
                  <c:v>3/30/2022</c:v>
                </c:pt>
                <c:pt idx="623">
                  <c:v>3/31/2022</c:v>
                </c:pt>
                <c:pt idx="624">
                  <c:v>4/1/2022</c:v>
                </c:pt>
                <c:pt idx="625">
                  <c:v>4/4/2022</c:v>
                </c:pt>
                <c:pt idx="626">
                  <c:v>4/5/2022</c:v>
                </c:pt>
                <c:pt idx="627">
                  <c:v>4/6/2022</c:v>
                </c:pt>
                <c:pt idx="628">
                  <c:v>4/7/2022</c:v>
                </c:pt>
                <c:pt idx="629">
                  <c:v>4/8/2022</c:v>
                </c:pt>
                <c:pt idx="630">
                  <c:v>4/11/2022</c:v>
                </c:pt>
                <c:pt idx="631">
                  <c:v>4/12/2022</c:v>
                </c:pt>
                <c:pt idx="632">
                  <c:v>4/13/2022</c:v>
                </c:pt>
                <c:pt idx="633">
                  <c:v>4/14/2022</c:v>
                </c:pt>
                <c:pt idx="634">
                  <c:v>4/18/2022</c:v>
                </c:pt>
                <c:pt idx="635">
                  <c:v>4/19/2022</c:v>
                </c:pt>
                <c:pt idx="636">
                  <c:v>4/20/2022</c:v>
                </c:pt>
                <c:pt idx="637">
                  <c:v>4/21/2022</c:v>
                </c:pt>
                <c:pt idx="638">
                  <c:v>4/22/2022</c:v>
                </c:pt>
                <c:pt idx="639">
                  <c:v>4/25/2022</c:v>
                </c:pt>
                <c:pt idx="640">
                  <c:v>4/26/2022</c:v>
                </c:pt>
                <c:pt idx="641">
                  <c:v>4/27/2022</c:v>
                </c:pt>
                <c:pt idx="642">
                  <c:v>4/28/2022</c:v>
                </c:pt>
                <c:pt idx="643">
                  <c:v>4/29/2022</c:v>
                </c:pt>
                <c:pt idx="644">
                  <c:v>5/2/2022</c:v>
                </c:pt>
                <c:pt idx="645">
                  <c:v>5/3/2022</c:v>
                </c:pt>
                <c:pt idx="646">
                  <c:v>5/4/2022</c:v>
                </c:pt>
                <c:pt idx="647">
                  <c:v>5/5/2022</c:v>
                </c:pt>
                <c:pt idx="648">
                  <c:v>5/6/2022</c:v>
                </c:pt>
                <c:pt idx="649">
                  <c:v>5/9/2022</c:v>
                </c:pt>
                <c:pt idx="650">
                  <c:v>5/10/2022</c:v>
                </c:pt>
                <c:pt idx="651">
                  <c:v>5/11/2022</c:v>
                </c:pt>
                <c:pt idx="652">
                  <c:v>5/12/2022</c:v>
                </c:pt>
                <c:pt idx="653">
                  <c:v>5/13/2022</c:v>
                </c:pt>
                <c:pt idx="654">
                  <c:v>5/16/2022</c:v>
                </c:pt>
                <c:pt idx="655">
                  <c:v>5/17/2022</c:v>
                </c:pt>
                <c:pt idx="656">
                  <c:v>5/18/2022</c:v>
                </c:pt>
                <c:pt idx="657">
                  <c:v>5/19/2022</c:v>
                </c:pt>
                <c:pt idx="658">
                  <c:v>5/20/2022</c:v>
                </c:pt>
                <c:pt idx="659">
                  <c:v>5/23/2022</c:v>
                </c:pt>
                <c:pt idx="660">
                  <c:v>5/24/2022</c:v>
                </c:pt>
                <c:pt idx="661">
                  <c:v>5/25/2022</c:v>
                </c:pt>
                <c:pt idx="662">
                  <c:v>5/26/2022</c:v>
                </c:pt>
                <c:pt idx="663">
                  <c:v>5/27/2022</c:v>
                </c:pt>
                <c:pt idx="664">
                  <c:v>5/30/2022</c:v>
                </c:pt>
                <c:pt idx="665">
                  <c:v>5/31/2022</c:v>
                </c:pt>
                <c:pt idx="666">
                  <c:v>6/1/2022</c:v>
                </c:pt>
                <c:pt idx="667">
                  <c:v>6/2/2022</c:v>
                </c:pt>
                <c:pt idx="668">
                  <c:v>6/3/2022</c:v>
                </c:pt>
                <c:pt idx="669">
                  <c:v>6/6/2022</c:v>
                </c:pt>
                <c:pt idx="670">
                  <c:v>6/7/2022</c:v>
                </c:pt>
                <c:pt idx="671">
                  <c:v>6/8/2022</c:v>
                </c:pt>
                <c:pt idx="672">
                  <c:v>6/9/2022</c:v>
                </c:pt>
                <c:pt idx="673">
                  <c:v>6/10/2022</c:v>
                </c:pt>
                <c:pt idx="674">
                  <c:v>6/13/2022</c:v>
                </c:pt>
                <c:pt idx="675">
                  <c:v>6/14/2022</c:v>
                </c:pt>
                <c:pt idx="676">
                  <c:v>6/15/2022</c:v>
                </c:pt>
                <c:pt idx="677">
                  <c:v>6/16/2022</c:v>
                </c:pt>
                <c:pt idx="678">
                  <c:v>6/17/2022</c:v>
                </c:pt>
                <c:pt idx="679">
                  <c:v>6/21/2022</c:v>
                </c:pt>
                <c:pt idx="680">
                  <c:v>6/22/2022</c:v>
                </c:pt>
                <c:pt idx="681">
                  <c:v>6/23/2022</c:v>
                </c:pt>
                <c:pt idx="682">
                  <c:v>6/24/2022</c:v>
                </c:pt>
                <c:pt idx="683">
                  <c:v>6/27/2022</c:v>
                </c:pt>
              </c:strCache>
            </c:strRef>
          </c:cat>
          <c:val>
            <c:numRef>
              <c:f>'Cheapest crude price'!$B$4:$B$687</c:f>
              <c:numCache>
                <c:formatCode>"$"#,##0.00</c:formatCode>
                <c:ptCount val="684"/>
                <c:pt idx="0">
                  <c:v>52.66</c:v>
                </c:pt>
                <c:pt idx="1">
                  <c:v>53.32</c:v>
                </c:pt>
                <c:pt idx="2">
                  <c:v>54.09</c:v>
                </c:pt>
                <c:pt idx="3">
                  <c:v>53.41</c:v>
                </c:pt>
                <c:pt idx="4">
                  <c:v>52.97</c:v>
                </c:pt>
                <c:pt idx="5">
                  <c:v>53.26</c:v>
                </c:pt>
                <c:pt idx="6">
                  <c:v>53.54</c:v>
                </c:pt>
                <c:pt idx="7">
                  <c:v>53.47</c:v>
                </c:pt>
                <c:pt idx="8">
                  <c:v>53.32</c:v>
                </c:pt>
                <c:pt idx="9">
                  <c:v>53.65</c:v>
                </c:pt>
                <c:pt idx="10">
                  <c:v>54.11</c:v>
                </c:pt>
                <c:pt idx="11">
                  <c:v>54.18</c:v>
                </c:pt>
                <c:pt idx="12">
                  <c:v>54.27</c:v>
                </c:pt>
                <c:pt idx="13">
                  <c:v>54.12</c:v>
                </c:pt>
                <c:pt idx="14">
                  <c:v>54.09</c:v>
                </c:pt>
                <c:pt idx="15">
                  <c:v>54.04</c:v>
                </c:pt>
                <c:pt idx="16">
                  <c:v>54.01</c:v>
                </c:pt>
                <c:pt idx="17">
                  <c:v>56.22</c:v>
                </c:pt>
                <c:pt idx="18">
                  <c:v>56.54</c:v>
                </c:pt>
                <c:pt idx="19">
                  <c:v>57.16</c:v>
                </c:pt>
                <c:pt idx="20">
                  <c:v>56.41</c:v>
                </c:pt>
                <c:pt idx="21">
                  <c:v>57.04</c:v>
                </c:pt>
                <c:pt idx="22">
                  <c:v>57.11</c:v>
                </c:pt>
                <c:pt idx="23">
                  <c:v>56.85</c:v>
                </c:pt>
                <c:pt idx="24">
                  <c:v>56.81</c:v>
                </c:pt>
                <c:pt idx="25">
                  <c:v>57.01</c:v>
                </c:pt>
                <c:pt idx="26">
                  <c:v>56.83</c:v>
                </c:pt>
                <c:pt idx="27">
                  <c:v>57.31</c:v>
                </c:pt>
                <c:pt idx="28">
                  <c:v>57</c:v>
                </c:pt>
                <c:pt idx="29">
                  <c:v>56.28</c:v>
                </c:pt>
                <c:pt idx="30">
                  <c:v>56.87</c:v>
                </c:pt>
                <c:pt idx="31">
                  <c:v>57.34</c:v>
                </c:pt>
                <c:pt idx="32">
                  <c:v>57.14</c:v>
                </c:pt>
                <c:pt idx="33">
                  <c:v>57.19</c:v>
                </c:pt>
                <c:pt idx="34">
                  <c:v>57.25</c:v>
                </c:pt>
                <c:pt idx="35">
                  <c:v>57.22</c:v>
                </c:pt>
                <c:pt idx="36">
                  <c:v>57.07</c:v>
                </c:pt>
                <c:pt idx="37">
                  <c:v>55.94</c:v>
                </c:pt>
                <c:pt idx="38">
                  <c:v>56.07</c:v>
                </c:pt>
                <c:pt idx="39">
                  <c:v>58.17</c:v>
                </c:pt>
                <c:pt idx="40">
                  <c:v>58.17</c:v>
                </c:pt>
                <c:pt idx="41">
                  <c:v>58.79</c:v>
                </c:pt>
                <c:pt idx="42">
                  <c:v>58.65</c:v>
                </c:pt>
                <c:pt idx="43">
                  <c:v>58.81</c:v>
                </c:pt>
                <c:pt idx="44">
                  <c:v>58.49</c:v>
                </c:pt>
                <c:pt idx="45">
                  <c:v>58.74</c:v>
                </c:pt>
                <c:pt idx="46">
                  <c:v>59.26</c:v>
                </c:pt>
                <c:pt idx="47">
                  <c:v>59.34</c:v>
                </c:pt>
                <c:pt idx="48">
                  <c:v>59.69</c:v>
                </c:pt>
                <c:pt idx="49">
                  <c:v>59.68</c:v>
                </c:pt>
                <c:pt idx="50">
                  <c:v>59.81</c:v>
                </c:pt>
                <c:pt idx="51">
                  <c:v>59.56</c:v>
                </c:pt>
                <c:pt idx="52">
                  <c:v>59.58</c:v>
                </c:pt>
                <c:pt idx="53">
                  <c:v>59.72</c:v>
                </c:pt>
                <c:pt idx="54">
                  <c:v>59.83</c:v>
                </c:pt>
                <c:pt idx="55">
                  <c:v>59.84</c:v>
                </c:pt>
                <c:pt idx="56">
                  <c:v>59.83</c:v>
                </c:pt>
                <c:pt idx="57">
                  <c:v>59.8</c:v>
                </c:pt>
                <c:pt idx="58">
                  <c:v>61.09</c:v>
                </c:pt>
                <c:pt idx="59">
                  <c:v>62.52</c:v>
                </c:pt>
                <c:pt idx="60">
                  <c:v>61.98</c:v>
                </c:pt>
                <c:pt idx="61">
                  <c:v>60.67</c:v>
                </c:pt>
                <c:pt idx="62">
                  <c:v>60.11</c:v>
                </c:pt>
                <c:pt idx="63">
                  <c:v>58.8</c:v>
                </c:pt>
                <c:pt idx="64">
                  <c:v>58.94</c:v>
                </c:pt>
                <c:pt idx="65">
                  <c:v>55.53</c:v>
                </c:pt>
                <c:pt idx="66">
                  <c:v>54.68</c:v>
                </c:pt>
                <c:pt idx="67">
                  <c:v>55.01</c:v>
                </c:pt>
                <c:pt idx="68">
                  <c:v>55.74</c:v>
                </c:pt>
                <c:pt idx="69">
                  <c:v>55.13</c:v>
                </c:pt>
                <c:pt idx="70">
                  <c:v>54.21</c:v>
                </c:pt>
                <c:pt idx="71">
                  <c:v>54.2</c:v>
                </c:pt>
                <c:pt idx="72">
                  <c:v>55.59</c:v>
                </c:pt>
                <c:pt idx="73">
                  <c:v>55.9</c:v>
                </c:pt>
                <c:pt idx="74">
                  <c:v>56.77</c:v>
                </c:pt>
                <c:pt idx="75">
                  <c:v>57.28</c:v>
                </c:pt>
                <c:pt idx="76">
                  <c:v>56.72</c:v>
                </c:pt>
                <c:pt idx="77">
                  <c:v>57.56</c:v>
                </c:pt>
                <c:pt idx="78">
                  <c:v>57.53</c:v>
                </c:pt>
                <c:pt idx="79">
                  <c:v>50.16</c:v>
                </c:pt>
                <c:pt idx="80">
                  <c:v>49.7</c:v>
                </c:pt>
                <c:pt idx="81">
                  <c:v>50.71</c:v>
                </c:pt>
                <c:pt idx="82">
                  <c:v>50.88</c:v>
                </c:pt>
                <c:pt idx="83">
                  <c:v>50.4</c:v>
                </c:pt>
                <c:pt idx="84">
                  <c:v>49.84</c:v>
                </c:pt>
                <c:pt idx="85">
                  <c:v>50.1</c:v>
                </c:pt>
                <c:pt idx="86">
                  <c:v>50.88</c:v>
                </c:pt>
                <c:pt idx="87">
                  <c:v>51.03</c:v>
                </c:pt>
                <c:pt idx="88">
                  <c:v>51.37</c:v>
                </c:pt>
                <c:pt idx="89">
                  <c:v>48.35</c:v>
                </c:pt>
                <c:pt idx="90">
                  <c:v>34.72</c:v>
                </c:pt>
                <c:pt idx="91">
                  <c:v>35.729999999999997</c:v>
                </c:pt>
                <c:pt idx="92">
                  <c:v>35.56</c:v>
                </c:pt>
                <c:pt idx="93">
                  <c:v>33.270000000000003</c:v>
                </c:pt>
                <c:pt idx="94">
                  <c:v>34.14</c:v>
                </c:pt>
                <c:pt idx="95">
                  <c:v>30.63</c:v>
                </c:pt>
                <c:pt idx="96">
                  <c:v>30.36</c:v>
                </c:pt>
                <c:pt idx="97">
                  <c:v>27.31</c:v>
                </c:pt>
                <c:pt idx="98">
                  <c:v>26.73</c:v>
                </c:pt>
                <c:pt idx="99">
                  <c:v>28.57</c:v>
                </c:pt>
                <c:pt idx="100">
                  <c:v>24.72</c:v>
                </c:pt>
                <c:pt idx="101">
                  <c:v>26.53</c:v>
                </c:pt>
                <c:pt idx="102">
                  <c:v>26.94</c:v>
                </c:pt>
                <c:pt idx="103">
                  <c:v>26.04</c:v>
                </c:pt>
                <c:pt idx="104">
                  <c:v>24.26</c:v>
                </c:pt>
                <c:pt idx="105">
                  <c:v>21.66</c:v>
                </c:pt>
                <c:pt idx="106">
                  <c:v>22.61</c:v>
                </c:pt>
                <c:pt idx="107">
                  <c:v>16.850000000000001</c:v>
                </c:pt>
                <c:pt idx="108">
                  <c:v>18.91</c:v>
                </c:pt>
                <c:pt idx="109">
                  <c:v>23.01</c:v>
                </c:pt>
                <c:pt idx="110">
                  <c:v>23.48</c:v>
                </c:pt>
                <c:pt idx="111">
                  <c:v>22.67</c:v>
                </c:pt>
                <c:pt idx="112">
                  <c:v>21.19</c:v>
                </c:pt>
                <c:pt idx="113">
                  <c:v>21.77</c:v>
                </c:pt>
                <c:pt idx="114">
                  <c:v>21.18</c:v>
                </c:pt>
                <c:pt idx="115">
                  <c:v>19.7</c:v>
                </c:pt>
                <c:pt idx="116">
                  <c:v>17.510000000000002</c:v>
                </c:pt>
                <c:pt idx="117">
                  <c:v>17.73</c:v>
                </c:pt>
                <c:pt idx="118">
                  <c:v>18.170000000000002</c:v>
                </c:pt>
                <c:pt idx="119">
                  <c:v>14.19</c:v>
                </c:pt>
                <c:pt idx="120">
                  <c:v>14.63</c:v>
                </c:pt>
                <c:pt idx="121">
                  <c:v>12.22</c:v>
                </c:pt>
                <c:pt idx="122">
                  <c:v>15.23</c:v>
                </c:pt>
                <c:pt idx="123">
                  <c:v>14.31</c:v>
                </c:pt>
                <c:pt idx="124">
                  <c:v>13.3</c:v>
                </c:pt>
                <c:pt idx="125">
                  <c:v>12.41</c:v>
                </c:pt>
                <c:pt idx="126">
                  <c:v>14.36</c:v>
                </c:pt>
                <c:pt idx="127">
                  <c:v>18.05</c:v>
                </c:pt>
                <c:pt idx="128">
                  <c:v>16.52</c:v>
                </c:pt>
                <c:pt idx="129">
                  <c:v>18.36</c:v>
                </c:pt>
                <c:pt idx="130">
                  <c:v>21.43</c:v>
                </c:pt>
                <c:pt idx="131">
                  <c:v>22.4</c:v>
                </c:pt>
                <c:pt idx="132">
                  <c:v>16.18</c:v>
                </c:pt>
                <c:pt idx="133">
                  <c:v>15.5</c:v>
                </c:pt>
                <c:pt idx="134">
                  <c:v>16.23</c:v>
                </c:pt>
                <c:pt idx="135">
                  <c:v>17.010000000000002</c:v>
                </c:pt>
                <c:pt idx="136">
                  <c:v>17.12</c:v>
                </c:pt>
                <c:pt idx="137">
                  <c:v>16.32</c:v>
                </c:pt>
                <c:pt idx="138">
                  <c:v>16.260000000000002</c:v>
                </c:pt>
                <c:pt idx="139">
                  <c:v>16.52</c:v>
                </c:pt>
                <c:pt idx="140">
                  <c:v>16.7</c:v>
                </c:pt>
                <c:pt idx="141">
                  <c:v>20.66</c:v>
                </c:pt>
                <c:pt idx="142">
                  <c:v>21.2</c:v>
                </c:pt>
                <c:pt idx="143">
                  <c:v>24.79</c:v>
                </c:pt>
                <c:pt idx="144">
                  <c:v>24.2</c:v>
                </c:pt>
                <c:pt idx="145">
                  <c:v>23.72</c:v>
                </c:pt>
                <c:pt idx="146">
                  <c:v>24.67</c:v>
                </c:pt>
                <c:pt idx="147">
                  <c:v>24.08</c:v>
                </c:pt>
                <c:pt idx="148">
                  <c:v>25.01</c:v>
                </c:pt>
                <c:pt idx="149">
                  <c:v>24.66</c:v>
                </c:pt>
                <c:pt idx="150">
                  <c:v>25.88</c:v>
                </c:pt>
                <c:pt idx="151">
                  <c:v>26.74</c:v>
                </c:pt>
                <c:pt idx="152">
                  <c:v>27.72</c:v>
                </c:pt>
                <c:pt idx="153">
                  <c:v>27.86</c:v>
                </c:pt>
                <c:pt idx="154">
                  <c:v>28.4</c:v>
                </c:pt>
                <c:pt idx="155">
                  <c:v>28.53</c:v>
                </c:pt>
                <c:pt idx="156">
                  <c:v>28.36</c:v>
                </c:pt>
                <c:pt idx="157">
                  <c:v>28.58</c:v>
                </c:pt>
                <c:pt idx="158">
                  <c:v>28.35</c:v>
                </c:pt>
                <c:pt idx="159">
                  <c:v>28.44</c:v>
                </c:pt>
                <c:pt idx="160">
                  <c:v>28.53</c:v>
                </c:pt>
                <c:pt idx="161">
                  <c:v>35.54</c:v>
                </c:pt>
                <c:pt idx="162">
                  <c:v>36.82</c:v>
                </c:pt>
                <c:pt idx="163">
                  <c:v>37.270000000000003</c:v>
                </c:pt>
                <c:pt idx="164">
                  <c:v>37.369999999999997</c:v>
                </c:pt>
                <c:pt idx="165">
                  <c:v>38.17</c:v>
                </c:pt>
                <c:pt idx="166">
                  <c:v>37.18</c:v>
                </c:pt>
                <c:pt idx="167">
                  <c:v>37.99</c:v>
                </c:pt>
                <c:pt idx="168">
                  <c:v>37.340000000000003</c:v>
                </c:pt>
                <c:pt idx="169">
                  <c:v>36.97</c:v>
                </c:pt>
                <c:pt idx="170">
                  <c:v>36.93</c:v>
                </c:pt>
                <c:pt idx="171">
                  <c:v>37.42</c:v>
                </c:pt>
                <c:pt idx="172">
                  <c:v>38.03</c:v>
                </c:pt>
                <c:pt idx="173">
                  <c:v>37.840000000000003</c:v>
                </c:pt>
                <c:pt idx="174">
                  <c:v>38.19</c:v>
                </c:pt>
                <c:pt idx="175">
                  <c:v>38.479999999999997</c:v>
                </c:pt>
                <c:pt idx="176">
                  <c:v>38.76</c:v>
                </c:pt>
                <c:pt idx="177">
                  <c:v>38.659999999999997</c:v>
                </c:pt>
                <c:pt idx="178">
                  <c:v>38.130000000000003</c:v>
                </c:pt>
                <c:pt idx="179">
                  <c:v>38.25</c:v>
                </c:pt>
                <c:pt idx="180">
                  <c:v>38.22</c:v>
                </c:pt>
                <c:pt idx="181">
                  <c:v>38.33</c:v>
                </c:pt>
                <c:pt idx="182">
                  <c:v>38.31</c:v>
                </c:pt>
                <c:pt idx="183">
                  <c:v>39.86</c:v>
                </c:pt>
                <c:pt idx="184">
                  <c:v>40.65</c:v>
                </c:pt>
                <c:pt idx="185">
                  <c:v>40.630000000000003</c:v>
                </c:pt>
                <c:pt idx="186">
                  <c:v>40.61</c:v>
                </c:pt>
                <c:pt idx="187">
                  <c:v>40.869999999999997</c:v>
                </c:pt>
                <c:pt idx="188">
                  <c:v>39.9</c:v>
                </c:pt>
                <c:pt idx="189">
                  <c:v>40.58</c:v>
                </c:pt>
                <c:pt idx="190">
                  <c:v>40.28</c:v>
                </c:pt>
                <c:pt idx="191">
                  <c:v>40.409999999999997</c:v>
                </c:pt>
                <c:pt idx="192">
                  <c:v>40.93</c:v>
                </c:pt>
                <c:pt idx="193">
                  <c:v>40.67</c:v>
                </c:pt>
                <c:pt idx="194">
                  <c:v>40.590000000000003</c:v>
                </c:pt>
                <c:pt idx="195">
                  <c:v>40.67</c:v>
                </c:pt>
                <c:pt idx="196">
                  <c:v>41.08</c:v>
                </c:pt>
                <c:pt idx="197">
                  <c:v>41.08</c:v>
                </c:pt>
                <c:pt idx="198">
                  <c:v>40.81</c:v>
                </c:pt>
                <c:pt idx="199">
                  <c:v>40.869999999999997</c:v>
                </c:pt>
                <c:pt idx="200">
                  <c:v>40.94</c:v>
                </c:pt>
                <c:pt idx="201">
                  <c:v>40.840000000000003</c:v>
                </c:pt>
                <c:pt idx="202">
                  <c:v>40.869999999999997</c:v>
                </c:pt>
                <c:pt idx="203">
                  <c:v>40.75</c:v>
                </c:pt>
                <c:pt idx="204">
                  <c:v>40.770000000000003</c:v>
                </c:pt>
                <c:pt idx="205">
                  <c:v>41.11</c:v>
                </c:pt>
                <c:pt idx="206">
                  <c:v>41.74</c:v>
                </c:pt>
                <c:pt idx="207">
                  <c:v>42.19</c:v>
                </c:pt>
                <c:pt idx="208">
                  <c:v>41.99</c:v>
                </c:pt>
                <c:pt idx="209">
                  <c:v>41.4</c:v>
                </c:pt>
                <c:pt idx="210">
                  <c:v>41.94</c:v>
                </c:pt>
                <c:pt idx="211">
                  <c:v>41.71</c:v>
                </c:pt>
                <c:pt idx="212">
                  <c:v>42.43</c:v>
                </c:pt>
                <c:pt idx="213">
                  <c:v>42.16</c:v>
                </c:pt>
                <c:pt idx="214">
                  <c:v>42.04</c:v>
                </c:pt>
                <c:pt idx="215">
                  <c:v>42.49</c:v>
                </c:pt>
                <c:pt idx="216">
                  <c:v>42.47</c:v>
                </c:pt>
                <c:pt idx="217">
                  <c:v>42.47</c:v>
                </c:pt>
                <c:pt idx="218">
                  <c:v>41.64</c:v>
                </c:pt>
                <c:pt idx="219">
                  <c:v>40.29</c:v>
                </c:pt>
                <c:pt idx="220">
                  <c:v>39.82</c:v>
                </c:pt>
                <c:pt idx="221">
                  <c:v>39.83</c:v>
                </c:pt>
                <c:pt idx="222">
                  <c:v>39.369999999999997</c:v>
                </c:pt>
                <c:pt idx="223">
                  <c:v>38.96</c:v>
                </c:pt>
                <c:pt idx="224">
                  <c:v>39.35</c:v>
                </c:pt>
                <c:pt idx="225">
                  <c:v>41.29</c:v>
                </c:pt>
                <c:pt idx="226">
                  <c:v>42.07</c:v>
                </c:pt>
                <c:pt idx="227">
                  <c:v>41.67</c:v>
                </c:pt>
                <c:pt idx="228">
                  <c:v>41.49</c:v>
                </c:pt>
                <c:pt idx="229">
                  <c:v>40.18</c:v>
                </c:pt>
                <c:pt idx="230">
                  <c:v>37.76</c:v>
                </c:pt>
                <c:pt idx="231">
                  <c:v>38.72</c:v>
                </c:pt>
                <c:pt idx="232">
                  <c:v>38.18</c:v>
                </c:pt>
                <c:pt idx="233">
                  <c:v>38.19</c:v>
                </c:pt>
                <c:pt idx="234">
                  <c:v>38.14</c:v>
                </c:pt>
                <c:pt idx="235">
                  <c:v>38.72</c:v>
                </c:pt>
                <c:pt idx="236">
                  <c:v>39.700000000000003</c:v>
                </c:pt>
                <c:pt idx="237">
                  <c:v>38.090000000000003</c:v>
                </c:pt>
                <c:pt idx="238">
                  <c:v>39.07</c:v>
                </c:pt>
                <c:pt idx="239">
                  <c:v>39.450000000000003</c:v>
                </c:pt>
                <c:pt idx="240">
                  <c:v>39.54</c:v>
                </c:pt>
                <c:pt idx="241">
                  <c:v>39.58</c:v>
                </c:pt>
                <c:pt idx="242">
                  <c:v>39.67</c:v>
                </c:pt>
                <c:pt idx="243">
                  <c:v>39.659999999999997</c:v>
                </c:pt>
                <c:pt idx="244">
                  <c:v>39.71</c:v>
                </c:pt>
                <c:pt idx="245">
                  <c:v>39.58</c:v>
                </c:pt>
                <c:pt idx="246">
                  <c:v>39.630000000000003</c:v>
                </c:pt>
                <c:pt idx="247">
                  <c:v>38.83</c:v>
                </c:pt>
                <c:pt idx="248">
                  <c:v>37.229999999999997</c:v>
                </c:pt>
                <c:pt idx="249">
                  <c:v>39.200000000000003</c:v>
                </c:pt>
                <c:pt idx="250">
                  <c:v>40.450000000000003</c:v>
                </c:pt>
                <c:pt idx="251">
                  <c:v>39.86</c:v>
                </c:pt>
                <c:pt idx="252">
                  <c:v>40.82</c:v>
                </c:pt>
                <c:pt idx="253">
                  <c:v>39.22</c:v>
                </c:pt>
                <c:pt idx="254">
                  <c:v>39.53</c:v>
                </c:pt>
                <c:pt idx="255">
                  <c:v>38.42</c:v>
                </c:pt>
                <c:pt idx="256">
                  <c:v>37.119999999999997</c:v>
                </c:pt>
                <c:pt idx="257">
                  <c:v>36.5</c:v>
                </c:pt>
                <c:pt idx="258">
                  <c:v>35.89</c:v>
                </c:pt>
                <c:pt idx="259">
                  <c:v>38.44</c:v>
                </c:pt>
                <c:pt idx="260">
                  <c:v>39.090000000000003</c:v>
                </c:pt>
                <c:pt idx="261">
                  <c:v>39.79</c:v>
                </c:pt>
                <c:pt idx="262">
                  <c:v>39.22</c:v>
                </c:pt>
                <c:pt idx="263">
                  <c:v>39.97</c:v>
                </c:pt>
                <c:pt idx="264">
                  <c:v>39.799999999999997</c:v>
                </c:pt>
                <c:pt idx="265">
                  <c:v>39.979999999999997</c:v>
                </c:pt>
                <c:pt idx="266">
                  <c:v>39.119999999999997</c:v>
                </c:pt>
                <c:pt idx="267">
                  <c:v>37.65</c:v>
                </c:pt>
                <c:pt idx="268">
                  <c:v>37.46</c:v>
                </c:pt>
                <c:pt idx="269">
                  <c:v>36.9</c:v>
                </c:pt>
                <c:pt idx="270">
                  <c:v>37.700000000000003</c:v>
                </c:pt>
                <c:pt idx="271">
                  <c:v>39.04</c:v>
                </c:pt>
                <c:pt idx="272">
                  <c:v>38.729999999999997</c:v>
                </c:pt>
                <c:pt idx="273">
                  <c:v>37.42</c:v>
                </c:pt>
                <c:pt idx="274">
                  <c:v>39.78</c:v>
                </c:pt>
                <c:pt idx="275">
                  <c:v>40.520000000000003</c:v>
                </c:pt>
                <c:pt idx="276">
                  <c:v>40.58</c:v>
                </c:pt>
                <c:pt idx="277">
                  <c:v>40.380000000000003</c:v>
                </c:pt>
                <c:pt idx="278">
                  <c:v>39.83</c:v>
                </c:pt>
                <c:pt idx="279">
                  <c:v>40.42</c:v>
                </c:pt>
                <c:pt idx="280">
                  <c:v>40.46</c:v>
                </c:pt>
                <c:pt idx="281">
                  <c:v>40.61</c:v>
                </c:pt>
                <c:pt idx="282">
                  <c:v>40.57</c:v>
                </c:pt>
                <c:pt idx="283">
                  <c:v>40.72</c:v>
                </c:pt>
                <c:pt idx="284">
                  <c:v>40.880000000000003</c:v>
                </c:pt>
                <c:pt idx="285">
                  <c:v>41.25</c:v>
                </c:pt>
                <c:pt idx="286">
                  <c:v>41.37</c:v>
                </c:pt>
                <c:pt idx="287">
                  <c:v>41.36</c:v>
                </c:pt>
                <c:pt idx="288">
                  <c:v>41.35</c:v>
                </c:pt>
                <c:pt idx="289">
                  <c:v>44.61</c:v>
                </c:pt>
                <c:pt idx="290">
                  <c:v>45.3</c:v>
                </c:pt>
                <c:pt idx="291">
                  <c:v>45.62</c:v>
                </c:pt>
                <c:pt idx="292">
                  <c:v>46.16</c:v>
                </c:pt>
                <c:pt idx="293">
                  <c:v>45.76</c:v>
                </c:pt>
                <c:pt idx="294">
                  <c:v>45.64</c:v>
                </c:pt>
                <c:pt idx="295">
                  <c:v>45.58</c:v>
                </c:pt>
                <c:pt idx="296">
                  <c:v>46.44</c:v>
                </c:pt>
                <c:pt idx="297">
                  <c:v>46.3</c:v>
                </c:pt>
                <c:pt idx="298">
                  <c:v>46.54</c:v>
                </c:pt>
                <c:pt idx="299">
                  <c:v>46.89</c:v>
                </c:pt>
                <c:pt idx="300">
                  <c:v>46.99</c:v>
                </c:pt>
                <c:pt idx="301">
                  <c:v>47.24</c:v>
                </c:pt>
                <c:pt idx="302">
                  <c:v>47.53</c:v>
                </c:pt>
                <c:pt idx="303">
                  <c:v>47.06</c:v>
                </c:pt>
                <c:pt idx="304">
                  <c:v>46.76</c:v>
                </c:pt>
                <c:pt idx="305">
                  <c:v>47.06</c:v>
                </c:pt>
                <c:pt idx="306">
                  <c:v>47.09</c:v>
                </c:pt>
                <c:pt idx="307">
                  <c:v>46.97</c:v>
                </c:pt>
                <c:pt idx="308">
                  <c:v>47.03</c:v>
                </c:pt>
                <c:pt idx="309">
                  <c:v>47.06</c:v>
                </c:pt>
                <c:pt idx="310">
                  <c:v>47.07</c:v>
                </c:pt>
                <c:pt idx="311">
                  <c:v>47.67</c:v>
                </c:pt>
                <c:pt idx="312">
                  <c:v>49.84</c:v>
                </c:pt>
                <c:pt idx="313">
                  <c:v>50.46</c:v>
                </c:pt>
                <c:pt idx="314">
                  <c:v>50.62</c:v>
                </c:pt>
                <c:pt idx="315">
                  <c:v>51.72</c:v>
                </c:pt>
                <c:pt idx="316">
                  <c:v>51.73</c:v>
                </c:pt>
                <c:pt idx="317">
                  <c:v>52.39</c:v>
                </c:pt>
                <c:pt idx="318">
                  <c:v>52.21</c:v>
                </c:pt>
                <c:pt idx="319">
                  <c:v>52.59</c:v>
                </c:pt>
                <c:pt idx="320">
                  <c:v>51.96</c:v>
                </c:pt>
                <c:pt idx="321">
                  <c:v>45.13</c:v>
                </c:pt>
                <c:pt idx="322">
                  <c:v>52.37</c:v>
                </c:pt>
                <c:pt idx="323">
                  <c:v>52.3</c:v>
                </c:pt>
                <c:pt idx="324">
                  <c:v>52.03</c:v>
                </c:pt>
                <c:pt idx="325">
                  <c:v>52.16</c:v>
                </c:pt>
                <c:pt idx="326">
                  <c:v>52.13</c:v>
                </c:pt>
                <c:pt idx="327">
                  <c:v>52.16</c:v>
                </c:pt>
                <c:pt idx="328">
                  <c:v>52.11</c:v>
                </c:pt>
                <c:pt idx="329">
                  <c:v>52.1</c:v>
                </c:pt>
                <c:pt idx="330">
                  <c:v>53.52</c:v>
                </c:pt>
                <c:pt idx="331">
                  <c:v>54.67</c:v>
                </c:pt>
                <c:pt idx="332">
                  <c:v>55.5</c:v>
                </c:pt>
                <c:pt idx="333">
                  <c:v>55.95</c:v>
                </c:pt>
                <c:pt idx="334">
                  <c:v>56.44</c:v>
                </c:pt>
                <c:pt idx="335">
                  <c:v>57.27</c:v>
                </c:pt>
                <c:pt idx="336">
                  <c:v>57.54</c:v>
                </c:pt>
                <c:pt idx="337">
                  <c:v>57.74</c:v>
                </c:pt>
                <c:pt idx="338">
                  <c:v>57.49</c:v>
                </c:pt>
                <c:pt idx="339">
                  <c:v>58.14</c:v>
                </c:pt>
                <c:pt idx="340">
                  <c:v>58.44</c:v>
                </c:pt>
                <c:pt idx="341">
                  <c:v>50.94</c:v>
                </c:pt>
                <c:pt idx="342">
                  <c:v>58.67</c:v>
                </c:pt>
                <c:pt idx="343">
                  <c:v>58.26</c:v>
                </c:pt>
                <c:pt idx="344">
                  <c:v>58.9</c:v>
                </c:pt>
                <c:pt idx="345">
                  <c:v>58.89</c:v>
                </c:pt>
                <c:pt idx="346">
                  <c:v>59.14</c:v>
                </c:pt>
                <c:pt idx="347">
                  <c:v>59.17</c:v>
                </c:pt>
                <c:pt idx="348">
                  <c:v>59.06</c:v>
                </c:pt>
                <c:pt idx="349">
                  <c:v>60.57</c:v>
                </c:pt>
                <c:pt idx="350">
                  <c:v>59.73</c:v>
                </c:pt>
                <c:pt idx="351">
                  <c:v>61.13</c:v>
                </c:pt>
                <c:pt idx="352">
                  <c:v>63.34</c:v>
                </c:pt>
                <c:pt idx="353">
                  <c:v>65.22</c:v>
                </c:pt>
                <c:pt idx="354">
                  <c:v>64.42</c:v>
                </c:pt>
                <c:pt idx="355">
                  <c:v>62.47</c:v>
                </c:pt>
                <c:pt idx="356">
                  <c:v>63.22</c:v>
                </c:pt>
                <c:pt idx="357">
                  <c:v>62.27</c:v>
                </c:pt>
                <c:pt idx="358">
                  <c:v>61.61</c:v>
                </c:pt>
                <c:pt idx="359">
                  <c:v>61.63</c:v>
                </c:pt>
                <c:pt idx="360">
                  <c:v>62.56</c:v>
                </c:pt>
                <c:pt idx="361">
                  <c:v>62.86</c:v>
                </c:pt>
                <c:pt idx="362">
                  <c:v>62.26</c:v>
                </c:pt>
                <c:pt idx="363">
                  <c:v>62.8</c:v>
                </c:pt>
                <c:pt idx="364">
                  <c:v>50.51</c:v>
                </c:pt>
                <c:pt idx="365">
                  <c:v>60.79</c:v>
                </c:pt>
                <c:pt idx="366">
                  <c:v>61.31</c:v>
                </c:pt>
                <c:pt idx="367">
                  <c:v>60.67</c:v>
                </c:pt>
                <c:pt idx="368">
                  <c:v>61.2</c:v>
                </c:pt>
                <c:pt idx="369">
                  <c:v>61.12</c:v>
                </c:pt>
                <c:pt idx="370">
                  <c:v>61.44</c:v>
                </c:pt>
                <c:pt idx="371">
                  <c:v>61.85</c:v>
                </c:pt>
                <c:pt idx="372">
                  <c:v>61.46</c:v>
                </c:pt>
                <c:pt idx="373">
                  <c:v>58.79</c:v>
                </c:pt>
                <c:pt idx="374">
                  <c:v>59.41</c:v>
                </c:pt>
                <c:pt idx="375">
                  <c:v>59.79</c:v>
                </c:pt>
                <c:pt idx="376">
                  <c:v>59.65</c:v>
                </c:pt>
                <c:pt idx="377">
                  <c:v>59.44</c:v>
                </c:pt>
                <c:pt idx="378">
                  <c:v>59.72</c:v>
                </c:pt>
                <c:pt idx="379">
                  <c:v>60.04</c:v>
                </c:pt>
                <c:pt idx="380">
                  <c:v>61.88</c:v>
                </c:pt>
                <c:pt idx="381">
                  <c:v>62.05</c:v>
                </c:pt>
                <c:pt idx="382">
                  <c:v>61.88</c:v>
                </c:pt>
                <c:pt idx="383">
                  <c:v>62</c:v>
                </c:pt>
                <c:pt idx="384">
                  <c:v>61.66</c:v>
                </c:pt>
                <c:pt idx="385">
                  <c:v>54.78</c:v>
                </c:pt>
                <c:pt idx="386">
                  <c:v>61.19</c:v>
                </c:pt>
                <c:pt idx="387">
                  <c:v>61.39</c:v>
                </c:pt>
                <c:pt idx="388">
                  <c:v>61.33</c:v>
                </c:pt>
                <c:pt idx="389">
                  <c:v>61.53</c:v>
                </c:pt>
                <c:pt idx="390">
                  <c:v>61.66</c:v>
                </c:pt>
                <c:pt idx="391">
                  <c:v>61.77</c:v>
                </c:pt>
                <c:pt idx="392">
                  <c:v>61.7</c:v>
                </c:pt>
                <c:pt idx="393">
                  <c:v>64.47</c:v>
                </c:pt>
                <c:pt idx="394">
                  <c:v>65.61</c:v>
                </c:pt>
                <c:pt idx="395">
                  <c:v>65.56</c:v>
                </c:pt>
                <c:pt idx="396">
                  <c:v>64.78</c:v>
                </c:pt>
                <c:pt idx="397">
                  <c:v>64.94</c:v>
                </c:pt>
                <c:pt idx="398">
                  <c:v>64.959999999999994</c:v>
                </c:pt>
                <c:pt idx="399">
                  <c:v>64.180000000000007</c:v>
                </c:pt>
                <c:pt idx="400">
                  <c:v>65.739999999999995</c:v>
                </c:pt>
                <c:pt idx="401">
                  <c:v>64.38</c:v>
                </c:pt>
                <c:pt idx="402">
                  <c:v>65.23</c:v>
                </c:pt>
                <c:pt idx="403">
                  <c:v>65.680000000000007</c:v>
                </c:pt>
                <c:pt idx="404">
                  <c:v>65.33</c:v>
                </c:pt>
                <c:pt idx="405">
                  <c:v>64.47</c:v>
                </c:pt>
                <c:pt idx="406">
                  <c:v>58.46</c:v>
                </c:pt>
                <c:pt idx="407">
                  <c:v>64.48</c:v>
                </c:pt>
                <c:pt idx="408">
                  <c:v>65.09</c:v>
                </c:pt>
                <c:pt idx="409">
                  <c:v>65.099999999999994</c:v>
                </c:pt>
                <c:pt idx="410">
                  <c:v>65.12</c:v>
                </c:pt>
                <c:pt idx="411">
                  <c:v>65.180000000000007</c:v>
                </c:pt>
                <c:pt idx="412">
                  <c:v>65.16</c:v>
                </c:pt>
                <c:pt idx="413">
                  <c:v>67.67</c:v>
                </c:pt>
                <c:pt idx="414">
                  <c:v>68.73</c:v>
                </c:pt>
                <c:pt idx="415">
                  <c:v>68.7</c:v>
                </c:pt>
                <c:pt idx="416">
                  <c:v>69.400000000000006</c:v>
                </c:pt>
                <c:pt idx="417">
                  <c:v>69.09</c:v>
                </c:pt>
                <c:pt idx="418">
                  <c:v>69.73</c:v>
                </c:pt>
                <c:pt idx="419">
                  <c:v>69.66</c:v>
                </c:pt>
                <c:pt idx="420">
                  <c:v>69.88</c:v>
                </c:pt>
                <c:pt idx="421">
                  <c:v>70.25</c:v>
                </c:pt>
                <c:pt idx="422">
                  <c:v>70.239999999999995</c:v>
                </c:pt>
                <c:pt idx="423">
                  <c:v>70.92</c:v>
                </c:pt>
                <c:pt idx="424">
                  <c:v>70.95</c:v>
                </c:pt>
                <c:pt idx="425">
                  <c:v>70.430000000000007</c:v>
                </c:pt>
                <c:pt idx="426">
                  <c:v>70.650000000000006</c:v>
                </c:pt>
                <c:pt idx="427">
                  <c:v>71.33</c:v>
                </c:pt>
                <c:pt idx="428">
                  <c:v>58.46</c:v>
                </c:pt>
                <c:pt idx="429">
                  <c:v>71.290000000000006</c:v>
                </c:pt>
                <c:pt idx="430">
                  <c:v>71.34</c:v>
                </c:pt>
                <c:pt idx="431">
                  <c:v>71.48</c:v>
                </c:pt>
                <c:pt idx="432">
                  <c:v>71.319999999999993</c:v>
                </c:pt>
                <c:pt idx="433">
                  <c:v>71.33</c:v>
                </c:pt>
                <c:pt idx="434">
                  <c:v>71.349999999999994</c:v>
                </c:pt>
                <c:pt idx="435">
                  <c:v>74.33</c:v>
                </c:pt>
                <c:pt idx="436">
                  <c:v>74.86</c:v>
                </c:pt>
                <c:pt idx="437">
                  <c:v>73.239999999999995</c:v>
                </c:pt>
                <c:pt idx="438">
                  <c:v>72.27</c:v>
                </c:pt>
                <c:pt idx="439">
                  <c:v>72.84</c:v>
                </c:pt>
                <c:pt idx="440">
                  <c:v>70.540000000000006</c:v>
                </c:pt>
                <c:pt idx="441">
                  <c:v>70.5</c:v>
                </c:pt>
                <c:pt idx="442">
                  <c:v>69.930000000000007</c:v>
                </c:pt>
                <c:pt idx="443">
                  <c:v>72.09</c:v>
                </c:pt>
                <c:pt idx="444">
                  <c:v>72.55</c:v>
                </c:pt>
                <c:pt idx="445">
                  <c:v>72.64</c:v>
                </c:pt>
                <c:pt idx="446">
                  <c:v>68.62</c:v>
                </c:pt>
                <c:pt idx="447">
                  <c:v>69.349999999999994</c:v>
                </c:pt>
                <c:pt idx="448">
                  <c:v>71.7</c:v>
                </c:pt>
                <c:pt idx="449">
                  <c:v>72.23</c:v>
                </c:pt>
                <c:pt idx="450">
                  <c:v>54.47</c:v>
                </c:pt>
                <c:pt idx="451">
                  <c:v>72.239999999999995</c:v>
                </c:pt>
                <c:pt idx="452">
                  <c:v>71.83</c:v>
                </c:pt>
                <c:pt idx="453">
                  <c:v>70.34</c:v>
                </c:pt>
                <c:pt idx="454">
                  <c:v>71.3</c:v>
                </c:pt>
                <c:pt idx="455">
                  <c:v>70.66</c:v>
                </c:pt>
                <c:pt idx="456">
                  <c:v>70.13</c:v>
                </c:pt>
                <c:pt idx="457">
                  <c:v>70.42</c:v>
                </c:pt>
                <c:pt idx="458">
                  <c:v>68.290000000000006</c:v>
                </c:pt>
                <c:pt idx="459">
                  <c:v>69.099999999999994</c:v>
                </c:pt>
                <c:pt idx="460">
                  <c:v>68.489999999999995</c:v>
                </c:pt>
                <c:pt idx="461">
                  <c:v>67.099999999999994</c:v>
                </c:pt>
                <c:pt idx="462">
                  <c:v>68.400000000000006</c:v>
                </c:pt>
                <c:pt idx="463">
                  <c:v>66.08</c:v>
                </c:pt>
                <c:pt idx="464">
                  <c:v>66.13</c:v>
                </c:pt>
                <c:pt idx="465">
                  <c:v>67.33</c:v>
                </c:pt>
                <c:pt idx="466">
                  <c:v>67.94</c:v>
                </c:pt>
                <c:pt idx="467">
                  <c:v>67.59</c:v>
                </c:pt>
                <c:pt idx="468">
                  <c:v>67.069999999999993</c:v>
                </c:pt>
                <c:pt idx="469">
                  <c:v>66.37</c:v>
                </c:pt>
                <c:pt idx="470">
                  <c:v>65.180000000000007</c:v>
                </c:pt>
                <c:pt idx="471">
                  <c:v>66.989999999999995</c:v>
                </c:pt>
                <c:pt idx="472">
                  <c:v>58.02</c:v>
                </c:pt>
                <c:pt idx="473">
                  <c:v>67.69</c:v>
                </c:pt>
                <c:pt idx="474">
                  <c:v>67.52</c:v>
                </c:pt>
                <c:pt idx="475">
                  <c:v>67.7</c:v>
                </c:pt>
                <c:pt idx="476">
                  <c:v>67.739999999999995</c:v>
                </c:pt>
                <c:pt idx="477">
                  <c:v>67.709999999999994</c:v>
                </c:pt>
                <c:pt idx="478">
                  <c:v>68.5</c:v>
                </c:pt>
                <c:pt idx="479">
                  <c:v>69.84</c:v>
                </c:pt>
                <c:pt idx="480">
                  <c:v>69.22</c:v>
                </c:pt>
                <c:pt idx="481">
                  <c:v>68.41</c:v>
                </c:pt>
                <c:pt idx="482">
                  <c:v>69.17</c:v>
                </c:pt>
                <c:pt idx="483">
                  <c:v>68.3</c:v>
                </c:pt>
                <c:pt idx="484">
                  <c:v>69.41</c:v>
                </c:pt>
                <c:pt idx="485">
                  <c:v>69.900000000000006</c:v>
                </c:pt>
                <c:pt idx="486">
                  <c:v>69.91</c:v>
                </c:pt>
                <c:pt idx="487">
                  <c:v>71.13</c:v>
                </c:pt>
                <c:pt idx="488">
                  <c:v>71.14</c:v>
                </c:pt>
                <c:pt idx="489">
                  <c:v>70.86</c:v>
                </c:pt>
                <c:pt idx="490">
                  <c:v>70.14</c:v>
                </c:pt>
                <c:pt idx="491">
                  <c:v>70.27</c:v>
                </c:pt>
                <c:pt idx="492">
                  <c:v>70.849999999999994</c:v>
                </c:pt>
                <c:pt idx="493">
                  <c:v>71.16</c:v>
                </c:pt>
                <c:pt idx="494">
                  <c:v>69.3</c:v>
                </c:pt>
                <c:pt idx="495">
                  <c:v>71.599999999999994</c:v>
                </c:pt>
                <c:pt idx="496">
                  <c:v>71.58</c:v>
                </c:pt>
                <c:pt idx="497">
                  <c:v>71.540000000000006</c:v>
                </c:pt>
                <c:pt idx="498">
                  <c:v>71.13</c:v>
                </c:pt>
                <c:pt idx="499">
                  <c:v>75.78</c:v>
                </c:pt>
                <c:pt idx="500">
                  <c:v>77.44</c:v>
                </c:pt>
                <c:pt idx="501">
                  <c:v>78.599999999999994</c:v>
                </c:pt>
                <c:pt idx="502">
                  <c:v>77.31</c:v>
                </c:pt>
                <c:pt idx="503">
                  <c:v>78.03</c:v>
                </c:pt>
                <c:pt idx="504">
                  <c:v>78.739999999999995</c:v>
                </c:pt>
                <c:pt idx="505">
                  <c:v>79.58</c:v>
                </c:pt>
                <c:pt idx="506">
                  <c:v>79.62</c:v>
                </c:pt>
                <c:pt idx="507">
                  <c:v>79.53</c:v>
                </c:pt>
                <c:pt idx="508">
                  <c:v>80.05</c:v>
                </c:pt>
                <c:pt idx="509">
                  <c:v>80.55</c:v>
                </c:pt>
                <c:pt idx="510">
                  <c:v>80.56</c:v>
                </c:pt>
                <c:pt idx="511">
                  <c:v>80.86</c:v>
                </c:pt>
                <c:pt idx="512">
                  <c:v>81.23</c:v>
                </c:pt>
                <c:pt idx="513">
                  <c:v>80.930000000000007</c:v>
                </c:pt>
                <c:pt idx="514">
                  <c:v>81.290000000000006</c:v>
                </c:pt>
                <c:pt idx="515">
                  <c:v>65.25</c:v>
                </c:pt>
                <c:pt idx="516">
                  <c:v>81.459999999999994</c:v>
                </c:pt>
                <c:pt idx="517">
                  <c:v>81.17</c:v>
                </c:pt>
                <c:pt idx="518">
                  <c:v>81.19</c:v>
                </c:pt>
                <c:pt idx="519">
                  <c:v>80.16</c:v>
                </c:pt>
                <c:pt idx="520">
                  <c:v>82.39</c:v>
                </c:pt>
                <c:pt idx="521">
                  <c:v>82.7</c:v>
                </c:pt>
                <c:pt idx="522">
                  <c:v>80.790000000000006</c:v>
                </c:pt>
                <c:pt idx="523">
                  <c:v>79.08</c:v>
                </c:pt>
                <c:pt idx="524">
                  <c:v>81.069999999999993</c:v>
                </c:pt>
                <c:pt idx="525">
                  <c:v>80.900000000000006</c:v>
                </c:pt>
                <c:pt idx="526">
                  <c:v>82.01</c:v>
                </c:pt>
                <c:pt idx="527">
                  <c:v>81.099999999999994</c:v>
                </c:pt>
                <c:pt idx="528">
                  <c:v>79.37</c:v>
                </c:pt>
                <c:pt idx="529">
                  <c:v>80.319999999999993</c:v>
                </c:pt>
                <c:pt idx="530">
                  <c:v>78.900000000000006</c:v>
                </c:pt>
                <c:pt idx="531">
                  <c:v>79.400000000000006</c:v>
                </c:pt>
                <c:pt idx="532">
                  <c:v>80.03</c:v>
                </c:pt>
                <c:pt idx="533">
                  <c:v>80.34</c:v>
                </c:pt>
                <c:pt idx="534">
                  <c:v>76.09</c:v>
                </c:pt>
                <c:pt idx="535">
                  <c:v>74.2</c:v>
                </c:pt>
                <c:pt idx="536">
                  <c:v>71.010000000000005</c:v>
                </c:pt>
                <c:pt idx="537">
                  <c:v>53.1</c:v>
                </c:pt>
                <c:pt idx="538">
                  <c:v>70.069999999999993</c:v>
                </c:pt>
                <c:pt idx="539">
                  <c:v>71.650000000000006</c:v>
                </c:pt>
                <c:pt idx="540">
                  <c:v>70.569999999999993</c:v>
                </c:pt>
                <c:pt idx="541">
                  <c:v>65.5</c:v>
                </c:pt>
                <c:pt idx="542">
                  <c:v>66.37</c:v>
                </c:pt>
                <c:pt idx="543">
                  <c:v>66.180000000000007</c:v>
                </c:pt>
                <c:pt idx="544">
                  <c:v>68.959999999999994</c:v>
                </c:pt>
                <c:pt idx="545">
                  <c:v>71.05</c:v>
                </c:pt>
                <c:pt idx="546">
                  <c:v>71.3</c:v>
                </c:pt>
                <c:pt idx="547">
                  <c:v>70.28</c:v>
                </c:pt>
                <c:pt idx="548">
                  <c:v>70.760000000000005</c:v>
                </c:pt>
                <c:pt idx="549">
                  <c:v>70.5</c:v>
                </c:pt>
                <c:pt idx="550">
                  <c:v>70.180000000000007</c:v>
                </c:pt>
                <c:pt idx="551">
                  <c:v>70.260000000000005</c:v>
                </c:pt>
                <c:pt idx="552">
                  <c:v>71</c:v>
                </c:pt>
                <c:pt idx="553">
                  <c:v>70.349999999999994</c:v>
                </c:pt>
                <c:pt idx="554">
                  <c:v>69.459999999999994</c:v>
                </c:pt>
                <c:pt idx="555">
                  <c:v>70.37</c:v>
                </c:pt>
                <c:pt idx="556">
                  <c:v>70.89</c:v>
                </c:pt>
                <c:pt idx="557">
                  <c:v>71.17</c:v>
                </c:pt>
                <c:pt idx="558">
                  <c:v>71.58</c:v>
                </c:pt>
                <c:pt idx="559">
                  <c:v>71.650000000000006</c:v>
                </c:pt>
                <c:pt idx="560">
                  <c:v>65.25</c:v>
                </c:pt>
                <c:pt idx="561">
                  <c:v>71.77</c:v>
                </c:pt>
                <c:pt idx="562">
                  <c:v>71.69</c:v>
                </c:pt>
                <c:pt idx="563">
                  <c:v>76</c:v>
                </c:pt>
                <c:pt idx="564">
                  <c:v>76.86</c:v>
                </c:pt>
                <c:pt idx="565">
                  <c:v>77.59</c:v>
                </c:pt>
                <c:pt idx="566">
                  <c:v>78.88</c:v>
                </c:pt>
                <c:pt idx="567">
                  <c:v>78.48</c:v>
                </c:pt>
                <c:pt idx="568">
                  <c:v>77.95</c:v>
                </c:pt>
                <c:pt idx="569">
                  <c:v>80.040000000000006</c:v>
                </c:pt>
                <c:pt idx="570">
                  <c:v>80.94</c:v>
                </c:pt>
                <c:pt idx="571">
                  <c:v>80.67</c:v>
                </c:pt>
                <c:pt idx="572">
                  <c:v>81.59</c:v>
                </c:pt>
                <c:pt idx="573">
                  <c:v>82.37</c:v>
                </c:pt>
                <c:pt idx="574">
                  <c:v>82.86</c:v>
                </c:pt>
                <c:pt idx="575">
                  <c:v>82.77</c:v>
                </c:pt>
                <c:pt idx="576">
                  <c:v>82.63</c:v>
                </c:pt>
                <c:pt idx="577">
                  <c:v>82.08</c:v>
                </c:pt>
                <c:pt idx="578">
                  <c:v>82.65</c:v>
                </c:pt>
                <c:pt idx="579">
                  <c:v>83</c:v>
                </c:pt>
                <c:pt idx="580">
                  <c:v>82.89</c:v>
                </c:pt>
                <c:pt idx="581">
                  <c:v>82.91</c:v>
                </c:pt>
                <c:pt idx="582">
                  <c:v>82.98</c:v>
                </c:pt>
                <c:pt idx="583">
                  <c:v>79.099999999999994</c:v>
                </c:pt>
                <c:pt idx="584">
                  <c:v>87.93</c:v>
                </c:pt>
                <c:pt idx="585">
                  <c:v>89.67</c:v>
                </c:pt>
                <c:pt idx="586">
                  <c:v>91.36</c:v>
                </c:pt>
                <c:pt idx="587">
                  <c:v>90.67</c:v>
                </c:pt>
                <c:pt idx="588">
                  <c:v>89.24</c:v>
                </c:pt>
                <c:pt idx="589">
                  <c:v>89.51</c:v>
                </c:pt>
                <c:pt idx="590">
                  <c:v>89.61</c:v>
                </c:pt>
                <c:pt idx="591">
                  <c:v>91.4</c:v>
                </c:pt>
                <c:pt idx="592">
                  <c:v>92.59</c:v>
                </c:pt>
                <c:pt idx="593">
                  <c:v>91</c:v>
                </c:pt>
                <c:pt idx="594">
                  <c:v>91.68</c:v>
                </c:pt>
                <c:pt idx="595">
                  <c:v>91</c:v>
                </c:pt>
                <c:pt idx="596">
                  <c:v>90.96</c:v>
                </c:pt>
                <c:pt idx="597">
                  <c:v>91.39</c:v>
                </c:pt>
                <c:pt idx="598">
                  <c:v>91.43</c:v>
                </c:pt>
                <c:pt idx="599">
                  <c:v>91.54</c:v>
                </c:pt>
                <c:pt idx="600">
                  <c:v>91.41</c:v>
                </c:pt>
                <c:pt idx="601">
                  <c:v>91.63</c:v>
                </c:pt>
                <c:pt idx="602">
                  <c:v>94.57</c:v>
                </c:pt>
                <c:pt idx="603">
                  <c:v>109.21</c:v>
                </c:pt>
                <c:pt idx="604">
                  <c:v>106.68</c:v>
                </c:pt>
                <c:pt idx="605">
                  <c:v>113.49</c:v>
                </c:pt>
                <c:pt idx="606">
                  <c:v>116.55</c:v>
                </c:pt>
                <c:pt idx="607">
                  <c:v>119.78</c:v>
                </c:pt>
                <c:pt idx="608">
                  <c:v>108.82</c:v>
                </c:pt>
                <c:pt idx="609">
                  <c:v>107.14</c:v>
                </c:pt>
                <c:pt idx="610">
                  <c:v>109.3</c:v>
                </c:pt>
                <c:pt idx="611">
                  <c:v>102.67</c:v>
                </c:pt>
                <c:pt idx="612">
                  <c:v>99.91</c:v>
                </c:pt>
                <c:pt idx="613">
                  <c:v>98.02</c:v>
                </c:pt>
                <c:pt idx="614">
                  <c:v>105.32</c:v>
                </c:pt>
                <c:pt idx="615">
                  <c:v>105.99</c:v>
                </c:pt>
                <c:pt idx="616">
                  <c:v>108.73</c:v>
                </c:pt>
                <c:pt idx="617">
                  <c:v>108.5</c:v>
                </c:pt>
                <c:pt idx="618">
                  <c:v>110.22</c:v>
                </c:pt>
                <c:pt idx="619">
                  <c:v>109.54</c:v>
                </c:pt>
                <c:pt idx="620">
                  <c:v>109.88</c:v>
                </c:pt>
                <c:pt idx="621">
                  <c:v>108.5</c:v>
                </c:pt>
                <c:pt idx="622">
                  <c:v>108.28</c:v>
                </c:pt>
                <c:pt idx="623">
                  <c:v>107.74</c:v>
                </c:pt>
                <c:pt idx="624">
                  <c:v>104.93</c:v>
                </c:pt>
                <c:pt idx="625">
                  <c:v>89.06</c:v>
                </c:pt>
                <c:pt idx="626">
                  <c:v>102.58</c:v>
                </c:pt>
                <c:pt idx="627">
                  <c:v>101.44</c:v>
                </c:pt>
                <c:pt idx="628">
                  <c:v>96.73</c:v>
                </c:pt>
                <c:pt idx="629">
                  <c:v>96.68</c:v>
                </c:pt>
                <c:pt idx="630">
                  <c:v>98.35</c:v>
                </c:pt>
                <c:pt idx="631">
                  <c:v>95.63</c:v>
                </c:pt>
                <c:pt idx="632">
                  <c:v>99.7</c:v>
                </c:pt>
                <c:pt idx="633">
                  <c:v>101.89</c:v>
                </c:pt>
                <c:pt idx="634">
                  <c:v>103.33</c:v>
                </c:pt>
                <c:pt idx="635">
                  <c:v>103.95</c:v>
                </c:pt>
                <c:pt idx="636">
                  <c:v>101.44</c:v>
                </c:pt>
                <c:pt idx="637">
                  <c:v>101.5</c:v>
                </c:pt>
                <c:pt idx="638">
                  <c:v>102.06</c:v>
                </c:pt>
                <c:pt idx="639">
                  <c:v>101.54</c:v>
                </c:pt>
                <c:pt idx="640">
                  <c:v>100.66</c:v>
                </c:pt>
                <c:pt idx="641">
                  <c:v>101.29</c:v>
                </c:pt>
                <c:pt idx="642">
                  <c:v>101.34</c:v>
                </c:pt>
                <c:pt idx="643">
                  <c:v>101.67</c:v>
                </c:pt>
                <c:pt idx="644">
                  <c:v>101.64</c:v>
                </c:pt>
                <c:pt idx="645">
                  <c:v>104.67</c:v>
                </c:pt>
                <c:pt idx="646">
                  <c:v>102.11</c:v>
                </c:pt>
                <c:pt idx="647">
                  <c:v>106.97</c:v>
                </c:pt>
                <c:pt idx="648">
                  <c:v>107.38</c:v>
                </c:pt>
                <c:pt idx="649">
                  <c:v>108.62</c:v>
                </c:pt>
                <c:pt idx="650">
                  <c:v>103.57</c:v>
                </c:pt>
                <c:pt idx="651">
                  <c:v>101.19</c:v>
                </c:pt>
                <c:pt idx="652">
                  <c:v>105.05</c:v>
                </c:pt>
                <c:pt idx="653">
                  <c:v>105.3</c:v>
                </c:pt>
                <c:pt idx="654">
                  <c:v>107.75</c:v>
                </c:pt>
                <c:pt idx="655">
                  <c:v>109.55</c:v>
                </c:pt>
                <c:pt idx="656">
                  <c:v>108.58</c:v>
                </c:pt>
                <c:pt idx="657">
                  <c:v>107.44</c:v>
                </c:pt>
                <c:pt idx="658">
                  <c:v>108.5</c:v>
                </c:pt>
                <c:pt idx="659">
                  <c:v>108.66</c:v>
                </c:pt>
                <c:pt idx="660">
                  <c:v>108.67</c:v>
                </c:pt>
                <c:pt idx="661">
                  <c:v>108.54</c:v>
                </c:pt>
                <c:pt idx="662">
                  <c:v>108.65</c:v>
                </c:pt>
                <c:pt idx="663">
                  <c:v>109.19</c:v>
                </c:pt>
                <c:pt idx="664">
                  <c:v>100.97</c:v>
                </c:pt>
                <c:pt idx="665">
                  <c:v>100.57</c:v>
                </c:pt>
                <c:pt idx="666">
                  <c:v>101.16</c:v>
                </c:pt>
                <c:pt idx="667">
                  <c:v>102.77</c:v>
                </c:pt>
                <c:pt idx="668">
                  <c:v>104.77</c:v>
                </c:pt>
                <c:pt idx="669">
                  <c:v>104.4</c:v>
                </c:pt>
                <c:pt idx="670">
                  <c:v>105.31</c:v>
                </c:pt>
                <c:pt idx="671">
                  <c:v>108.01</c:v>
                </c:pt>
                <c:pt idx="672">
                  <c:v>107.41</c:v>
                </c:pt>
                <c:pt idx="673">
                  <c:v>106.57</c:v>
                </c:pt>
                <c:pt idx="674">
                  <c:v>106.83</c:v>
                </c:pt>
                <c:pt idx="675">
                  <c:v>104.83</c:v>
                </c:pt>
                <c:pt idx="676">
                  <c:v>101.21</c:v>
                </c:pt>
                <c:pt idx="677">
                  <c:v>97.66</c:v>
                </c:pt>
                <c:pt idx="678">
                  <c:v>96</c:v>
                </c:pt>
                <c:pt idx="679">
                  <c:v>95.42</c:v>
                </c:pt>
                <c:pt idx="680">
                  <c:v>92.09</c:v>
                </c:pt>
                <c:pt idx="681">
                  <c:v>90.17</c:v>
                </c:pt>
                <c:pt idx="682">
                  <c:v>93.52</c:v>
                </c:pt>
                <c:pt idx="683">
                  <c:v>97.66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5C1-43D1-88B8-FD766B4E03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01267384"/>
        <c:axId val="901266072"/>
      </c:lineChart>
      <c:catAx>
        <c:axId val="9012673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01266072"/>
        <c:crosses val="autoZero"/>
        <c:auto val="1"/>
        <c:lblAlgn val="ctr"/>
        <c:lblOffset val="100"/>
        <c:noMultiLvlLbl val="0"/>
      </c:catAx>
      <c:valAx>
        <c:axId val="9012660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012673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[Foley_FinalProject_Completed.xlsm]Cheapest crude price!PivotTable2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Gas Price at Pump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'Cheapest crude price'!$E$3</c:f>
              <c:strCache>
                <c:ptCount val="1"/>
                <c:pt idx="0">
                  <c:v>Total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'Cheapest crude price'!$D$4:$D$687</c:f>
              <c:strCache>
                <c:ptCount val="684"/>
                <c:pt idx="0">
                  <c:v>10/31/2019</c:v>
                </c:pt>
                <c:pt idx="1">
                  <c:v>11/1/2019</c:v>
                </c:pt>
                <c:pt idx="2">
                  <c:v>11/4/2019</c:v>
                </c:pt>
                <c:pt idx="3">
                  <c:v>11/5/2019</c:v>
                </c:pt>
                <c:pt idx="4">
                  <c:v>11/6/2019</c:v>
                </c:pt>
                <c:pt idx="5">
                  <c:v>11/7/2019</c:v>
                </c:pt>
                <c:pt idx="6">
                  <c:v>11/8/2019</c:v>
                </c:pt>
                <c:pt idx="7">
                  <c:v>11/11/2019</c:v>
                </c:pt>
                <c:pt idx="8">
                  <c:v>11/12/2019</c:v>
                </c:pt>
                <c:pt idx="9">
                  <c:v>11/13/2019</c:v>
                </c:pt>
                <c:pt idx="10">
                  <c:v>11/14/2019</c:v>
                </c:pt>
                <c:pt idx="11">
                  <c:v>11/15/2019</c:v>
                </c:pt>
                <c:pt idx="12">
                  <c:v>11/18/2019</c:v>
                </c:pt>
                <c:pt idx="13">
                  <c:v>11/19/2019</c:v>
                </c:pt>
                <c:pt idx="14">
                  <c:v>11/20/2019</c:v>
                </c:pt>
                <c:pt idx="15">
                  <c:v>11/21/2019</c:v>
                </c:pt>
                <c:pt idx="16">
                  <c:v>11/22/2019</c:v>
                </c:pt>
                <c:pt idx="17">
                  <c:v>11/25/2019</c:v>
                </c:pt>
                <c:pt idx="18">
                  <c:v>11/26/2019</c:v>
                </c:pt>
                <c:pt idx="19">
                  <c:v>11/27/2019</c:v>
                </c:pt>
                <c:pt idx="20">
                  <c:v>11/28/2019</c:v>
                </c:pt>
                <c:pt idx="21">
                  <c:v>11/29/2019</c:v>
                </c:pt>
                <c:pt idx="22">
                  <c:v>12/2/2019</c:v>
                </c:pt>
                <c:pt idx="23">
                  <c:v>12/3/2019</c:v>
                </c:pt>
                <c:pt idx="24">
                  <c:v>12/4/2019</c:v>
                </c:pt>
                <c:pt idx="25">
                  <c:v>12/5/2019</c:v>
                </c:pt>
                <c:pt idx="26">
                  <c:v>12/6/2019</c:v>
                </c:pt>
                <c:pt idx="27">
                  <c:v>12/9/2019</c:v>
                </c:pt>
                <c:pt idx="28">
                  <c:v>12/10/2019</c:v>
                </c:pt>
                <c:pt idx="29">
                  <c:v>12/11/2019</c:v>
                </c:pt>
                <c:pt idx="30">
                  <c:v>12/12/2019</c:v>
                </c:pt>
                <c:pt idx="31">
                  <c:v>12/13/2019</c:v>
                </c:pt>
                <c:pt idx="32">
                  <c:v>12/16/2019</c:v>
                </c:pt>
                <c:pt idx="33">
                  <c:v>12/17/2019</c:v>
                </c:pt>
                <c:pt idx="34">
                  <c:v>12/18/2019</c:v>
                </c:pt>
                <c:pt idx="35">
                  <c:v>12/19/2019</c:v>
                </c:pt>
                <c:pt idx="36">
                  <c:v>12/20/2019</c:v>
                </c:pt>
                <c:pt idx="37">
                  <c:v>12/23/2019</c:v>
                </c:pt>
                <c:pt idx="38">
                  <c:v>12/24/2019</c:v>
                </c:pt>
                <c:pt idx="39">
                  <c:v>12/26/2019</c:v>
                </c:pt>
                <c:pt idx="40">
                  <c:v>12/27/2019</c:v>
                </c:pt>
                <c:pt idx="41">
                  <c:v>12/30/2019</c:v>
                </c:pt>
                <c:pt idx="42">
                  <c:v>12/31/2019</c:v>
                </c:pt>
                <c:pt idx="43">
                  <c:v>1/2/2020</c:v>
                </c:pt>
                <c:pt idx="44">
                  <c:v>1/3/2020</c:v>
                </c:pt>
                <c:pt idx="45">
                  <c:v>1/6/2020</c:v>
                </c:pt>
                <c:pt idx="46">
                  <c:v>1/7/2020</c:v>
                </c:pt>
                <c:pt idx="47">
                  <c:v>1/8/2020</c:v>
                </c:pt>
                <c:pt idx="48">
                  <c:v>1/9/2020</c:v>
                </c:pt>
                <c:pt idx="49">
                  <c:v>1/10/2020</c:v>
                </c:pt>
                <c:pt idx="50">
                  <c:v>1/13/2020</c:v>
                </c:pt>
                <c:pt idx="51">
                  <c:v>1/14/2020</c:v>
                </c:pt>
                <c:pt idx="52">
                  <c:v>1/15/2020</c:v>
                </c:pt>
                <c:pt idx="53">
                  <c:v>1/16/2020</c:v>
                </c:pt>
                <c:pt idx="54">
                  <c:v>1/17/2020</c:v>
                </c:pt>
                <c:pt idx="55">
                  <c:v>1/20/2020</c:v>
                </c:pt>
                <c:pt idx="56">
                  <c:v>1/21/2020</c:v>
                </c:pt>
                <c:pt idx="57">
                  <c:v>1/22/2020</c:v>
                </c:pt>
                <c:pt idx="58">
                  <c:v>1/23/2020</c:v>
                </c:pt>
                <c:pt idx="59">
                  <c:v>1/24/2020</c:v>
                </c:pt>
                <c:pt idx="60">
                  <c:v>1/27/2020</c:v>
                </c:pt>
                <c:pt idx="61">
                  <c:v>1/28/2020</c:v>
                </c:pt>
                <c:pt idx="62">
                  <c:v>1/29/2020</c:v>
                </c:pt>
                <c:pt idx="63">
                  <c:v>1/30/2020</c:v>
                </c:pt>
                <c:pt idx="64">
                  <c:v>1/31/2020</c:v>
                </c:pt>
                <c:pt idx="65">
                  <c:v>2/3/2020</c:v>
                </c:pt>
                <c:pt idx="66">
                  <c:v>2/4/2020</c:v>
                </c:pt>
                <c:pt idx="67">
                  <c:v>2/5/2020</c:v>
                </c:pt>
                <c:pt idx="68">
                  <c:v>2/6/2020</c:v>
                </c:pt>
                <c:pt idx="69">
                  <c:v>2/7/2020</c:v>
                </c:pt>
                <c:pt idx="70">
                  <c:v>2/10/2020</c:v>
                </c:pt>
                <c:pt idx="71">
                  <c:v>2/11/2020</c:v>
                </c:pt>
                <c:pt idx="72">
                  <c:v>2/12/2020</c:v>
                </c:pt>
                <c:pt idx="73">
                  <c:v>2/13/2020</c:v>
                </c:pt>
                <c:pt idx="74">
                  <c:v>2/14/2020</c:v>
                </c:pt>
                <c:pt idx="75">
                  <c:v>2/17/2020</c:v>
                </c:pt>
                <c:pt idx="76">
                  <c:v>2/18/2020</c:v>
                </c:pt>
                <c:pt idx="77">
                  <c:v>2/19/2020</c:v>
                </c:pt>
                <c:pt idx="78">
                  <c:v>2/20/2020</c:v>
                </c:pt>
                <c:pt idx="79">
                  <c:v>2/21/2020</c:v>
                </c:pt>
                <c:pt idx="80">
                  <c:v>2/24/2020</c:v>
                </c:pt>
                <c:pt idx="81">
                  <c:v>2/25/2020</c:v>
                </c:pt>
                <c:pt idx="82">
                  <c:v>2/26/2020</c:v>
                </c:pt>
                <c:pt idx="83">
                  <c:v>2/27/2020</c:v>
                </c:pt>
                <c:pt idx="84">
                  <c:v>2/28/2020</c:v>
                </c:pt>
                <c:pt idx="85">
                  <c:v>3/2/2020</c:v>
                </c:pt>
                <c:pt idx="86">
                  <c:v>3/3/2020</c:v>
                </c:pt>
                <c:pt idx="87">
                  <c:v>3/4/2020</c:v>
                </c:pt>
                <c:pt idx="88">
                  <c:v>3/5/2020</c:v>
                </c:pt>
                <c:pt idx="89">
                  <c:v>3/6/2020</c:v>
                </c:pt>
                <c:pt idx="90">
                  <c:v>3/9/2020</c:v>
                </c:pt>
                <c:pt idx="91">
                  <c:v>3/10/2020</c:v>
                </c:pt>
                <c:pt idx="92">
                  <c:v>3/11/2020</c:v>
                </c:pt>
                <c:pt idx="93">
                  <c:v>3/12/2020</c:v>
                </c:pt>
                <c:pt idx="94">
                  <c:v>3/13/2020</c:v>
                </c:pt>
                <c:pt idx="95">
                  <c:v>3/16/2020</c:v>
                </c:pt>
                <c:pt idx="96">
                  <c:v>3/17/2020</c:v>
                </c:pt>
                <c:pt idx="97">
                  <c:v>3/18/2020</c:v>
                </c:pt>
                <c:pt idx="98">
                  <c:v>3/19/2020</c:v>
                </c:pt>
                <c:pt idx="99">
                  <c:v>3/20/2020</c:v>
                </c:pt>
                <c:pt idx="100">
                  <c:v>3/23/2020</c:v>
                </c:pt>
                <c:pt idx="101">
                  <c:v>3/24/2020</c:v>
                </c:pt>
                <c:pt idx="102">
                  <c:v>3/25/2020</c:v>
                </c:pt>
                <c:pt idx="103">
                  <c:v>3/26/2020</c:v>
                </c:pt>
                <c:pt idx="104">
                  <c:v>3/27/2020</c:v>
                </c:pt>
                <c:pt idx="105">
                  <c:v>3/30/2020</c:v>
                </c:pt>
                <c:pt idx="106">
                  <c:v>3/31/2020</c:v>
                </c:pt>
                <c:pt idx="107">
                  <c:v>4/1/2020</c:v>
                </c:pt>
                <c:pt idx="108">
                  <c:v>4/2/2020</c:v>
                </c:pt>
                <c:pt idx="109">
                  <c:v>4/3/2020</c:v>
                </c:pt>
                <c:pt idx="110">
                  <c:v>4/6/2020</c:v>
                </c:pt>
                <c:pt idx="111">
                  <c:v>4/7/2020</c:v>
                </c:pt>
                <c:pt idx="112">
                  <c:v>4/8/2020</c:v>
                </c:pt>
                <c:pt idx="113">
                  <c:v>4/9/2020</c:v>
                </c:pt>
                <c:pt idx="114">
                  <c:v>4/13/2020</c:v>
                </c:pt>
                <c:pt idx="115">
                  <c:v>4/14/2020</c:v>
                </c:pt>
                <c:pt idx="116">
                  <c:v>4/15/2020</c:v>
                </c:pt>
                <c:pt idx="117">
                  <c:v>4/16/2020</c:v>
                </c:pt>
                <c:pt idx="118">
                  <c:v>4/17/2020</c:v>
                </c:pt>
                <c:pt idx="119">
                  <c:v>4/20/2020</c:v>
                </c:pt>
                <c:pt idx="120">
                  <c:v>4/21/2020</c:v>
                </c:pt>
                <c:pt idx="121">
                  <c:v>4/22/2020</c:v>
                </c:pt>
                <c:pt idx="122">
                  <c:v>4/23/2020</c:v>
                </c:pt>
                <c:pt idx="123">
                  <c:v>4/24/2020</c:v>
                </c:pt>
                <c:pt idx="124">
                  <c:v>4/27/2020</c:v>
                </c:pt>
                <c:pt idx="125">
                  <c:v>4/28/2020</c:v>
                </c:pt>
                <c:pt idx="126">
                  <c:v>4/29/2020</c:v>
                </c:pt>
                <c:pt idx="127">
                  <c:v>4/30/2020</c:v>
                </c:pt>
                <c:pt idx="128">
                  <c:v>5/1/2020</c:v>
                </c:pt>
                <c:pt idx="129">
                  <c:v>5/4/2020</c:v>
                </c:pt>
                <c:pt idx="130">
                  <c:v>5/5/2020</c:v>
                </c:pt>
                <c:pt idx="131">
                  <c:v>5/6/2020</c:v>
                </c:pt>
                <c:pt idx="132">
                  <c:v>5/7/2020</c:v>
                </c:pt>
                <c:pt idx="133">
                  <c:v>5/8/2020</c:v>
                </c:pt>
                <c:pt idx="134">
                  <c:v>5/11/2020</c:v>
                </c:pt>
                <c:pt idx="135">
                  <c:v>5/12/2020</c:v>
                </c:pt>
                <c:pt idx="136">
                  <c:v>5/13/2020</c:v>
                </c:pt>
                <c:pt idx="137">
                  <c:v>5/14/2020</c:v>
                </c:pt>
                <c:pt idx="138">
                  <c:v>5/15/2020</c:v>
                </c:pt>
                <c:pt idx="139">
                  <c:v>5/18/2020</c:v>
                </c:pt>
                <c:pt idx="140">
                  <c:v>5/19/2020</c:v>
                </c:pt>
                <c:pt idx="141">
                  <c:v>5/20/2020</c:v>
                </c:pt>
                <c:pt idx="142">
                  <c:v>5/21/2020</c:v>
                </c:pt>
                <c:pt idx="143">
                  <c:v>5/22/2020</c:v>
                </c:pt>
                <c:pt idx="144">
                  <c:v>5/26/2020</c:v>
                </c:pt>
                <c:pt idx="145">
                  <c:v>5/27/2020</c:v>
                </c:pt>
                <c:pt idx="146">
                  <c:v>5/28/2020</c:v>
                </c:pt>
                <c:pt idx="147">
                  <c:v>5/29/2020</c:v>
                </c:pt>
                <c:pt idx="148">
                  <c:v>6/1/2020</c:v>
                </c:pt>
                <c:pt idx="149">
                  <c:v>6/2/2020</c:v>
                </c:pt>
                <c:pt idx="150">
                  <c:v>6/3/2020</c:v>
                </c:pt>
                <c:pt idx="151">
                  <c:v>6/4/2020</c:v>
                </c:pt>
                <c:pt idx="152">
                  <c:v>6/5/2020</c:v>
                </c:pt>
                <c:pt idx="153">
                  <c:v>6/8/2020</c:v>
                </c:pt>
                <c:pt idx="154">
                  <c:v>6/9/2020</c:v>
                </c:pt>
                <c:pt idx="155">
                  <c:v>6/10/2020</c:v>
                </c:pt>
                <c:pt idx="156">
                  <c:v>6/11/2020</c:v>
                </c:pt>
                <c:pt idx="157">
                  <c:v>6/12/2020</c:v>
                </c:pt>
                <c:pt idx="158">
                  <c:v>6/15/2020</c:v>
                </c:pt>
                <c:pt idx="159">
                  <c:v>6/16/2020</c:v>
                </c:pt>
                <c:pt idx="160">
                  <c:v>6/17/2020</c:v>
                </c:pt>
                <c:pt idx="161">
                  <c:v>6/18/2020</c:v>
                </c:pt>
                <c:pt idx="162">
                  <c:v>6/19/2020</c:v>
                </c:pt>
                <c:pt idx="163">
                  <c:v>6/22/2020</c:v>
                </c:pt>
                <c:pt idx="164">
                  <c:v>6/23/2020</c:v>
                </c:pt>
                <c:pt idx="165">
                  <c:v>6/24/2020</c:v>
                </c:pt>
                <c:pt idx="166">
                  <c:v>6/25/2020</c:v>
                </c:pt>
                <c:pt idx="167">
                  <c:v>6/26/2020</c:v>
                </c:pt>
                <c:pt idx="168">
                  <c:v>6/29/2020</c:v>
                </c:pt>
                <c:pt idx="169">
                  <c:v>6/30/2020</c:v>
                </c:pt>
                <c:pt idx="170">
                  <c:v>7/1/2020</c:v>
                </c:pt>
                <c:pt idx="171">
                  <c:v>7/2/2020</c:v>
                </c:pt>
                <c:pt idx="172">
                  <c:v>7/3/2020</c:v>
                </c:pt>
                <c:pt idx="173">
                  <c:v>7/6/2020</c:v>
                </c:pt>
                <c:pt idx="174">
                  <c:v>7/7/2020</c:v>
                </c:pt>
                <c:pt idx="175">
                  <c:v>7/8/2020</c:v>
                </c:pt>
                <c:pt idx="176">
                  <c:v>7/9/2020</c:v>
                </c:pt>
                <c:pt idx="177">
                  <c:v>7/10/2020</c:v>
                </c:pt>
                <c:pt idx="178">
                  <c:v>7/13/2020</c:v>
                </c:pt>
                <c:pt idx="179">
                  <c:v>7/14/2020</c:v>
                </c:pt>
                <c:pt idx="180">
                  <c:v>7/15/2020</c:v>
                </c:pt>
                <c:pt idx="181">
                  <c:v>7/16/2020</c:v>
                </c:pt>
                <c:pt idx="182">
                  <c:v>7/17/2020</c:v>
                </c:pt>
                <c:pt idx="183">
                  <c:v>7/20/2020</c:v>
                </c:pt>
                <c:pt idx="184">
                  <c:v>7/21/2020</c:v>
                </c:pt>
                <c:pt idx="185">
                  <c:v>7/22/2020</c:v>
                </c:pt>
                <c:pt idx="186">
                  <c:v>7/23/2020</c:v>
                </c:pt>
                <c:pt idx="187">
                  <c:v>7/24/2020</c:v>
                </c:pt>
                <c:pt idx="188">
                  <c:v>7/27/2020</c:v>
                </c:pt>
                <c:pt idx="189">
                  <c:v>7/28/2020</c:v>
                </c:pt>
                <c:pt idx="190">
                  <c:v>7/29/2020</c:v>
                </c:pt>
                <c:pt idx="191">
                  <c:v>7/30/2020</c:v>
                </c:pt>
                <c:pt idx="192">
                  <c:v>7/31/2020</c:v>
                </c:pt>
                <c:pt idx="193">
                  <c:v>8/3/2020</c:v>
                </c:pt>
                <c:pt idx="194">
                  <c:v>8/4/2020</c:v>
                </c:pt>
                <c:pt idx="195">
                  <c:v>8/5/2020</c:v>
                </c:pt>
                <c:pt idx="196">
                  <c:v>8/6/2020</c:v>
                </c:pt>
                <c:pt idx="197">
                  <c:v>8/7/2020</c:v>
                </c:pt>
                <c:pt idx="198">
                  <c:v>8/10/2020</c:v>
                </c:pt>
                <c:pt idx="199">
                  <c:v>8/11/2020</c:v>
                </c:pt>
                <c:pt idx="200">
                  <c:v>8/12/2020</c:v>
                </c:pt>
                <c:pt idx="201">
                  <c:v>8/13/2020</c:v>
                </c:pt>
                <c:pt idx="202">
                  <c:v>8/14/2020</c:v>
                </c:pt>
                <c:pt idx="203">
                  <c:v>8/17/2020</c:v>
                </c:pt>
                <c:pt idx="204">
                  <c:v>8/18/2020</c:v>
                </c:pt>
                <c:pt idx="205">
                  <c:v>8/19/2020</c:v>
                </c:pt>
                <c:pt idx="206">
                  <c:v>8/20/2020</c:v>
                </c:pt>
                <c:pt idx="207">
                  <c:v>8/21/2020</c:v>
                </c:pt>
                <c:pt idx="208">
                  <c:v>8/24/2020</c:v>
                </c:pt>
                <c:pt idx="209">
                  <c:v>8/25/2020</c:v>
                </c:pt>
                <c:pt idx="210">
                  <c:v>8/26/2020</c:v>
                </c:pt>
                <c:pt idx="211">
                  <c:v>8/27/2020</c:v>
                </c:pt>
                <c:pt idx="212">
                  <c:v>8/28/2020</c:v>
                </c:pt>
                <c:pt idx="213">
                  <c:v>8/31/2020</c:v>
                </c:pt>
                <c:pt idx="214">
                  <c:v>9/1/2020</c:v>
                </c:pt>
                <c:pt idx="215">
                  <c:v>9/2/2020</c:v>
                </c:pt>
                <c:pt idx="216">
                  <c:v>9/3/2020</c:v>
                </c:pt>
                <c:pt idx="217">
                  <c:v>9/4/2020</c:v>
                </c:pt>
                <c:pt idx="218">
                  <c:v>9/7/2020</c:v>
                </c:pt>
                <c:pt idx="219">
                  <c:v>9/8/2020</c:v>
                </c:pt>
                <c:pt idx="220">
                  <c:v>9/9/2020</c:v>
                </c:pt>
                <c:pt idx="221">
                  <c:v>9/10/2020</c:v>
                </c:pt>
                <c:pt idx="222">
                  <c:v>9/11/2020</c:v>
                </c:pt>
                <c:pt idx="223">
                  <c:v>9/14/2020</c:v>
                </c:pt>
                <c:pt idx="224">
                  <c:v>9/15/2020</c:v>
                </c:pt>
                <c:pt idx="225">
                  <c:v>9/16/2020</c:v>
                </c:pt>
                <c:pt idx="226">
                  <c:v>9/17/2020</c:v>
                </c:pt>
                <c:pt idx="227">
                  <c:v>9/18/2020</c:v>
                </c:pt>
                <c:pt idx="228">
                  <c:v>9/21/2020</c:v>
                </c:pt>
                <c:pt idx="229">
                  <c:v>9/22/2020</c:v>
                </c:pt>
                <c:pt idx="230">
                  <c:v>9/23/2020</c:v>
                </c:pt>
                <c:pt idx="231">
                  <c:v>9/24/2020</c:v>
                </c:pt>
                <c:pt idx="232">
                  <c:v>9/25/2020</c:v>
                </c:pt>
                <c:pt idx="233">
                  <c:v>9/28/2020</c:v>
                </c:pt>
                <c:pt idx="234">
                  <c:v>9/29/2020</c:v>
                </c:pt>
                <c:pt idx="235">
                  <c:v>9/30/2020</c:v>
                </c:pt>
                <c:pt idx="236">
                  <c:v>10/1/2020</c:v>
                </c:pt>
                <c:pt idx="237">
                  <c:v>10/2/2020</c:v>
                </c:pt>
                <c:pt idx="238">
                  <c:v>10/5/2020</c:v>
                </c:pt>
                <c:pt idx="239">
                  <c:v>10/6/2020</c:v>
                </c:pt>
                <c:pt idx="240">
                  <c:v>10/7/2020</c:v>
                </c:pt>
                <c:pt idx="241">
                  <c:v>10/8/2020</c:v>
                </c:pt>
                <c:pt idx="242">
                  <c:v>10/9/2020</c:v>
                </c:pt>
                <c:pt idx="243">
                  <c:v>10/12/2020</c:v>
                </c:pt>
                <c:pt idx="244">
                  <c:v>10/13/2020</c:v>
                </c:pt>
                <c:pt idx="245">
                  <c:v>10/14/2020</c:v>
                </c:pt>
                <c:pt idx="246">
                  <c:v>10/15/2020</c:v>
                </c:pt>
                <c:pt idx="247">
                  <c:v>10/16/2020</c:v>
                </c:pt>
                <c:pt idx="248">
                  <c:v>10/19/2020</c:v>
                </c:pt>
                <c:pt idx="249">
                  <c:v>10/20/2020</c:v>
                </c:pt>
                <c:pt idx="250">
                  <c:v>10/21/2020</c:v>
                </c:pt>
                <c:pt idx="251">
                  <c:v>10/22/2020</c:v>
                </c:pt>
                <c:pt idx="252">
                  <c:v>10/23/2020</c:v>
                </c:pt>
                <c:pt idx="253">
                  <c:v>10/26/2020</c:v>
                </c:pt>
                <c:pt idx="254">
                  <c:v>10/27/2020</c:v>
                </c:pt>
                <c:pt idx="255">
                  <c:v>10/28/2020</c:v>
                </c:pt>
                <c:pt idx="256">
                  <c:v>10/29/2020</c:v>
                </c:pt>
                <c:pt idx="257">
                  <c:v>10/30/2020</c:v>
                </c:pt>
                <c:pt idx="258">
                  <c:v>11/2/2020</c:v>
                </c:pt>
                <c:pt idx="259">
                  <c:v>11/3/2020</c:v>
                </c:pt>
                <c:pt idx="260">
                  <c:v>11/4/2020</c:v>
                </c:pt>
                <c:pt idx="261">
                  <c:v>11/5/2020</c:v>
                </c:pt>
                <c:pt idx="262">
                  <c:v>11/6/2020</c:v>
                </c:pt>
                <c:pt idx="263">
                  <c:v>11/9/2020</c:v>
                </c:pt>
                <c:pt idx="264">
                  <c:v>11/10/2020</c:v>
                </c:pt>
                <c:pt idx="265">
                  <c:v>11/11/2020</c:v>
                </c:pt>
                <c:pt idx="266">
                  <c:v>11/12/2020</c:v>
                </c:pt>
                <c:pt idx="267">
                  <c:v>11/13/2020</c:v>
                </c:pt>
                <c:pt idx="268">
                  <c:v>11/16/2020</c:v>
                </c:pt>
                <c:pt idx="269">
                  <c:v>11/17/2020</c:v>
                </c:pt>
                <c:pt idx="270">
                  <c:v>11/18/2020</c:v>
                </c:pt>
                <c:pt idx="271">
                  <c:v>11/19/2020</c:v>
                </c:pt>
                <c:pt idx="272">
                  <c:v>11/20/2020</c:v>
                </c:pt>
                <c:pt idx="273">
                  <c:v>11/23/2020</c:v>
                </c:pt>
                <c:pt idx="274">
                  <c:v>11/24/2020</c:v>
                </c:pt>
                <c:pt idx="275">
                  <c:v>11/25/2020</c:v>
                </c:pt>
                <c:pt idx="276">
                  <c:v>11/26/2020</c:v>
                </c:pt>
                <c:pt idx="277">
                  <c:v>11/27/2020</c:v>
                </c:pt>
                <c:pt idx="278">
                  <c:v>11/30/2020</c:v>
                </c:pt>
                <c:pt idx="279">
                  <c:v>12/1/2020</c:v>
                </c:pt>
                <c:pt idx="280">
                  <c:v>12/2/2020</c:v>
                </c:pt>
                <c:pt idx="281">
                  <c:v>12/3/2020</c:v>
                </c:pt>
                <c:pt idx="282">
                  <c:v>12/4/2020</c:v>
                </c:pt>
                <c:pt idx="283">
                  <c:v>12/7/2020</c:v>
                </c:pt>
                <c:pt idx="284">
                  <c:v>12/8/2020</c:v>
                </c:pt>
                <c:pt idx="285">
                  <c:v>12/9/2020</c:v>
                </c:pt>
                <c:pt idx="286">
                  <c:v>12/10/2020</c:v>
                </c:pt>
                <c:pt idx="287">
                  <c:v>12/11/2020</c:v>
                </c:pt>
                <c:pt idx="288">
                  <c:v>12/14/2020</c:v>
                </c:pt>
                <c:pt idx="289">
                  <c:v>12/15/2020</c:v>
                </c:pt>
                <c:pt idx="290">
                  <c:v>12/16/2020</c:v>
                </c:pt>
                <c:pt idx="291">
                  <c:v>12/17/2020</c:v>
                </c:pt>
                <c:pt idx="292">
                  <c:v>12/18/2020</c:v>
                </c:pt>
                <c:pt idx="293">
                  <c:v>12/21/2020</c:v>
                </c:pt>
                <c:pt idx="294">
                  <c:v>12/22/2020</c:v>
                </c:pt>
                <c:pt idx="295">
                  <c:v>12/23/2020</c:v>
                </c:pt>
                <c:pt idx="296">
                  <c:v>12/24/2020</c:v>
                </c:pt>
                <c:pt idx="297">
                  <c:v>12/28/2020</c:v>
                </c:pt>
                <c:pt idx="298">
                  <c:v>12/29/2020</c:v>
                </c:pt>
                <c:pt idx="299">
                  <c:v>12/30/2020</c:v>
                </c:pt>
                <c:pt idx="300">
                  <c:v>12/31/2020</c:v>
                </c:pt>
                <c:pt idx="301">
                  <c:v>1/4/2021</c:v>
                </c:pt>
                <c:pt idx="302">
                  <c:v>1/5/2021</c:v>
                </c:pt>
                <c:pt idx="303">
                  <c:v>1/6/2021</c:v>
                </c:pt>
                <c:pt idx="304">
                  <c:v>1/7/2021</c:v>
                </c:pt>
                <c:pt idx="305">
                  <c:v>1/8/2021</c:v>
                </c:pt>
                <c:pt idx="306">
                  <c:v>1/11/2021</c:v>
                </c:pt>
                <c:pt idx="307">
                  <c:v>1/12/2021</c:v>
                </c:pt>
                <c:pt idx="308">
                  <c:v>1/13/2021</c:v>
                </c:pt>
                <c:pt idx="309">
                  <c:v>1/14/2021</c:v>
                </c:pt>
                <c:pt idx="310">
                  <c:v>1/15/2021</c:v>
                </c:pt>
                <c:pt idx="311">
                  <c:v>1/18/2021</c:v>
                </c:pt>
                <c:pt idx="312">
                  <c:v>1/19/2021</c:v>
                </c:pt>
                <c:pt idx="313">
                  <c:v>1/20/2021</c:v>
                </c:pt>
                <c:pt idx="314">
                  <c:v>1/21/2021</c:v>
                </c:pt>
                <c:pt idx="315">
                  <c:v>1/22/2021</c:v>
                </c:pt>
                <c:pt idx="316">
                  <c:v>1/25/2021</c:v>
                </c:pt>
                <c:pt idx="317">
                  <c:v>1/26/2021</c:v>
                </c:pt>
                <c:pt idx="318">
                  <c:v>1/27/2021</c:v>
                </c:pt>
                <c:pt idx="319">
                  <c:v>1/28/2021</c:v>
                </c:pt>
                <c:pt idx="320">
                  <c:v>1/29/2021</c:v>
                </c:pt>
                <c:pt idx="321">
                  <c:v>2/1/2021</c:v>
                </c:pt>
                <c:pt idx="322">
                  <c:v>2/2/2021</c:v>
                </c:pt>
                <c:pt idx="323">
                  <c:v>2/3/2021</c:v>
                </c:pt>
                <c:pt idx="324">
                  <c:v>2/4/2021</c:v>
                </c:pt>
                <c:pt idx="325">
                  <c:v>2/5/2021</c:v>
                </c:pt>
                <c:pt idx="326">
                  <c:v>2/8/2021</c:v>
                </c:pt>
                <c:pt idx="327">
                  <c:v>2/9/2021</c:v>
                </c:pt>
                <c:pt idx="328">
                  <c:v>2/10/2021</c:v>
                </c:pt>
                <c:pt idx="329">
                  <c:v>2/11/2021</c:v>
                </c:pt>
                <c:pt idx="330">
                  <c:v>2/12/2021</c:v>
                </c:pt>
                <c:pt idx="331">
                  <c:v>2/15/2021</c:v>
                </c:pt>
                <c:pt idx="332">
                  <c:v>2/16/2021</c:v>
                </c:pt>
                <c:pt idx="333">
                  <c:v>2/17/2021</c:v>
                </c:pt>
                <c:pt idx="334">
                  <c:v>2/18/2021</c:v>
                </c:pt>
                <c:pt idx="335">
                  <c:v>2/19/2021</c:v>
                </c:pt>
                <c:pt idx="336">
                  <c:v>2/22/2021</c:v>
                </c:pt>
                <c:pt idx="337">
                  <c:v>2/23/2021</c:v>
                </c:pt>
                <c:pt idx="338">
                  <c:v>2/24/2021</c:v>
                </c:pt>
                <c:pt idx="339">
                  <c:v>2/25/2021</c:v>
                </c:pt>
                <c:pt idx="340">
                  <c:v>2/26/2021</c:v>
                </c:pt>
                <c:pt idx="341">
                  <c:v>3/1/2021</c:v>
                </c:pt>
                <c:pt idx="342">
                  <c:v>3/2/2021</c:v>
                </c:pt>
                <c:pt idx="343">
                  <c:v>3/3/2021</c:v>
                </c:pt>
                <c:pt idx="344">
                  <c:v>3/4/2021</c:v>
                </c:pt>
                <c:pt idx="345">
                  <c:v>3/5/2021</c:v>
                </c:pt>
                <c:pt idx="346">
                  <c:v>3/8/2021</c:v>
                </c:pt>
                <c:pt idx="347">
                  <c:v>3/9/2021</c:v>
                </c:pt>
                <c:pt idx="348">
                  <c:v>3/10/2021</c:v>
                </c:pt>
                <c:pt idx="349">
                  <c:v>3/11/2021</c:v>
                </c:pt>
                <c:pt idx="350">
                  <c:v>3/12/2021</c:v>
                </c:pt>
                <c:pt idx="351">
                  <c:v>3/15/2021</c:v>
                </c:pt>
                <c:pt idx="352">
                  <c:v>3/16/2021</c:v>
                </c:pt>
                <c:pt idx="353">
                  <c:v>3/17/2021</c:v>
                </c:pt>
                <c:pt idx="354">
                  <c:v>3/18/2021</c:v>
                </c:pt>
                <c:pt idx="355">
                  <c:v>3/19/2021</c:v>
                </c:pt>
                <c:pt idx="356">
                  <c:v>3/22/2021</c:v>
                </c:pt>
                <c:pt idx="357">
                  <c:v>3/23/2021</c:v>
                </c:pt>
                <c:pt idx="358">
                  <c:v>3/24/2021</c:v>
                </c:pt>
                <c:pt idx="359">
                  <c:v>3/25/2021</c:v>
                </c:pt>
                <c:pt idx="360">
                  <c:v>3/26/2021</c:v>
                </c:pt>
                <c:pt idx="361">
                  <c:v>3/29/2021</c:v>
                </c:pt>
                <c:pt idx="362">
                  <c:v>3/30/2021</c:v>
                </c:pt>
                <c:pt idx="363">
                  <c:v>3/31/2021</c:v>
                </c:pt>
                <c:pt idx="364">
                  <c:v>4/1/2021</c:v>
                </c:pt>
                <c:pt idx="365">
                  <c:v>4/5/2021</c:v>
                </c:pt>
                <c:pt idx="366">
                  <c:v>4/6/2021</c:v>
                </c:pt>
                <c:pt idx="367">
                  <c:v>4/7/2021</c:v>
                </c:pt>
                <c:pt idx="368">
                  <c:v>4/8/2021</c:v>
                </c:pt>
                <c:pt idx="369">
                  <c:v>4/9/2021</c:v>
                </c:pt>
                <c:pt idx="370">
                  <c:v>4/12/2021</c:v>
                </c:pt>
                <c:pt idx="371">
                  <c:v>4/13/2021</c:v>
                </c:pt>
                <c:pt idx="372">
                  <c:v>4/14/2021</c:v>
                </c:pt>
                <c:pt idx="373">
                  <c:v>4/15/2021</c:v>
                </c:pt>
                <c:pt idx="374">
                  <c:v>4/16/2021</c:v>
                </c:pt>
                <c:pt idx="375">
                  <c:v>4/19/2021</c:v>
                </c:pt>
                <c:pt idx="376">
                  <c:v>4/20/2021</c:v>
                </c:pt>
                <c:pt idx="377">
                  <c:v>4/21/2021</c:v>
                </c:pt>
                <c:pt idx="378">
                  <c:v>4/22/2021</c:v>
                </c:pt>
                <c:pt idx="379">
                  <c:v>4/23/2021</c:v>
                </c:pt>
                <c:pt idx="380">
                  <c:v>4/26/2021</c:v>
                </c:pt>
                <c:pt idx="381">
                  <c:v>4/27/2021</c:v>
                </c:pt>
                <c:pt idx="382">
                  <c:v>4/28/2021</c:v>
                </c:pt>
                <c:pt idx="383">
                  <c:v>4/29/2021</c:v>
                </c:pt>
                <c:pt idx="384">
                  <c:v>4/30/2021</c:v>
                </c:pt>
                <c:pt idx="385">
                  <c:v>5/3/2021</c:v>
                </c:pt>
                <c:pt idx="386">
                  <c:v>5/4/2021</c:v>
                </c:pt>
                <c:pt idx="387">
                  <c:v>5/5/2021</c:v>
                </c:pt>
                <c:pt idx="388">
                  <c:v>5/6/2021</c:v>
                </c:pt>
                <c:pt idx="389">
                  <c:v>5/7/2021</c:v>
                </c:pt>
                <c:pt idx="390">
                  <c:v>5/10/2021</c:v>
                </c:pt>
                <c:pt idx="391">
                  <c:v>5/11/2021</c:v>
                </c:pt>
                <c:pt idx="392">
                  <c:v>5/12/2021</c:v>
                </c:pt>
                <c:pt idx="393">
                  <c:v>5/13/2021</c:v>
                </c:pt>
                <c:pt idx="394">
                  <c:v>5/14/2021</c:v>
                </c:pt>
                <c:pt idx="395">
                  <c:v>5/17/2021</c:v>
                </c:pt>
                <c:pt idx="396">
                  <c:v>5/18/2021</c:v>
                </c:pt>
                <c:pt idx="397">
                  <c:v>5/19/2021</c:v>
                </c:pt>
                <c:pt idx="398">
                  <c:v>5/20/2021</c:v>
                </c:pt>
                <c:pt idx="399">
                  <c:v>5/21/2021</c:v>
                </c:pt>
                <c:pt idx="400">
                  <c:v>5/24/2021</c:v>
                </c:pt>
                <c:pt idx="401">
                  <c:v>5/25/2021</c:v>
                </c:pt>
                <c:pt idx="402">
                  <c:v>5/26/2021</c:v>
                </c:pt>
                <c:pt idx="403">
                  <c:v>5/27/2021</c:v>
                </c:pt>
                <c:pt idx="404">
                  <c:v>5/28/2021</c:v>
                </c:pt>
                <c:pt idx="405">
                  <c:v>5/31/2021</c:v>
                </c:pt>
                <c:pt idx="406">
                  <c:v>6/1/2021</c:v>
                </c:pt>
                <c:pt idx="407">
                  <c:v>6/2/2021</c:v>
                </c:pt>
                <c:pt idx="408">
                  <c:v>6/3/2021</c:v>
                </c:pt>
                <c:pt idx="409">
                  <c:v>6/4/2021</c:v>
                </c:pt>
                <c:pt idx="410">
                  <c:v>6/7/2021</c:v>
                </c:pt>
                <c:pt idx="411">
                  <c:v>6/8/2021</c:v>
                </c:pt>
                <c:pt idx="412">
                  <c:v>6/9/2021</c:v>
                </c:pt>
                <c:pt idx="413">
                  <c:v>6/10/2021</c:v>
                </c:pt>
                <c:pt idx="414">
                  <c:v>6/11/2021</c:v>
                </c:pt>
                <c:pt idx="415">
                  <c:v>6/14/2021</c:v>
                </c:pt>
                <c:pt idx="416">
                  <c:v>6/15/2021</c:v>
                </c:pt>
                <c:pt idx="417">
                  <c:v>6/16/2021</c:v>
                </c:pt>
                <c:pt idx="418">
                  <c:v>6/17/2021</c:v>
                </c:pt>
                <c:pt idx="419">
                  <c:v>6/18/2021</c:v>
                </c:pt>
                <c:pt idx="420">
                  <c:v>6/21/2021</c:v>
                </c:pt>
                <c:pt idx="421">
                  <c:v>6/22/2021</c:v>
                </c:pt>
                <c:pt idx="422">
                  <c:v>6/23/2021</c:v>
                </c:pt>
                <c:pt idx="423">
                  <c:v>6/24/2021</c:v>
                </c:pt>
                <c:pt idx="424">
                  <c:v>6/25/2021</c:v>
                </c:pt>
                <c:pt idx="425">
                  <c:v>6/28/2021</c:v>
                </c:pt>
                <c:pt idx="426">
                  <c:v>6/29/2021</c:v>
                </c:pt>
                <c:pt idx="427">
                  <c:v>6/30/2021</c:v>
                </c:pt>
                <c:pt idx="428">
                  <c:v>7/1/2021</c:v>
                </c:pt>
                <c:pt idx="429">
                  <c:v>7/2/2021</c:v>
                </c:pt>
                <c:pt idx="430">
                  <c:v>7/5/2021</c:v>
                </c:pt>
                <c:pt idx="431">
                  <c:v>7/6/2021</c:v>
                </c:pt>
                <c:pt idx="432">
                  <c:v>7/7/2021</c:v>
                </c:pt>
                <c:pt idx="433">
                  <c:v>7/8/2021</c:v>
                </c:pt>
                <c:pt idx="434">
                  <c:v>7/9/2021</c:v>
                </c:pt>
                <c:pt idx="435">
                  <c:v>7/12/2021</c:v>
                </c:pt>
                <c:pt idx="436">
                  <c:v>7/13/2021</c:v>
                </c:pt>
                <c:pt idx="437">
                  <c:v>7/14/2021</c:v>
                </c:pt>
                <c:pt idx="438">
                  <c:v>7/15/2021</c:v>
                </c:pt>
                <c:pt idx="439">
                  <c:v>7/16/2021</c:v>
                </c:pt>
                <c:pt idx="440">
                  <c:v>7/19/2021</c:v>
                </c:pt>
                <c:pt idx="441">
                  <c:v>7/20/2021</c:v>
                </c:pt>
                <c:pt idx="442">
                  <c:v>7/21/2021</c:v>
                </c:pt>
                <c:pt idx="443">
                  <c:v>7/22/2021</c:v>
                </c:pt>
                <c:pt idx="444">
                  <c:v>7/23/2021</c:v>
                </c:pt>
                <c:pt idx="445">
                  <c:v>7/26/2021</c:v>
                </c:pt>
                <c:pt idx="446">
                  <c:v>7/27/2021</c:v>
                </c:pt>
                <c:pt idx="447">
                  <c:v>7/28/2021</c:v>
                </c:pt>
                <c:pt idx="448">
                  <c:v>7/29/2021</c:v>
                </c:pt>
                <c:pt idx="449">
                  <c:v>7/30/2021</c:v>
                </c:pt>
                <c:pt idx="450">
                  <c:v>8/2/2021</c:v>
                </c:pt>
                <c:pt idx="451">
                  <c:v>8/3/2021</c:v>
                </c:pt>
                <c:pt idx="452">
                  <c:v>8/4/2021</c:v>
                </c:pt>
                <c:pt idx="453">
                  <c:v>8/5/2021</c:v>
                </c:pt>
                <c:pt idx="454">
                  <c:v>8/6/2021</c:v>
                </c:pt>
                <c:pt idx="455">
                  <c:v>8/9/2021</c:v>
                </c:pt>
                <c:pt idx="456">
                  <c:v>8/10/2021</c:v>
                </c:pt>
                <c:pt idx="457">
                  <c:v>8/11/2021</c:v>
                </c:pt>
                <c:pt idx="458">
                  <c:v>8/12/2021</c:v>
                </c:pt>
                <c:pt idx="459">
                  <c:v>8/13/2021</c:v>
                </c:pt>
                <c:pt idx="460">
                  <c:v>8/16/2021</c:v>
                </c:pt>
                <c:pt idx="461">
                  <c:v>8/17/2021</c:v>
                </c:pt>
                <c:pt idx="462">
                  <c:v>8/18/2021</c:v>
                </c:pt>
                <c:pt idx="463">
                  <c:v>8/19/2021</c:v>
                </c:pt>
                <c:pt idx="464">
                  <c:v>8/20/2021</c:v>
                </c:pt>
                <c:pt idx="465">
                  <c:v>8/23/2021</c:v>
                </c:pt>
                <c:pt idx="466">
                  <c:v>8/24/2021</c:v>
                </c:pt>
                <c:pt idx="467">
                  <c:v>8/25/2021</c:v>
                </c:pt>
                <c:pt idx="468">
                  <c:v>8/26/2021</c:v>
                </c:pt>
                <c:pt idx="469">
                  <c:v>8/27/2021</c:v>
                </c:pt>
                <c:pt idx="470">
                  <c:v>8/30/2021</c:v>
                </c:pt>
                <c:pt idx="471">
                  <c:v>8/31/2021</c:v>
                </c:pt>
                <c:pt idx="472">
                  <c:v>9/1/2021</c:v>
                </c:pt>
                <c:pt idx="473">
                  <c:v>9/2/2021</c:v>
                </c:pt>
                <c:pt idx="474">
                  <c:v>9/3/2021</c:v>
                </c:pt>
                <c:pt idx="475">
                  <c:v>9/6/2021</c:v>
                </c:pt>
                <c:pt idx="476">
                  <c:v>9/7/2021</c:v>
                </c:pt>
                <c:pt idx="477">
                  <c:v>9/8/2021</c:v>
                </c:pt>
                <c:pt idx="478">
                  <c:v>9/9/2021</c:v>
                </c:pt>
                <c:pt idx="479">
                  <c:v>9/10/2021</c:v>
                </c:pt>
                <c:pt idx="480">
                  <c:v>9/13/2021</c:v>
                </c:pt>
                <c:pt idx="481">
                  <c:v>9/14/2021</c:v>
                </c:pt>
                <c:pt idx="482">
                  <c:v>9/15/2021</c:v>
                </c:pt>
                <c:pt idx="483">
                  <c:v>9/16/2021</c:v>
                </c:pt>
                <c:pt idx="484">
                  <c:v>9/17/2021</c:v>
                </c:pt>
                <c:pt idx="485">
                  <c:v>9/20/2021</c:v>
                </c:pt>
                <c:pt idx="486">
                  <c:v>9/21/2021</c:v>
                </c:pt>
                <c:pt idx="487">
                  <c:v>9/22/2021</c:v>
                </c:pt>
                <c:pt idx="488">
                  <c:v>9/23/2021</c:v>
                </c:pt>
                <c:pt idx="489">
                  <c:v>9/24/2021</c:v>
                </c:pt>
                <c:pt idx="490">
                  <c:v>9/27/2021</c:v>
                </c:pt>
                <c:pt idx="491">
                  <c:v>9/28/2021</c:v>
                </c:pt>
                <c:pt idx="492">
                  <c:v>9/29/2021</c:v>
                </c:pt>
                <c:pt idx="493">
                  <c:v>9/30/2021</c:v>
                </c:pt>
                <c:pt idx="494">
                  <c:v>10/1/2021</c:v>
                </c:pt>
                <c:pt idx="495">
                  <c:v>10/4/2021</c:v>
                </c:pt>
                <c:pt idx="496">
                  <c:v>10/5/2021</c:v>
                </c:pt>
                <c:pt idx="497">
                  <c:v>10/6/2021</c:v>
                </c:pt>
                <c:pt idx="498">
                  <c:v>10/7/2021</c:v>
                </c:pt>
                <c:pt idx="499">
                  <c:v>10/8/2021</c:v>
                </c:pt>
                <c:pt idx="500">
                  <c:v>10/11/2021</c:v>
                </c:pt>
                <c:pt idx="501">
                  <c:v>10/12/2021</c:v>
                </c:pt>
                <c:pt idx="502">
                  <c:v>10/13/2021</c:v>
                </c:pt>
                <c:pt idx="503">
                  <c:v>10/14/2021</c:v>
                </c:pt>
                <c:pt idx="504">
                  <c:v>10/15/2021</c:v>
                </c:pt>
                <c:pt idx="505">
                  <c:v>10/18/2021</c:v>
                </c:pt>
                <c:pt idx="506">
                  <c:v>10/19/2021</c:v>
                </c:pt>
                <c:pt idx="507">
                  <c:v>10/20/2021</c:v>
                </c:pt>
                <c:pt idx="508">
                  <c:v>10/21/2021</c:v>
                </c:pt>
                <c:pt idx="509">
                  <c:v>10/22/2021</c:v>
                </c:pt>
                <c:pt idx="510">
                  <c:v>10/25/2021</c:v>
                </c:pt>
                <c:pt idx="511">
                  <c:v>10/26/2021</c:v>
                </c:pt>
                <c:pt idx="512">
                  <c:v>10/27/2021</c:v>
                </c:pt>
                <c:pt idx="513">
                  <c:v>10/28/2021</c:v>
                </c:pt>
                <c:pt idx="514">
                  <c:v>10/29/2021</c:v>
                </c:pt>
                <c:pt idx="515">
                  <c:v>11/1/2021</c:v>
                </c:pt>
                <c:pt idx="516">
                  <c:v>11/2/2021</c:v>
                </c:pt>
                <c:pt idx="517">
                  <c:v>11/3/2021</c:v>
                </c:pt>
                <c:pt idx="518">
                  <c:v>11/4/2021</c:v>
                </c:pt>
                <c:pt idx="519">
                  <c:v>11/5/2021</c:v>
                </c:pt>
                <c:pt idx="520">
                  <c:v>11/8/2021</c:v>
                </c:pt>
                <c:pt idx="521">
                  <c:v>11/9/2021</c:v>
                </c:pt>
                <c:pt idx="522">
                  <c:v>11/10/2021</c:v>
                </c:pt>
                <c:pt idx="523">
                  <c:v>11/11/2021</c:v>
                </c:pt>
                <c:pt idx="524">
                  <c:v>11/12/2021</c:v>
                </c:pt>
                <c:pt idx="525">
                  <c:v>11/15/2021</c:v>
                </c:pt>
                <c:pt idx="526">
                  <c:v>11/16/2021</c:v>
                </c:pt>
                <c:pt idx="527">
                  <c:v>11/17/2021</c:v>
                </c:pt>
                <c:pt idx="528">
                  <c:v>11/18/2021</c:v>
                </c:pt>
                <c:pt idx="529">
                  <c:v>11/19/2021</c:v>
                </c:pt>
                <c:pt idx="530">
                  <c:v>11/22/2021</c:v>
                </c:pt>
                <c:pt idx="531">
                  <c:v>11/23/2021</c:v>
                </c:pt>
                <c:pt idx="532">
                  <c:v>11/24/2021</c:v>
                </c:pt>
                <c:pt idx="533">
                  <c:v>11/25/2021</c:v>
                </c:pt>
                <c:pt idx="534">
                  <c:v>11/26/2021</c:v>
                </c:pt>
                <c:pt idx="535">
                  <c:v>11/29/2021</c:v>
                </c:pt>
                <c:pt idx="536">
                  <c:v>11/30/2021</c:v>
                </c:pt>
                <c:pt idx="537">
                  <c:v>12/1/2021</c:v>
                </c:pt>
                <c:pt idx="538">
                  <c:v>12/2/2021</c:v>
                </c:pt>
                <c:pt idx="539">
                  <c:v>12/3/2021</c:v>
                </c:pt>
                <c:pt idx="540">
                  <c:v>12/6/2021</c:v>
                </c:pt>
                <c:pt idx="541">
                  <c:v>12/7/2021</c:v>
                </c:pt>
                <c:pt idx="542">
                  <c:v>12/8/2021</c:v>
                </c:pt>
                <c:pt idx="543">
                  <c:v>12/9/2021</c:v>
                </c:pt>
                <c:pt idx="544">
                  <c:v>12/10/2021</c:v>
                </c:pt>
                <c:pt idx="545">
                  <c:v>12/13/2021</c:v>
                </c:pt>
                <c:pt idx="546">
                  <c:v>12/14/2021</c:v>
                </c:pt>
                <c:pt idx="547">
                  <c:v>12/15/2021</c:v>
                </c:pt>
                <c:pt idx="548">
                  <c:v>12/16/2021</c:v>
                </c:pt>
                <c:pt idx="549">
                  <c:v>12/17/2021</c:v>
                </c:pt>
                <c:pt idx="550">
                  <c:v>12/20/2021</c:v>
                </c:pt>
                <c:pt idx="551">
                  <c:v>12/21/2021</c:v>
                </c:pt>
                <c:pt idx="552">
                  <c:v>12/22/2021</c:v>
                </c:pt>
                <c:pt idx="553">
                  <c:v>12/23/2021</c:v>
                </c:pt>
                <c:pt idx="554">
                  <c:v>12/24/2021</c:v>
                </c:pt>
                <c:pt idx="555">
                  <c:v>12/27/2021</c:v>
                </c:pt>
                <c:pt idx="556">
                  <c:v>12/28/2021</c:v>
                </c:pt>
                <c:pt idx="557">
                  <c:v>12/29/2021</c:v>
                </c:pt>
                <c:pt idx="558">
                  <c:v>12/30/2021</c:v>
                </c:pt>
                <c:pt idx="559">
                  <c:v>12/31/2021</c:v>
                </c:pt>
                <c:pt idx="560">
                  <c:v>1/3/2022</c:v>
                </c:pt>
                <c:pt idx="561">
                  <c:v>1/4/2022</c:v>
                </c:pt>
                <c:pt idx="562">
                  <c:v>1/5/2022</c:v>
                </c:pt>
                <c:pt idx="563">
                  <c:v>1/6/2022</c:v>
                </c:pt>
                <c:pt idx="564">
                  <c:v>1/7/2022</c:v>
                </c:pt>
                <c:pt idx="565">
                  <c:v>1/10/2022</c:v>
                </c:pt>
                <c:pt idx="566">
                  <c:v>1/11/2022</c:v>
                </c:pt>
                <c:pt idx="567">
                  <c:v>1/12/2022</c:v>
                </c:pt>
                <c:pt idx="568">
                  <c:v>1/13/2022</c:v>
                </c:pt>
                <c:pt idx="569">
                  <c:v>1/14/2022</c:v>
                </c:pt>
                <c:pt idx="570">
                  <c:v>1/17/2022</c:v>
                </c:pt>
                <c:pt idx="571">
                  <c:v>1/18/2022</c:v>
                </c:pt>
                <c:pt idx="572">
                  <c:v>1/19/2022</c:v>
                </c:pt>
                <c:pt idx="573">
                  <c:v>1/20/2022</c:v>
                </c:pt>
                <c:pt idx="574">
                  <c:v>1/21/2022</c:v>
                </c:pt>
                <c:pt idx="575">
                  <c:v>1/24/2022</c:v>
                </c:pt>
                <c:pt idx="576">
                  <c:v>1/25/2022</c:v>
                </c:pt>
                <c:pt idx="577">
                  <c:v>1/26/2022</c:v>
                </c:pt>
                <c:pt idx="578">
                  <c:v>1/27/2022</c:v>
                </c:pt>
                <c:pt idx="579">
                  <c:v>1/28/2022</c:v>
                </c:pt>
                <c:pt idx="580">
                  <c:v>1/31/2022</c:v>
                </c:pt>
                <c:pt idx="581">
                  <c:v>2/1/2022</c:v>
                </c:pt>
                <c:pt idx="582">
                  <c:v>2/2/2022</c:v>
                </c:pt>
                <c:pt idx="583">
                  <c:v>2/3/2022</c:v>
                </c:pt>
                <c:pt idx="584">
                  <c:v>2/4/2022</c:v>
                </c:pt>
                <c:pt idx="585">
                  <c:v>2/7/2022</c:v>
                </c:pt>
                <c:pt idx="586">
                  <c:v>2/8/2022</c:v>
                </c:pt>
                <c:pt idx="587">
                  <c:v>2/9/2022</c:v>
                </c:pt>
                <c:pt idx="588">
                  <c:v>2/10/2022</c:v>
                </c:pt>
                <c:pt idx="589">
                  <c:v>2/11/2022</c:v>
                </c:pt>
                <c:pt idx="590">
                  <c:v>2/14/2022</c:v>
                </c:pt>
                <c:pt idx="591">
                  <c:v>2/15/2022</c:v>
                </c:pt>
                <c:pt idx="592">
                  <c:v>2/16/2022</c:v>
                </c:pt>
                <c:pt idx="593">
                  <c:v>2/17/2022</c:v>
                </c:pt>
                <c:pt idx="594">
                  <c:v>2/18/2022</c:v>
                </c:pt>
                <c:pt idx="595">
                  <c:v>2/21/2022</c:v>
                </c:pt>
                <c:pt idx="596">
                  <c:v>2/22/2022</c:v>
                </c:pt>
                <c:pt idx="597">
                  <c:v>2/23/2022</c:v>
                </c:pt>
                <c:pt idx="598">
                  <c:v>2/24/2022</c:v>
                </c:pt>
                <c:pt idx="599">
                  <c:v>2/25/2022</c:v>
                </c:pt>
                <c:pt idx="600">
                  <c:v>2/28/2022</c:v>
                </c:pt>
                <c:pt idx="601">
                  <c:v>3/1/2022</c:v>
                </c:pt>
                <c:pt idx="602">
                  <c:v>3/2/2022</c:v>
                </c:pt>
                <c:pt idx="603">
                  <c:v>3/3/2022</c:v>
                </c:pt>
                <c:pt idx="604">
                  <c:v>3/4/2022</c:v>
                </c:pt>
                <c:pt idx="605">
                  <c:v>3/7/2022</c:v>
                </c:pt>
                <c:pt idx="606">
                  <c:v>3/8/2022</c:v>
                </c:pt>
                <c:pt idx="607">
                  <c:v>3/9/2022</c:v>
                </c:pt>
                <c:pt idx="608">
                  <c:v>3/10/2022</c:v>
                </c:pt>
                <c:pt idx="609">
                  <c:v>3/11/2022</c:v>
                </c:pt>
                <c:pt idx="610">
                  <c:v>3/14/2022</c:v>
                </c:pt>
                <c:pt idx="611">
                  <c:v>3/15/2022</c:v>
                </c:pt>
                <c:pt idx="612">
                  <c:v>3/16/2022</c:v>
                </c:pt>
                <c:pt idx="613">
                  <c:v>3/17/2022</c:v>
                </c:pt>
                <c:pt idx="614">
                  <c:v>3/18/2022</c:v>
                </c:pt>
                <c:pt idx="615">
                  <c:v>3/21/2022</c:v>
                </c:pt>
                <c:pt idx="616">
                  <c:v>3/22/2022</c:v>
                </c:pt>
                <c:pt idx="617">
                  <c:v>3/23/2022</c:v>
                </c:pt>
                <c:pt idx="618">
                  <c:v>3/24/2022</c:v>
                </c:pt>
                <c:pt idx="619">
                  <c:v>3/25/2022</c:v>
                </c:pt>
                <c:pt idx="620">
                  <c:v>3/28/2022</c:v>
                </c:pt>
                <c:pt idx="621">
                  <c:v>3/29/2022</c:v>
                </c:pt>
                <c:pt idx="622">
                  <c:v>3/30/2022</c:v>
                </c:pt>
                <c:pt idx="623">
                  <c:v>3/31/2022</c:v>
                </c:pt>
                <c:pt idx="624">
                  <c:v>4/1/2022</c:v>
                </c:pt>
                <c:pt idx="625">
                  <c:v>4/4/2022</c:v>
                </c:pt>
                <c:pt idx="626">
                  <c:v>4/5/2022</c:v>
                </c:pt>
                <c:pt idx="627">
                  <c:v>4/6/2022</c:v>
                </c:pt>
                <c:pt idx="628">
                  <c:v>4/7/2022</c:v>
                </c:pt>
                <c:pt idx="629">
                  <c:v>4/8/2022</c:v>
                </c:pt>
                <c:pt idx="630">
                  <c:v>4/11/2022</c:v>
                </c:pt>
                <c:pt idx="631">
                  <c:v>4/12/2022</c:v>
                </c:pt>
                <c:pt idx="632">
                  <c:v>4/13/2022</c:v>
                </c:pt>
                <c:pt idx="633">
                  <c:v>4/14/2022</c:v>
                </c:pt>
                <c:pt idx="634">
                  <c:v>4/18/2022</c:v>
                </c:pt>
                <c:pt idx="635">
                  <c:v>4/19/2022</c:v>
                </c:pt>
                <c:pt idx="636">
                  <c:v>4/20/2022</c:v>
                </c:pt>
                <c:pt idx="637">
                  <c:v>4/21/2022</c:v>
                </c:pt>
                <c:pt idx="638">
                  <c:v>4/22/2022</c:v>
                </c:pt>
                <c:pt idx="639">
                  <c:v>4/25/2022</c:v>
                </c:pt>
                <c:pt idx="640">
                  <c:v>4/26/2022</c:v>
                </c:pt>
                <c:pt idx="641">
                  <c:v>4/27/2022</c:v>
                </c:pt>
                <c:pt idx="642">
                  <c:v>4/28/2022</c:v>
                </c:pt>
                <c:pt idx="643">
                  <c:v>4/29/2022</c:v>
                </c:pt>
                <c:pt idx="644">
                  <c:v>5/2/2022</c:v>
                </c:pt>
                <c:pt idx="645">
                  <c:v>5/3/2022</c:v>
                </c:pt>
                <c:pt idx="646">
                  <c:v>5/4/2022</c:v>
                </c:pt>
                <c:pt idx="647">
                  <c:v>5/5/2022</c:v>
                </c:pt>
                <c:pt idx="648">
                  <c:v>5/6/2022</c:v>
                </c:pt>
                <c:pt idx="649">
                  <c:v>5/9/2022</c:v>
                </c:pt>
                <c:pt idx="650">
                  <c:v>5/10/2022</c:v>
                </c:pt>
                <c:pt idx="651">
                  <c:v>5/11/2022</c:v>
                </c:pt>
                <c:pt idx="652">
                  <c:v>5/12/2022</c:v>
                </c:pt>
                <c:pt idx="653">
                  <c:v>5/13/2022</c:v>
                </c:pt>
                <c:pt idx="654">
                  <c:v>5/16/2022</c:v>
                </c:pt>
                <c:pt idx="655">
                  <c:v>5/17/2022</c:v>
                </c:pt>
                <c:pt idx="656">
                  <c:v>5/18/2022</c:v>
                </c:pt>
                <c:pt idx="657">
                  <c:v>5/19/2022</c:v>
                </c:pt>
                <c:pt idx="658">
                  <c:v>5/20/2022</c:v>
                </c:pt>
                <c:pt idx="659">
                  <c:v>5/23/2022</c:v>
                </c:pt>
                <c:pt idx="660">
                  <c:v>5/24/2022</c:v>
                </c:pt>
                <c:pt idx="661">
                  <c:v>5/25/2022</c:v>
                </c:pt>
                <c:pt idx="662">
                  <c:v>5/26/2022</c:v>
                </c:pt>
                <c:pt idx="663">
                  <c:v>5/27/2022</c:v>
                </c:pt>
                <c:pt idx="664">
                  <c:v>5/30/2022</c:v>
                </c:pt>
                <c:pt idx="665">
                  <c:v>5/31/2022</c:v>
                </c:pt>
                <c:pt idx="666">
                  <c:v>6/1/2022</c:v>
                </c:pt>
                <c:pt idx="667">
                  <c:v>6/2/2022</c:v>
                </c:pt>
                <c:pt idx="668">
                  <c:v>6/3/2022</c:v>
                </c:pt>
                <c:pt idx="669">
                  <c:v>6/6/2022</c:v>
                </c:pt>
                <c:pt idx="670">
                  <c:v>6/7/2022</c:v>
                </c:pt>
                <c:pt idx="671">
                  <c:v>6/8/2022</c:v>
                </c:pt>
                <c:pt idx="672">
                  <c:v>6/9/2022</c:v>
                </c:pt>
                <c:pt idx="673">
                  <c:v>6/10/2022</c:v>
                </c:pt>
                <c:pt idx="674">
                  <c:v>6/13/2022</c:v>
                </c:pt>
                <c:pt idx="675">
                  <c:v>6/14/2022</c:v>
                </c:pt>
                <c:pt idx="676">
                  <c:v>6/15/2022</c:v>
                </c:pt>
                <c:pt idx="677">
                  <c:v>6/16/2022</c:v>
                </c:pt>
                <c:pt idx="678">
                  <c:v>6/17/2022</c:v>
                </c:pt>
                <c:pt idx="679">
                  <c:v>6/21/2022</c:v>
                </c:pt>
                <c:pt idx="680">
                  <c:v>6/22/2022</c:v>
                </c:pt>
                <c:pt idx="681">
                  <c:v>6/23/2022</c:v>
                </c:pt>
                <c:pt idx="682">
                  <c:v>6/24/2022</c:v>
                </c:pt>
                <c:pt idx="683">
                  <c:v>6/27/2022</c:v>
                </c:pt>
              </c:strCache>
            </c:strRef>
          </c:cat>
          <c:val>
            <c:numRef>
              <c:f>'Cheapest crude price'!$E$4:$E$687</c:f>
              <c:numCache>
                <c:formatCode>"$"#,##0.00</c:formatCode>
                <c:ptCount val="684"/>
                <c:pt idx="168">
                  <c:v>2.1</c:v>
                </c:pt>
                <c:pt idx="210">
                  <c:v>1.9947599999999999</c:v>
                </c:pt>
                <c:pt idx="235">
                  <c:v>2.1491600000000002</c:v>
                </c:pt>
                <c:pt idx="261">
                  <c:v>1.89025</c:v>
                </c:pt>
                <c:pt idx="286">
                  <c:v>2.0043099999999998</c:v>
                </c:pt>
                <c:pt idx="311">
                  <c:v>2.0738999999999996</c:v>
                </c:pt>
                <c:pt idx="336">
                  <c:v>1.9519999999999997</c:v>
                </c:pt>
                <c:pt idx="361">
                  <c:v>1.93</c:v>
                </c:pt>
                <c:pt idx="386">
                  <c:v>1.7336999999999998</c:v>
                </c:pt>
                <c:pt idx="410">
                  <c:v>2.83</c:v>
                </c:pt>
                <c:pt idx="412">
                  <c:v>2.9</c:v>
                </c:pt>
                <c:pt idx="429">
                  <c:v>2.89</c:v>
                </c:pt>
                <c:pt idx="437">
                  <c:v>3.3</c:v>
                </c:pt>
                <c:pt idx="462">
                  <c:v>3.3</c:v>
                </c:pt>
                <c:pt idx="487">
                  <c:v>3.0646499999999999</c:v>
                </c:pt>
                <c:pt idx="497">
                  <c:v>3.2890000000000001</c:v>
                </c:pt>
                <c:pt idx="512">
                  <c:v>3.05</c:v>
                </c:pt>
                <c:pt idx="537">
                  <c:v>3.1</c:v>
                </c:pt>
                <c:pt idx="563">
                  <c:v>3.4450000000000003</c:v>
                </c:pt>
                <c:pt idx="583">
                  <c:v>3.1989999999999998</c:v>
                </c:pt>
                <c:pt idx="595">
                  <c:v>3.4990000000000001</c:v>
                </c:pt>
                <c:pt idx="596">
                  <c:v>3.96</c:v>
                </c:pt>
                <c:pt idx="600">
                  <c:v>3.92</c:v>
                </c:pt>
                <c:pt idx="603">
                  <c:v>3.9</c:v>
                </c:pt>
                <c:pt idx="606">
                  <c:v>3.85</c:v>
                </c:pt>
                <c:pt idx="609">
                  <c:v>3.82</c:v>
                </c:pt>
                <c:pt idx="611">
                  <c:v>4.1900000000000004</c:v>
                </c:pt>
                <c:pt idx="612">
                  <c:v>3.8</c:v>
                </c:pt>
                <c:pt idx="616">
                  <c:v>3.82</c:v>
                </c:pt>
                <c:pt idx="619">
                  <c:v>3.83</c:v>
                </c:pt>
                <c:pt idx="622">
                  <c:v>3.82</c:v>
                </c:pt>
                <c:pt idx="625">
                  <c:v>3.78</c:v>
                </c:pt>
                <c:pt idx="628">
                  <c:v>3.92</c:v>
                </c:pt>
                <c:pt idx="631">
                  <c:v>3.96</c:v>
                </c:pt>
                <c:pt idx="635">
                  <c:v>4.05</c:v>
                </c:pt>
                <c:pt idx="638">
                  <c:v>4.17</c:v>
                </c:pt>
                <c:pt idx="641">
                  <c:v>4.2300000000000004</c:v>
                </c:pt>
                <c:pt idx="643">
                  <c:v>3.99</c:v>
                </c:pt>
                <c:pt idx="644">
                  <c:v>4.24</c:v>
                </c:pt>
                <c:pt idx="646">
                  <c:v>4.25</c:v>
                </c:pt>
                <c:pt idx="650">
                  <c:v>4.37</c:v>
                </c:pt>
                <c:pt idx="654">
                  <c:v>4.37</c:v>
                </c:pt>
                <c:pt idx="657">
                  <c:v>4.3499999999999996</c:v>
                </c:pt>
                <c:pt idx="659">
                  <c:v>4.3600000000000003</c:v>
                </c:pt>
                <c:pt idx="660">
                  <c:v>4.3899999999999997</c:v>
                </c:pt>
                <c:pt idx="661">
                  <c:v>4.4400000000000004</c:v>
                </c:pt>
                <c:pt idx="662">
                  <c:v>4.51</c:v>
                </c:pt>
                <c:pt idx="663">
                  <c:v>4.5199999999999996</c:v>
                </c:pt>
                <c:pt idx="664">
                  <c:v>4.5199999999999996</c:v>
                </c:pt>
                <c:pt idx="665">
                  <c:v>4.57</c:v>
                </c:pt>
                <c:pt idx="666">
                  <c:v>4.6500000000000004</c:v>
                </c:pt>
                <c:pt idx="667">
                  <c:v>4.68</c:v>
                </c:pt>
                <c:pt idx="668">
                  <c:v>4.68</c:v>
                </c:pt>
                <c:pt idx="669">
                  <c:v>4.6900000000000004</c:v>
                </c:pt>
                <c:pt idx="670">
                  <c:v>4.68</c:v>
                </c:pt>
                <c:pt idx="671">
                  <c:v>4.67</c:v>
                </c:pt>
                <c:pt idx="672">
                  <c:v>4.6500000000000004</c:v>
                </c:pt>
                <c:pt idx="673">
                  <c:v>4.67</c:v>
                </c:pt>
                <c:pt idx="674">
                  <c:v>4.67</c:v>
                </c:pt>
                <c:pt idx="675">
                  <c:v>4.66</c:v>
                </c:pt>
                <c:pt idx="676">
                  <c:v>4.6399999999999997</c:v>
                </c:pt>
                <c:pt idx="677">
                  <c:v>4.63</c:v>
                </c:pt>
                <c:pt idx="678">
                  <c:v>4.63</c:v>
                </c:pt>
                <c:pt idx="679">
                  <c:v>4.59</c:v>
                </c:pt>
                <c:pt idx="680">
                  <c:v>4.5599999999999996</c:v>
                </c:pt>
                <c:pt idx="681">
                  <c:v>4.54</c:v>
                </c:pt>
                <c:pt idx="682">
                  <c:v>4.54</c:v>
                </c:pt>
                <c:pt idx="683">
                  <c:v>4.5199999999999996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CA9-46EC-8C9C-DA0A4CC7DF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49861096"/>
        <c:axId val="849857160"/>
      </c:lineChart>
      <c:catAx>
        <c:axId val="8498610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49857160"/>
        <c:crosses val="autoZero"/>
        <c:auto val="1"/>
        <c:lblAlgn val="ctr"/>
        <c:lblOffset val="100"/>
        <c:noMultiLvlLbl val="0"/>
      </c:catAx>
      <c:valAx>
        <c:axId val="8498571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&quot;$&quot;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498610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[Foley_FinalProject_Completed.xlsm]Cheapest crude price!CrudeFinalProject</c:name>
    <c:fmtId val="1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rgbClr val="FF9900"/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>
                <a:solidFill>
                  <a:srgbClr val="FF9900"/>
                </a:solidFill>
              </a:rPr>
              <a:t>Cheapest Crude Oil Source Price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rgbClr val="FF9900"/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</c:pivotFmt>
      <c:pivotFmt>
        <c:idx val="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'Cheapest crude price'!$B$3</c:f>
              <c:strCache>
                <c:ptCount val="1"/>
                <c:pt idx="0">
                  <c:v>Total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'Cheapest crude price'!$A$4:$A$687</c:f>
              <c:strCache>
                <c:ptCount val="684"/>
                <c:pt idx="0">
                  <c:v>10/31/2019</c:v>
                </c:pt>
                <c:pt idx="1">
                  <c:v>11/1/2019</c:v>
                </c:pt>
                <c:pt idx="2">
                  <c:v>11/4/2019</c:v>
                </c:pt>
                <c:pt idx="3">
                  <c:v>11/5/2019</c:v>
                </c:pt>
                <c:pt idx="4">
                  <c:v>11/6/2019</c:v>
                </c:pt>
                <c:pt idx="5">
                  <c:v>11/7/2019</c:v>
                </c:pt>
                <c:pt idx="6">
                  <c:v>11/8/2019</c:v>
                </c:pt>
                <c:pt idx="7">
                  <c:v>11/11/2019</c:v>
                </c:pt>
                <c:pt idx="8">
                  <c:v>11/12/2019</c:v>
                </c:pt>
                <c:pt idx="9">
                  <c:v>11/13/2019</c:v>
                </c:pt>
                <c:pt idx="10">
                  <c:v>11/14/2019</c:v>
                </c:pt>
                <c:pt idx="11">
                  <c:v>11/15/2019</c:v>
                </c:pt>
                <c:pt idx="12">
                  <c:v>11/18/2019</c:v>
                </c:pt>
                <c:pt idx="13">
                  <c:v>11/19/2019</c:v>
                </c:pt>
                <c:pt idx="14">
                  <c:v>11/20/2019</c:v>
                </c:pt>
                <c:pt idx="15">
                  <c:v>11/21/2019</c:v>
                </c:pt>
                <c:pt idx="16">
                  <c:v>11/22/2019</c:v>
                </c:pt>
                <c:pt idx="17">
                  <c:v>11/25/2019</c:v>
                </c:pt>
                <c:pt idx="18">
                  <c:v>11/26/2019</c:v>
                </c:pt>
                <c:pt idx="19">
                  <c:v>11/27/2019</c:v>
                </c:pt>
                <c:pt idx="20">
                  <c:v>11/28/2019</c:v>
                </c:pt>
                <c:pt idx="21">
                  <c:v>11/29/2019</c:v>
                </c:pt>
                <c:pt idx="22">
                  <c:v>12/2/2019</c:v>
                </c:pt>
                <c:pt idx="23">
                  <c:v>12/3/2019</c:v>
                </c:pt>
                <c:pt idx="24">
                  <c:v>12/4/2019</c:v>
                </c:pt>
                <c:pt idx="25">
                  <c:v>12/5/2019</c:v>
                </c:pt>
                <c:pt idx="26">
                  <c:v>12/6/2019</c:v>
                </c:pt>
                <c:pt idx="27">
                  <c:v>12/9/2019</c:v>
                </c:pt>
                <c:pt idx="28">
                  <c:v>12/10/2019</c:v>
                </c:pt>
                <c:pt idx="29">
                  <c:v>12/11/2019</c:v>
                </c:pt>
                <c:pt idx="30">
                  <c:v>12/12/2019</c:v>
                </c:pt>
                <c:pt idx="31">
                  <c:v>12/13/2019</c:v>
                </c:pt>
                <c:pt idx="32">
                  <c:v>12/16/2019</c:v>
                </c:pt>
                <c:pt idx="33">
                  <c:v>12/17/2019</c:v>
                </c:pt>
                <c:pt idx="34">
                  <c:v>12/18/2019</c:v>
                </c:pt>
                <c:pt idx="35">
                  <c:v>12/19/2019</c:v>
                </c:pt>
                <c:pt idx="36">
                  <c:v>12/20/2019</c:v>
                </c:pt>
                <c:pt idx="37">
                  <c:v>12/23/2019</c:v>
                </c:pt>
                <c:pt idx="38">
                  <c:v>12/24/2019</c:v>
                </c:pt>
                <c:pt idx="39">
                  <c:v>12/26/2019</c:v>
                </c:pt>
                <c:pt idx="40">
                  <c:v>12/27/2019</c:v>
                </c:pt>
                <c:pt idx="41">
                  <c:v>12/30/2019</c:v>
                </c:pt>
                <c:pt idx="42">
                  <c:v>12/31/2019</c:v>
                </c:pt>
                <c:pt idx="43">
                  <c:v>1/2/2020</c:v>
                </c:pt>
                <c:pt idx="44">
                  <c:v>1/3/2020</c:v>
                </c:pt>
                <c:pt idx="45">
                  <c:v>1/6/2020</c:v>
                </c:pt>
                <c:pt idx="46">
                  <c:v>1/7/2020</c:v>
                </c:pt>
                <c:pt idx="47">
                  <c:v>1/8/2020</c:v>
                </c:pt>
                <c:pt idx="48">
                  <c:v>1/9/2020</c:v>
                </c:pt>
                <c:pt idx="49">
                  <c:v>1/10/2020</c:v>
                </c:pt>
                <c:pt idx="50">
                  <c:v>1/13/2020</c:v>
                </c:pt>
                <c:pt idx="51">
                  <c:v>1/14/2020</c:v>
                </c:pt>
                <c:pt idx="52">
                  <c:v>1/15/2020</c:v>
                </c:pt>
                <c:pt idx="53">
                  <c:v>1/16/2020</c:v>
                </c:pt>
                <c:pt idx="54">
                  <c:v>1/17/2020</c:v>
                </c:pt>
                <c:pt idx="55">
                  <c:v>1/20/2020</c:v>
                </c:pt>
                <c:pt idx="56">
                  <c:v>1/21/2020</c:v>
                </c:pt>
                <c:pt idx="57">
                  <c:v>1/22/2020</c:v>
                </c:pt>
                <c:pt idx="58">
                  <c:v>1/23/2020</c:v>
                </c:pt>
                <c:pt idx="59">
                  <c:v>1/24/2020</c:v>
                </c:pt>
                <c:pt idx="60">
                  <c:v>1/27/2020</c:v>
                </c:pt>
                <c:pt idx="61">
                  <c:v>1/28/2020</c:v>
                </c:pt>
                <c:pt idx="62">
                  <c:v>1/29/2020</c:v>
                </c:pt>
                <c:pt idx="63">
                  <c:v>1/30/2020</c:v>
                </c:pt>
                <c:pt idx="64">
                  <c:v>1/31/2020</c:v>
                </c:pt>
                <c:pt idx="65">
                  <c:v>2/3/2020</c:v>
                </c:pt>
                <c:pt idx="66">
                  <c:v>2/4/2020</c:v>
                </c:pt>
                <c:pt idx="67">
                  <c:v>2/5/2020</c:v>
                </c:pt>
                <c:pt idx="68">
                  <c:v>2/6/2020</c:v>
                </c:pt>
                <c:pt idx="69">
                  <c:v>2/7/2020</c:v>
                </c:pt>
                <c:pt idx="70">
                  <c:v>2/10/2020</c:v>
                </c:pt>
                <c:pt idx="71">
                  <c:v>2/11/2020</c:v>
                </c:pt>
                <c:pt idx="72">
                  <c:v>2/12/2020</c:v>
                </c:pt>
                <c:pt idx="73">
                  <c:v>2/13/2020</c:v>
                </c:pt>
                <c:pt idx="74">
                  <c:v>2/14/2020</c:v>
                </c:pt>
                <c:pt idx="75">
                  <c:v>2/17/2020</c:v>
                </c:pt>
                <c:pt idx="76">
                  <c:v>2/18/2020</c:v>
                </c:pt>
                <c:pt idx="77">
                  <c:v>2/19/2020</c:v>
                </c:pt>
                <c:pt idx="78">
                  <c:v>2/20/2020</c:v>
                </c:pt>
                <c:pt idx="79">
                  <c:v>2/21/2020</c:v>
                </c:pt>
                <c:pt idx="80">
                  <c:v>2/24/2020</c:v>
                </c:pt>
                <c:pt idx="81">
                  <c:v>2/25/2020</c:v>
                </c:pt>
                <c:pt idx="82">
                  <c:v>2/26/2020</c:v>
                </c:pt>
                <c:pt idx="83">
                  <c:v>2/27/2020</c:v>
                </c:pt>
                <c:pt idx="84">
                  <c:v>2/28/2020</c:v>
                </c:pt>
                <c:pt idx="85">
                  <c:v>3/2/2020</c:v>
                </c:pt>
                <c:pt idx="86">
                  <c:v>3/3/2020</c:v>
                </c:pt>
                <c:pt idx="87">
                  <c:v>3/4/2020</c:v>
                </c:pt>
                <c:pt idx="88">
                  <c:v>3/5/2020</c:v>
                </c:pt>
                <c:pt idx="89">
                  <c:v>3/6/2020</c:v>
                </c:pt>
                <c:pt idx="90">
                  <c:v>3/9/2020</c:v>
                </c:pt>
                <c:pt idx="91">
                  <c:v>3/10/2020</c:v>
                </c:pt>
                <c:pt idx="92">
                  <c:v>3/11/2020</c:v>
                </c:pt>
                <c:pt idx="93">
                  <c:v>3/12/2020</c:v>
                </c:pt>
                <c:pt idx="94">
                  <c:v>3/13/2020</c:v>
                </c:pt>
                <c:pt idx="95">
                  <c:v>3/16/2020</c:v>
                </c:pt>
                <c:pt idx="96">
                  <c:v>3/17/2020</c:v>
                </c:pt>
                <c:pt idx="97">
                  <c:v>3/18/2020</c:v>
                </c:pt>
                <c:pt idx="98">
                  <c:v>3/19/2020</c:v>
                </c:pt>
                <c:pt idx="99">
                  <c:v>3/20/2020</c:v>
                </c:pt>
                <c:pt idx="100">
                  <c:v>3/23/2020</c:v>
                </c:pt>
                <c:pt idx="101">
                  <c:v>3/24/2020</c:v>
                </c:pt>
                <c:pt idx="102">
                  <c:v>3/25/2020</c:v>
                </c:pt>
                <c:pt idx="103">
                  <c:v>3/26/2020</c:v>
                </c:pt>
                <c:pt idx="104">
                  <c:v>3/27/2020</c:v>
                </c:pt>
                <c:pt idx="105">
                  <c:v>3/30/2020</c:v>
                </c:pt>
                <c:pt idx="106">
                  <c:v>3/31/2020</c:v>
                </c:pt>
                <c:pt idx="107">
                  <c:v>4/1/2020</c:v>
                </c:pt>
                <c:pt idx="108">
                  <c:v>4/2/2020</c:v>
                </c:pt>
                <c:pt idx="109">
                  <c:v>4/3/2020</c:v>
                </c:pt>
                <c:pt idx="110">
                  <c:v>4/6/2020</c:v>
                </c:pt>
                <c:pt idx="111">
                  <c:v>4/7/2020</c:v>
                </c:pt>
                <c:pt idx="112">
                  <c:v>4/8/2020</c:v>
                </c:pt>
                <c:pt idx="113">
                  <c:v>4/9/2020</c:v>
                </c:pt>
                <c:pt idx="114">
                  <c:v>4/13/2020</c:v>
                </c:pt>
                <c:pt idx="115">
                  <c:v>4/14/2020</c:v>
                </c:pt>
                <c:pt idx="116">
                  <c:v>4/15/2020</c:v>
                </c:pt>
                <c:pt idx="117">
                  <c:v>4/16/2020</c:v>
                </c:pt>
                <c:pt idx="118">
                  <c:v>4/17/2020</c:v>
                </c:pt>
                <c:pt idx="119">
                  <c:v>4/20/2020</c:v>
                </c:pt>
                <c:pt idx="120">
                  <c:v>4/21/2020</c:v>
                </c:pt>
                <c:pt idx="121">
                  <c:v>4/22/2020</c:v>
                </c:pt>
                <c:pt idx="122">
                  <c:v>4/23/2020</c:v>
                </c:pt>
                <c:pt idx="123">
                  <c:v>4/24/2020</c:v>
                </c:pt>
                <c:pt idx="124">
                  <c:v>4/27/2020</c:v>
                </c:pt>
                <c:pt idx="125">
                  <c:v>4/28/2020</c:v>
                </c:pt>
                <c:pt idx="126">
                  <c:v>4/29/2020</c:v>
                </c:pt>
                <c:pt idx="127">
                  <c:v>4/30/2020</c:v>
                </c:pt>
                <c:pt idx="128">
                  <c:v>5/1/2020</c:v>
                </c:pt>
                <c:pt idx="129">
                  <c:v>5/4/2020</c:v>
                </c:pt>
                <c:pt idx="130">
                  <c:v>5/5/2020</c:v>
                </c:pt>
                <c:pt idx="131">
                  <c:v>5/6/2020</c:v>
                </c:pt>
                <c:pt idx="132">
                  <c:v>5/7/2020</c:v>
                </c:pt>
                <c:pt idx="133">
                  <c:v>5/8/2020</c:v>
                </c:pt>
                <c:pt idx="134">
                  <c:v>5/11/2020</c:v>
                </c:pt>
                <c:pt idx="135">
                  <c:v>5/12/2020</c:v>
                </c:pt>
                <c:pt idx="136">
                  <c:v>5/13/2020</c:v>
                </c:pt>
                <c:pt idx="137">
                  <c:v>5/14/2020</c:v>
                </c:pt>
                <c:pt idx="138">
                  <c:v>5/15/2020</c:v>
                </c:pt>
                <c:pt idx="139">
                  <c:v>5/18/2020</c:v>
                </c:pt>
                <c:pt idx="140">
                  <c:v>5/19/2020</c:v>
                </c:pt>
                <c:pt idx="141">
                  <c:v>5/20/2020</c:v>
                </c:pt>
                <c:pt idx="142">
                  <c:v>5/21/2020</c:v>
                </c:pt>
                <c:pt idx="143">
                  <c:v>5/22/2020</c:v>
                </c:pt>
                <c:pt idx="144">
                  <c:v>5/26/2020</c:v>
                </c:pt>
                <c:pt idx="145">
                  <c:v>5/27/2020</c:v>
                </c:pt>
                <c:pt idx="146">
                  <c:v>5/28/2020</c:v>
                </c:pt>
                <c:pt idx="147">
                  <c:v>5/29/2020</c:v>
                </c:pt>
                <c:pt idx="148">
                  <c:v>6/1/2020</c:v>
                </c:pt>
                <c:pt idx="149">
                  <c:v>6/2/2020</c:v>
                </c:pt>
                <c:pt idx="150">
                  <c:v>6/3/2020</c:v>
                </c:pt>
                <c:pt idx="151">
                  <c:v>6/4/2020</c:v>
                </c:pt>
                <c:pt idx="152">
                  <c:v>6/5/2020</c:v>
                </c:pt>
                <c:pt idx="153">
                  <c:v>6/8/2020</c:v>
                </c:pt>
                <c:pt idx="154">
                  <c:v>6/9/2020</c:v>
                </c:pt>
                <c:pt idx="155">
                  <c:v>6/10/2020</c:v>
                </c:pt>
                <c:pt idx="156">
                  <c:v>6/11/2020</c:v>
                </c:pt>
                <c:pt idx="157">
                  <c:v>6/12/2020</c:v>
                </c:pt>
                <c:pt idx="158">
                  <c:v>6/15/2020</c:v>
                </c:pt>
                <c:pt idx="159">
                  <c:v>6/16/2020</c:v>
                </c:pt>
                <c:pt idx="160">
                  <c:v>6/17/2020</c:v>
                </c:pt>
                <c:pt idx="161">
                  <c:v>6/18/2020</c:v>
                </c:pt>
                <c:pt idx="162">
                  <c:v>6/19/2020</c:v>
                </c:pt>
                <c:pt idx="163">
                  <c:v>6/22/2020</c:v>
                </c:pt>
                <c:pt idx="164">
                  <c:v>6/23/2020</c:v>
                </c:pt>
                <c:pt idx="165">
                  <c:v>6/24/2020</c:v>
                </c:pt>
                <c:pt idx="166">
                  <c:v>6/25/2020</c:v>
                </c:pt>
                <c:pt idx="167">
                  <c:v>6/26/2020</c:v>
                </c:pt>
                <c:pt idx="168">
                  <c:v>6/29/2020</c:v>
                </c:pt>
                <c:pt idx="169">
                  <c:v>6/30/2020</c:v>
                </c:pt>
                <c:pt idx="170">
                  <c:v>7/1/2020</c:v>
                </c:pt>
                <c:pt idx="171">
                  <c:v>7/2/2020</c:v>
                </c:pt>
                <c:pt idx="172">
                  <c:v>7/3/2020</c:v>
                </c:pt>
                <c:pt idx="173">
                  <c:v>7/6/2020</c:v>
                </c:pt>
                <c:pt idx="174">
                  <c:v>7/7/2020</c:v>
                </c:pt>
                <c:pt idx="175">
                  <c:v>7/8/2020</c:v>
                </c:pt>
                <c:pt idx="176">
                  <c:v>7/9/2020</c:v>
                </c:pt>
                <c:pt idx="177">
                  <c:v>7/10/2020</c:v>
                </c:pt>
                <c:pt idx="178">
                  <c:v>7/13/2020</c:v>
                </c:pt>
                <c:pt idx="179">
                  <c:v>7/14/2020</c:v>
                </c:pt>
                <c:pt idx="180">
                  <c:v>7/15/2020</c:v>
                </c:pt>
                <c:pt idx="181">
                  <c:v>7/16/2020</c:v>
                </c:pt>
                <c:pt idx="182">
                  <c:v>7/17/2020</c:v>
                </c:pt>
                <c:pt idx="183">
                  <c:v>7/20/2020</c:v>
                </c:pt>
                <c:pt idx="184">
                  <c:v>7/21/2020</c:v>
                </c:pt>
                <c:pt idx="185">
                  <c:v>7/22/2020</c:v>
                </c:pt>
                <c:pt idx="186">
                  <c:v>7/23/2020</c:v>
                </c:pt>
                <c:pt idx="187">
                  <c:v>7/24/2020</c:v>
                </c:pt>
                <c:pt idx="188">
                  <c:v>7/27/2020</c:v>
                </c:pt>
                <c:pt idx="189">
                  <c:v>7/28/2020</c:v>
                </c:pt>
                <c:pt idx="190">
                  <c:v>7/29/2020</c:v>
                </c:pt>
                <c:pt idx="191">
                  <c:v>7/30/2020</c:v>
                </c:pt>
                <c:pt idx="192">
                  <c:v>7/31/2020</c:v>
                </c:pt>
                <c:pt idx="193">
                  <c:v>8/3/2020</c:v>
                </c:pt>
                <c:pt idx="194">
                  <c:v>8/4/2020</c:v>
                </c:pt>
                <c:pt idx="195">
                  <c:v>8/5/2020</c:v>
                </c:pt>
                <c:pt idx="196">
                  <c:v>8/6/2020</c:v>
                </c:pt>
                <c:pt idx="197">
                  <c:v>8/7/2020</c:v>
                </c:pt>
                <c:pt idx="198">
                  <c:v>8/10/2020</c:v>
                </c:pt>
                <c:pt idx="199">
                  <c:v>8/11/2020</c:v>
                </c:pt>
                <c:pt idx="200">
                  <c:v>8/12/2020</c:v>
                </c:pt>
                <c:pt idx="201">
                  <c:v>8/13/2020</c:v>
                </c:pt>
                <c:pt idx="202">
                  <c:v>8/14/2020</c:v>
                </c:pt>
                <c:pt idx="203">
                  <c:v>8/17/2020</c:v>
                </c:pt>
                <c:pt idx="204">
                  <c:v>8/18/2020</c:v>
                </c:pt>
                <c:pt idx="205">
                  <c:v>8/19/2020</c:v>
                </c:pt>
                <c:pt idx="206">
                  <c:v>8/20/2020</c:v>
                </c:pt>
                <c:pt idx="207">
                  <c:v>8/21/2020</c:v>
                </c:pt>
                <c:pt idx="208">
                  <c:v>8/24/2020</c:v>
                </c:pt>
                <c:pt idx="209">
                  <c:v>8/25/2020</c:v>
                </c:pt>
                <c:pt idx="210">
                  <c:v>8/26/2020</c:v>
                </c:pt>
                <c:pt idx="211">
                  <c:v>8/27/2020</c:v>
                </c:pt>
                <c:pt idx="212">
                  <c:v>8/28/2020</c:v>
                </c:pt>
                <c:pt idx="213">
                  <c:v>8/31/2020</c:v>
                </c:pt>
                <c:pt idx="214">
                  <c:v>9/1/2020</c:v>
                </c:pt>
                <c:pt idx="215">
                  <c:v>9/2/2020</c:v>
                </c:pt>
                <c:pt idx="216">
                  <c:v>9/3/2020</c:v>
                </c:pt>
                <c:pt idx="217">
                  <c:v>9/4/2020</c:v>
                </c:pt>
                <c:pt idx="218">
                  <c:v>9/7/2020</c:v>
                </c:pt>
                <c:pt idx="219">
                  <c:v>9/8/2020</c:v>
                </c:pt>
                <c:pt idx="220">
                  <c:v>9/9/2020</c:v>
                </c:pt>
                <c:pt idx="221">
                  <c:v>9/10/2020</c:v>
                </c:pt>
                <c:pt idx="222">
                  <c:v>9/11/2020</c:v>
                </c:pt>
                <c:pt idx="223">
                  <c:v>9/14/2020</c:v>
                </c:pt>
                <c:pt idx="224">
                  <c:v>9/15/2020</c:v>
                </c:pt>
                <c:pt idx="225">
                  <c:v>9/16/2020</c:v>
                </c:pt>
                <c:pt idx="226">
                  <c:v>9/17/2020</c:v>
                </c:pt>
                <c:pt idx="227">
                  <c:v>9/18/2020</c:v>
                </c:pt>
                <c:pt idx="228">
                  <c:v>9/21/2020</c:v>
                </c:pt>
                <c:pt idx="229">
                  <c:v>9/22/2020</c:v>
                </c:pt>
                <c:pt idx="230">
                  <c:v>9/23/2020</c:v>
                </c:pt>
                <c:pt idx="231">
                  <c:v>9/24/2020</c:v>
                </c:pt>
                <c:pt idx="232">
                  <c:v>9/25/2020</c:v>
                </c:pt>
                <c:pt idx="233">
                  <c:v>9/28/2020</c:v>
                </c:pt>
                <c:pt idx="234">
                  <c:v>9/29/2020</c:v>
                </c:pt>
                <c:pt idx="235">
                  <c:v>9/30/2020</c:v>
                </c:pt>
                <c:pt idx="236">
                  <c:v>10/1/2020</c:v>
                </c:pt>
                <c:pt idx="237">
                  <c:v>10/2/2020</c:v>
                </c:pt>
                <c:pt idx="238">
                  <c:v>10/5/2020</c:v>
                </c:pt>
                <c:pt idx="239">
                  <c:v>10/6/2020</c:v>
                </c:pt>
                <c:pt idx="240">
                  <c:v>10/7/2020</c:v>
                </c:pt>
                <c:pt idx="241">
                  <c:v>10/8/2020</c:v>
                </c:pt>
                <c:pt idx="242">
                  <c:v>10/9/2020</c:v>
                </c:pt>
                <c:pt idx="243">
                  <c:v>10/12/2020</c:v>
                </c:pt>
                <c:pt idx="244">
                  <c:v>10/13/2020</c:v>
                </c:pt>
                <c:pt idx="245">
                  <c:v>10/14/2020</c:v>
                </c:pt>
                <c:pt idx="246">
                  <c:v>10/15/2020</c:v>
                </c:pt>
                <c:pt idx="247">
                  <c:v>10/16/2020</c:v>
                </c:pt>
                <c:pt idx="248">
                  <c:v>10/19/2020</c:v>
                </c:pt>
                <c:pt idx="249">
                  <c:v>10/20/2020</c:v>
                </c:pt>
                <c:pt idx="250">
                  <c:v>10/21/2020</c:v>
                </c:pt>
                <c:pt idx="251">
                  <c:v>10/22/2020</c:v>
                </c:pt>
                <c:pt idx="252">
                  <c:v>10/23/2020</c:v>
                </c:pt>
                <c:pt idx="253">
                  <c:v>10/26/2020</c:v>
                </c:pt>
                <c:pt idx="254">
                  <c:v>10/27/2020</c:v>
                </c:pt>
                <c:pt idx="255">
                  <c:v>10/28/2020</c:v>
                </c:pt>
                <c:pt idx="256">
                  <c:v>10/29/2020</c:v>
                </c:pt>
                <c:pt idx="257">
                  <c:v>10/30/2020</c:v>
                </c:pt>
                <c:pt idx="258">
                  <c:v>11/2/2020</c:v>
                </c:pt>
                <c:pt idx="259">
                  <c:v>11/3/2020</c:v>
                </c:pt>
                <c:pt idx="260">
                  <c:v>11/4/2020</c:v>
                </c:pt>
                <c:pt idx="261">
                  <c:v>11/5/2020</c:v>
                </c:pt>
                <c:pt idx="262">
                  <c:v>11/6/2020</c:v>
                </c:pt>
                <c:pt idx="263">
                  <c:v>11/9/2020</c:v>
                </c:pt>
                <c:pt idx="264">
                  <c:v>11/10/2020</c:v>
                </c:pt>
                <c:pt idx="265">
                  <c:v>11/11/2020</c:v>
                </c:pt>
                <c:pt idx="266">
                  <c:v>11/12/2020</c:v>
                </c:pt>
                <c:pt idx="267">
                  <c:v>11/13/2020</c:v>
                </c:pt>
                <c:pt idx="268">
                  <c:v>11/16/2020</c:v>
                </c:pt>
                <c:pt idx="269">
                  <c:v>11/17/2020</c:v>
                </c:pt>
                <c:pt idx="270">
                  <c:v>11/18/2020</c:v>
                </c:pt>
                <c:pt idx="271">
                  <c:v>11/19/2020</c:v>
                </c:pt>
                <c:pt idx="272">
                  <c:v>11/20/2020</c:v>
                </c:pt>
                <c:pt idx="273">
                  <c:v>11/23/2020</c:v>
                </c:pt>
                <c:pt idx="274">
                  <c:v>11/24/2020</c:v>
                </c:pt>
                <c:pt idx="275">
                  <c:v>11/25/2020</c:v>
                </c:pt>
                <c:pt idx="276">
                  <c:v>11/26/2020</c:v>
                </c:pt>
                <c:pt idx="277">
                  <c:v>11/27/2020</c:v>
                </c:pt>
                <c:pt idx="278">
                  <c:v>11/30/2020</c:v>
                </c:pt>
                <c:pt idx="279">
                  <c:v>12/1/2020</c:v>
                </c:pt>
                <c:pt idx="280">
                  <c:v>12/2/2020</c:v>
                </c:pt>
                <c:pt idx="281">
                  <c:v>12/3/2020</c:v>
                </c:pt>
                <c:pt idx="282">
                  <c:v>12/4/2020</c:v>
                </c:pt>
                <c:pt idx="283">
                  <c:v>12/7/2020</c:v>
                </c:pt>
                <c:pt idx="284">
                  <c:v>12/8/2020</c:v>
                </c:pt>
                <c:pt idx="285">
                  <c:v>12/9/2020</c:v>
                </c:pt>
                <c:pt idx="286">
                  <c:v>12/10/2020</c:v>
                </c:pt>
                <c:pt idx="287">
                  <c:v>12/11/2020</c:v>
                </c:pt>
                <c:pt idx="288">
                  <c:v>12/14/2020</c:v>
                </c:pt>
                <c:pt idx="289">
                  <c:v>12/15/2020</c:v>
                </c:pt>
                <c:pt idx="290">
                  <c:v>12/16/2020</c:v>
                </c:pt>
                <c:pt idx="291">
                  <c:v>12/17/2020</c:v>
                </c:pt>
                <c:pt idx="292">
                  <c:v>12/18/2020</c:v>
                </c:pt>
                <c:pt idx="293">
                  <c:v>12/21/2020</c:v>
                </c:pt>
                <c:pt idx="294">
                  <c:v>12/22/2020</c:v>
                </c:pt>
                <c:pt idx="295">
                  <c:v>12/23/2020</c:v>
                </c:pt>
                <c:pt idx="296">
                  <c:v>12/24/2020</c:v>
                </c:pt>
                <c:pt idx="297">
                  <c:v>12/28/2020</c:v>
                </c:pt>
                <c:pt idx="298">
                  <c:v>12/29/2020</c:v>
                </c:pt>
                <c:pt idx="299">
                  <c:v>12/30/2020</c:v>
                </c:pt>
                <c:pt idx="300">
                  <c:v>12/31/2020</c:v>
                </c:pt>
                <c:pt idx="301">
                  <c:v>1/4/2021</c:v>
                </c:pt>
                <c:pt idx="302">
                  <c:v>1/5/2021</c:v>
                </c:pt>
                <c:pt idx="303">
                  <c:v>1/6/2021</c:v>
                </c:pt>
                <c:pt idx="304">
                  <c:v>1/7/2021</c:v>
                </c:pt>
                <c:pt idx="305">
                  <c:v>1/8/2021</c:v>
                </c:pt>
                <c:pt idx="306">
                  <c:v>1/11/2021</c:v>
                </c:pt>
                <c:pt idx="307">
                  <c:v>1/12/2021</c:v>
                </c:pt>
                <c:pt idx="308">
                  <c:v>1/13/2021</c:v>
                </c:pt>
                <c:pt idx="309">
                  <c:v>1/14/2021</c:v>
                </c:pt>
                <c:pt idx="310">
                  <c:v>1/15/2021</c:v>
                </c:pt>
                <c:pt idx="311">
                  <c:v>1/18/2021</c:v>
                </c:pt>
                <c:pt idx="312">
                  <c:v>1/19/2021</c:v>
                </c:pt>
                <c:pt idx="313">
                  <c:v>1/20/2021</c:v>
                </c:pt>
                <c:pt idx="314">
                  <c:v>1/21/2021</c:v>
                </c:pt>
                <c:pt idx="315">
                  <c:v>1/22/2021</c:v>
                </c:pt>
                <c:pt idx="316">
                  <c:v>1/25/2021</c:v>
                </c:pt>
                <c:pt idx="317">
                  <c:v>1/26/2021</c:v>
                </c:pt>
                <c:pt idx="318">
                  <c:v>1/27/2021</c:v>
                </c:pt>
                <c:pt idx="319">
                  <c:v>1/28/2021</c:v>
                </c:pt>
                <c:pt idx="320">
                  <c:v>1/29/2021</c:v>
                </c:pt>
                <c:pt idx="321">
                  <c:v>2/1/2021</c:v>
                </c:pt>
                <c:pt idx="322">
                  <c:v>2/2/2021</c:v>
                </c:pt>
                <c:pt idx="323">
                  <c:v>2/3/2021</c:v>
                </c:pt>
                <c:pt idx="324">
                  <c:v>2/4/2021</c:v>
                </c:pt>
                <c:pt idx="325">
                  <c:v>2/5/2021</c:v>
                </c:pt>
                <c:pt idx="326">
                  <c:v>2/8/2021</c:v>
                </c:pt>
                <c:pt idx="327">
                  <c:v>2/9/2021</c:v>
                </c:pt>
                <c:pt idx="328">
                  <c:v>2/10/2021</c:v>
                </c:pt>
                <c:pt idx="329">
                  <c:v>2/11/2021</c:v>
                </c:pt>
                <c:pt idx="330">
                  <c:v>2/12/2021</c:v>
                </c:pt>
                <c:pt idx="331">
                  <c:v>2/15/2021</c:v>
                </c:pt>
                <c:pt idx="332">
                  <c:v>2/16/2021</c:v>
                </c:pt>
                <c:pt idx="333">
                  <c:v>2/17/2021</c:v>
                </c:pt>
                <c:pt idx="334">
                  <c:v>2/18/2021</c:v>
                </c:pt>
                <c:pt idx="335">
                  <c:v>2/19/2021</c:v>
                </c:pt>
                <c:pt idx="336">
                  <c:v>2/22/2021</c:v>
                </c:pt>
                <c:pt idx="337">
                  <c:v>2/23/2021</c:v>
                </c:pt>
                <c:pt idx="338">
                  <c:v>2/24/2021</c:v>
                </c:pt>
                <c:pt idx="339">
                  <c:v>2/25/2021</c:v>
                </c:pt>
                <c:pt idx="340">
                  <c:v>2/26/2021</c:v>
                </c:pt>
                <c:pt idx="341">
                  <c:v>3/1/2021</c:v>
                </c:pt>
                <c:pt idx="342">
                  <c:v>3/2/2021</c:v>
                </c:pt>
                <c:pt idx="343">
                  <c:v>3/3/2021</c:v>
                </c:pt>
                <c:pt idx="344">
                  <c:v>3/4/2021</c:v>
                </c:pt>
                <c:pt idx="345">
                  <c:v>3/5/2021</c:v>
                </c:pt>
                <c:pt idx="346">
                  <c:v>3/8/2021</c:v>
                </c:pt>
                <c:pt idx="347">
                  <c:v>3/9/2021</c:v>
                </c:pt>
                <c:pt idx="348">
                  <c:v>3/10/2021</c:v>
                </c:pt>
                <c:pt idx="349">
                  <c:v>3/11/2021</c:v>
                </c:pt>
                <c:pt idx="350">
                  <c:v>3/12/2021</c:v>
                </c:pt>
                <c:pt idx="351">
                  <c:v>3/15/2021</c:v>
                </c:pt>
                <c:pt idx="352">
                  <c:v>3/16/2021</c:v>
                </c:pt>
                <c:pt idx="353">
                  <c:v>3/17/2021</c:v>
                </c:pt>
                <c:pt idx="354">
                  <c:v>3/18/2021</c:v>
                </c:pt>
                <c:pt idx="355">
                  <c:v>3/19/2021</c:v>
                </c:pt>
                <c:pt idx="356">
                  <c:v>3/22/2021</c:v>
                </c:pt>
                <c:pt idx="357">
                  <c:v>3/23/2021</c:v>
                </c:pt>
                <c:pt idx="358">
                  <c:v>3/24/2021</c:v>
                </c:pt>
                <c:pt idx="359">
                  <c:v>3/25/2021</c:v>
                </c:pt>
                <c:pt idx="360">
                  <c:v>3/26/2021</c:v>
                </c:pt>
                <c:pt idx="361">
                  <c:v>3/29/2021</c:v>
                </c:pt>
                <c:pt idx="362">
                  <c:v>3/30/2021</c:v>
                </c:pt>
                <c:pt idx="363">
                  <c:v>3/31/2021</c:v>
                </c:pt>
                <c:pt idx="364">
                  <c:v>4/1/2021</c:v>
                </c:pt>
                <c:pt idx="365">
                  <c:v>4/5/2021</c:v>
                </c:pt>
                <c:pt idx="366">
                  <c:v>4/6/2021</c:v>
                </c:pt>
                <c:pt idx="367">
                  <c:v>4/7/2021</c:v>
                </c:pt>
                <c:pt idx="368">
                  <c:v>4/8/2021</c:v>
                </c:pt>
                <c:pt idx="369">
                  <c:v>4/9/2021</c:v>
                </c:pt>
                <c:pt idx="370">
                  <c:v>4/12/2021</c:v>
                </c:pt>
                <c:pt idx="371">
                  <c:v>4/13/2021</c:v>
                </c:pt>
                <c:pt idx="372">
                  <c:v>4/14/2021</c:v>
                </c:pt>
                <c:pt idx="373">
                  <c:v>4/15/2021</c:v>
                </c:pt>
                <c:pt idx="374">
                  <c:v>4/16/2021</c:v>
                </c:pt>
                <c:pt idx="375">
                  <c:v>4/19/2021</c:v>
                </c:pt>
                <c:pt idx="376">
                  <c:v>4/20/2021</c:v>
                </c:pt>
                <c:pt idx="377">
                  <c:v>4/21/2021</c:v>
                </c:pt>
                <c:pt idx="378">
                  <c:v>4/22/2021</c:v>
                </c:pt>
                <c:pt idx="379">
                  <c:v>4/23/2021</c:v>
                </c:pt>
                <c:pt idx="380">
                  <c:v>4/26/2021</c:v>
                </c:pt>
                <c:pt idx="381">
                  <c:v>4/27/2021</c:v>
                </c:pt>
                <c:pt idx="382">
                  <c:v>4/28/2021</c:v>
                </c:pt>
                <c:pt idx="383">
                  <c:v>4/29/2021</c:v>
                </c:pt>
                <c:pt idx="384">
                  <c:v>4/30/2021</c:v>
                </c:pt>
                <c:pt idx="385">
                  <c:v>5/3/2021</c:v>
                </c:pt>
                <c:pt idx="386">
                  <c:v>5/4/2021</c:v>
                </c:pt>
                <c:pt idx="387">
                  <c:v>5/5/2021</c:v>
                </c:pt>
                <c:pt idx="388">
                  <c:v>5/6/2021</c:v>
                </c:pt>
                <c:pt idx="389">
                  <c:v>5/7/2021</c:v>
                </c:pt>
                <c:pt idx="390">
                  <c:v>5/10/2021</c:v>
                </c:pt>
                <c:pt idx="391">
                  <c:v>5/11/2021</c:v>
                </c:pt>
                <c:pt idx="392">
                  <c:v>5/12/2021</c:v>
                </c:pt>
                <c:pt idx="393">
                  <c:v>5/13/2021</c:v>
                </c:pt>
                <c:pt idx="394">
                  <c:v>5/14/2021</c:v>
                </c:pt>
                <c:pt idx="395">
                  <c:v>5/17/2021</c:v>
                </c:pt>
                <c:pt idx="396">
                  <c:v>5/18/2021</c:v>
                </c:pt>
                <c:pt idx="397">
                  <c:v>5/19/2021</c:v>
                </c:pt>
                <c:pt idx="398">
                  <c:v>5/20/2021</c:v>
                </c:pt>
                <c:pt idx="399">
                  <c:v>5/21/2021</c:v>
                </c:pt>
                <c:pt idx="400">
                  <c:v>5/24/2021</c:v>
                </c:pt>
                <c:pt idx="401">
                  <c:v>5/25/2021</c:v>
                </c:pt>
                <c:pt idx="402">
                  <c:v>5/26/2021</c:v>
                </c:pt>
                <c:pt idx="403">
                  <c:v>5/27/2021</c:v>
                </c:pt>
                <c:pt idx="404">
                  <c:v>5/28/2021</c:v>
                </c:pt>
                <c:pt idx="405">
                  <c:v>5/31/2021</c:v>
                </c:pt>
                <c:pt idx="406">
                  <c:v>6/1/2021</c:v>
                </c:pt>
                <c:pt idx="407">
                  <c:v>6/2/2021</c:v>
                </c:pt>
                <c:pt idx="408">
                  <c:v>6/3/2021</c:v>
                </c:pt>
                <c:pt idx="409">
                  <c:v>6/4/2021</c:v>
                </c:pt>
                <c:pt idx="410">
                  <c:v>6/7/2021</c:v>
                </c:pt>
                <c:pt idx="411">
                  <c:v>6/8/2021</c:v>
                </c:pt>
                <c:pt idx="412">
                  <c:v>6/9/2021</c:v>
                </c:pt>
                <c:pt idx="413">
                  <c:v>6/10/2021</c:v>
                </c:pt>
                <c:pt idx="414">
                  <c:v>6/11/2021</c:v>
                </c:pt>
                <c:pt idx="415">
                  <c:v>6/14/2021</c:v>
                </c:pt>
                <c:pt idx="416">
                  <c:v>6/15/2021</c:v>
                </c:pt>
                <c:pt idx="417">
                  <c:v>6/16/2021</c:v>
                </c:pt>
                <c:pt idx="418">
                  <c:v>6/17/2021</c:v>
                </c:pt>
                <c:pt idx="419">
                  <c:v>6/18/2021</c:v>
                </c:pt>
                <c:pt idx="420">
                  <c:v>6/21/2021</c:v>
                </c:pt>
                <c:pt idx="421">
                  <c:v>6/22/2021</c:v>
                </c:pt>
                <c:pt idx="422">
                  <c:v>6/23/2021</c:v>
                </c:pt>
                <c:pt idx="423">
                  <c:v>6/24/2021</c:v>
                </c:pt>
                <c:pt idx="424">
                  <c:v>6/25/2021</c:v>
                </c:pt>
                <c:pt idx="425">
                  <c:v>6/28/2021</c:v>
                </c:pt>
                <c:pt idx="426">
                  <c:v>6/29/2021</c:v>
                </c:pt>
                <c:pt idx="427">
                  <c:v>6/30/2021</c:v>
                </c:pt>
                <c:pt idx="428">
                  <c:v>7/1/2021</c:v>
                </c:pt>
                <c:pt idx="429">
                  <c:v>7/2/2021</c:v>
                </c:pt>
                <c:pt idx="430">
                  <c:v>7/5/2021</c:v>
                </c:pt>
                <c:pt idx="431">
                  <c:v>7/6/2021</c:v>
                </c:pt>
                <c:pt idx="432">
                  <c:v>7/7/2021</c:v>
                </c:pt>
                <c:pt idx="433">
                  <c:v>7/8/2021</c:v>
                </c:pt>
                <c:pt idx="434">
                  <c:v>7/9/2021</c:v>
                </c:pt>
                <c:pt idx="435">
                  <c:v>7/12/2021</c:v>
                </c:pt>
                <c:pt idx="436">
                  <c:v>7/13/2021</c:v>
                </c:pt>
                <c:pt idx="437">
                  <c:v>7/14/2021</c:v>
                </c:pt>
                <c:pt idx="438">
                  <c:v>7/15/2021</c:v>
                </c:pt>
                <c:pt idx="439">
                  <c:v>7/16/2021</c:v>
                </c:pt>
                <c:pt idx="440">
                  <c:v>7/19/2021</c:v>
                </c:pt>
                <c:pt idx="441">
                  <c:v>7/20/2021</c:v>
                </c:pt>
                <c:pt idx="442">
                  <c:v>7/21/2021</c:v>
                </c:pt>
                <c:pt idx="443">
                  <c:v>7/22/2021</c:v>
                </c:pt>
                <c:pt idx="444">
                  <c:v>7/23/2021</c:v>
                </c:pt>
                <c:pt idx="445">
                  <c:v>7/26/2021</c:v>
                </c:pt>
                <c:pt idx="446">
                  <c:v>7/27/2021</c:v>
                </c:pt>
                <c:pt idx="447">
                  <c:v>7/28/2021</c:v>
                </c:pt>
                <c:pt idx="448">
                  <c:v>7/29/2021</c:v>
                </c:pt>
                <c:pt idx="449">
                  <c:v>7/30/2021</c:v>
                </c:pt>
                <c:pt idx="450">
                  <c:v>8/2/2021</c:v>
                </c:pt>
                <c:pt idx="451">
                  <c:v>8/3/2021</c:v>
                </c:pt>
                <c:pt idx="452">
                  <c:v>8/4/2021</c:v>
                </c:pt>
                <c:pt idx="453">
                  <c:v>8/5/2021</c:v>
                </c:pt>
                <c:pt idx="454">
                  <c:v>8/6/2021</c:v>
                </c:pt>
                <c:pt idx="455">
                  <c:v>8/9/2021</c:v>
                </c:pt>
                <c:pt idx="456">
                  <c:v>8/10/2021</c:v>
                </c:pt>
                <c:pt idx="457">
                  <c:v>8/11/2021</c:v>
                </c:pt>
                <c:pt idx="458">
                  <c:v>8/12/2021</c:v>
                </c:pt>
                <c:pt idx="459">
                  <c:v>8/13/2021</c:v>
                </c:pt>
                <c:pt idx="460">
                  <c:v>8/16/2021</c:v>
                </c:pt>
                <c:pt idx="461">
                  <c:v>8/17/2021</c:v>
                </c:pt>
                <c:pt idx="462">
                  <c:v>8/18/2021</c:v>
                </c:pt>
                <c:pt idx="463">
                  <c:v>8/19/2021</c:v>
                </c:pt>
                <c:pt idx="464">
                  <c:v>8/20/2021</c:v>
                </c:pt>
                <c:pt idx="465">
                  <c:v>8/23/2021</c:v>
                </c:pt>
                <c:pt idx="466">
                  <c:v>8/24/2021</c:v>
                </c:pt>
                <c:pt idx="467">
                  <c:v>8/25/2021</c:v>
                </c:pt>
                <c:pt idx="468">
                  <c:v>8/26/2021</c:v>
                </c:pt>
                <c:pt idx="469">
                  <c:v>8/27/2021</c:v>
                </c:pt>
                <c:pt idx="470">
                  <c:v>8/30/2021</c:v>
                </c:pt>
                <c:pt idx="471">
                  <c:v>8/31/2021</c:v>
                </c:pt>
                <c:pt idx="472">
                  <c:v>9/1/2021</c:v>
                </c:pt>
                <c:pt idx="473">
                  <c:v>9/2/2021</c:v>
                </c:pt>
                <c:pt idx="474">
                  <c:v>9/3/2021</c:v>
                </c:pt>
                <c:pt idx="475">
                  <c:v>9/6/2021</c:v>
                </c:pt>
                <c:pt idx="476">
                  <c:v>9/7/2021</c:v>
                </c:pt>
                <c:pt idx="477">
                  <c:v>9/8/2021</c:v>
                </c:pt>
                <c:pt idx="478">
                  <c:v>9/9/2021</c:v>
                </c:pt>
                <c:pt idx="479">
                  <c:v>9/10/2021</c:v>
                </c:pt>
                <c:pt idx="480">
                  <c:v>9/13/2021</c:v>
                </c:pt>
                <c:pt idx="481">
                  <c:v>9/14/2021</c:v>
                </c:pt>
                <c:pt idx="482">
                  <c:v>9/15/2021</c:v>
                </c:pt>
                <c:pt idx="483">
                  <c:v>9/16/2021</c:v>
                </c:pt>
                <c:pt idx="484">
                  <c:v>9/17/2021</c:v>
                </c:pt>
                <c:pt idx="485">
                  <c:v>9/20/2021</c:v>
                </c:pt>
                <c:pt idx="486">
                  <c:v>9/21/2021</c:v>
                </c:pt>
                <c:pt idx="487">
                  <c:v>9/22/2021</c:v>
                </c:pt>
                <c:pt idx="488">
                  <c:v>9/23/2021</c:v>
                </c:pt>
                <c:pt idx="489">
                  <c:v>9/24/2021</c:v>
                </c:pt>
                <c:pt idx="490">
                  <c:v>9/27/2021</c:v>
                </c:pt>
                <c:pt idx="491">
                  <c:v>9/28/2021</c:v>
                </c:pt>
                <c:pt idx="492">
                  <c:v>9/29/2021</c:v>
                </c:pt>
                <c:pt idx="493">
                  <c:v>9/30/2021</c:v>
                </c:pt>
                <c:pt idx="494">
                  <c:v>10/1/2021</c:v>
                </c:pt>
                <c:pt idx="495">
                  <c:v>10/4/2021</c:v>
                </c:pt>
                <c:pt idx="496">
                  <c:v>10/5/2021</c:v>
                </c:pt>
                <c:pt idx="497">
                  <c:v>10/6/2021</c:v>
                </c:pt>
                <c:pt idx="498">
                  <c:v>10/7/2021</c:v>
                </c:pt>
                <c:pt idx="499">
                  <c:v>10/8/2021</c:v>
                </c:pt>
                <c:pt idx="500">
                  <c:v>10/11/2021</c:v>
                </c:pt>
                <c:pt idx="501">
                  <c:v>10/12/2021</c:v>
                </c:pt>
                <c:pt idx="502">
                  <c:v>10/13/2021</c:v>
                </c:pt>
                <c:pt idx="503">
                  <c:v>10/14/2021</c:v>
                </c:pt>
                <c:pt idx="504">
                  <c:v>10/15/2021</c:v>
                </c:pt>
                <c:pt idx="505">
                  <c:v>10/18/2021</c:v>
                </c:pt>
                <c:pt idx="506">
                  <c:v>10/19/2021</c:v>
                </c:pt>
                <c:pt idx="507">
                  <c:v>10/20/2021</c:v>
                </c:pt>
                <c:pt idx="508">
                  <c:v>10/21/2021</c:v>
                </c:pt>
                <c:pt idx="509">
                  <c:v>10/22/2021</c:v>
                </c:pt>
                <c:pt idx="510">
                  <c:v>10/25/2021</c:v>
                </c:pt>
                <c:pt idx="511">
                  <c:v>10/26/2021</c:v>
                </c:pt>
                <c:pt idx="512">
                  <c:v>10/27/2021</c:v>
                </c:pt>
                <c:pt idx="513">
                  <c:v>10/28/2021</c:v>
                </c:pt>
                <c:pt idx="514">
                  <c:v>10/29/2021</c:v>
                </c:pt>
                <c:pt idx="515">
                  <c:v>11/1/2021</c:v>
                </c:pt>
                <c:pt idx="516">
                  <c:v>11/2/2021</c:v>
                </c:pt>
                <c:pt idx="517">
                  <c:v>11/3/2021</c:v>
                </c:pt>
                <c:pt idx="518">
                  <c:v>11/4/2021</c:v>
                </c:pt>
                <c:pt idx="519">
                  <c:v>11/5/2021</c:v>
                </c:pt>
                <c:pt idx="520">
                  <c:v>11/8/2021</c:v>
                </c:pt>
                <c:pt idx="521">
                  <c:v>11/9/2021</c:v>
                </c:pt>
                <c:pt idx="522">
                  <c:v>11/10/2021</c:v>
                </c:pt>
                <c:pt idx="523">
                  <c:v>11/11/2021</c:v>
                </c:pt>
                <c:pt idx="524">
                  <c:v>11/12/2021</c:v>
                </c:pt>
                <c:pt idx="525">
                  <c:v>11/15/2021</c:v>
                </c:pt>
                <c:pt idx="526">
                  <c:v>11/16/2021</c:v>
                </c:pt>
                <c:pt idx="527">
                  <c:v>11/17/2021</c:v>
                </c:pt>
                <c:pt idx="528">
                  <c:v>11/18/2021</c:v>
                </c:pt>
                <c:pt idx="529">
                  <c:v>11/19/2021</c:v>
                </c:pt>
                <c:pt idx="530">
                  <c:v>11/22/2021</c:v>
                </c:pt>
                <c:pt idx="531">
                  <c:v>11/23/2021</c:v>
                </c:pt>
                <c:pt idx="532">
                  <c:v>11/24/2021</c:v>
                </c:pt>
                <c:pt idx="533">
                  <c:v>11/25/2021</c:v>
                </c:pt>
                <c:pt idx="534">
                  <c:v>11/26/2021</c:v>
                </c:pt>
                <c:pt idx="535">
                  <c:v>11/29/2021</c:v>
                </c:pt>
                <c:pt idx="536">
                  <c:v>11/30/2021</c:v>
                </c:pt>
                <c:pt idx="537">
                  <c:v>12/1/2021</c:v>
                </c:pt>
                <c:pt idx="538">
                  <c:v>12/2/2021</c:v>
                </c:pt>
                <c:pt idx="539">
                  <c:v>12/3/2021</c:v>
                </c:pt>
                <c:pt idx="540">
                  <c:v>12/6/2021</c:v>
                </c:pt>
                <c:pt idx="541">
                  <c:v>12/7/2021</c:v>
                </c:pt>
                <c:pt idx="542">
                  <c:v>12/8/2021</c:v>
                </c:pt>
                <c:pt idx="543">
                  <c:v>12/9/2021</c:v>
                </c:pt>
                <c:pt idx="544">
                  <c:v>12/10/2021</c:v>
                </c:pt>
                <c:pt idx="545">
                  <c:v>12/13/2021</c:v>
                </c:pt>
                <c:pt idx="546">
                  <c:v>12/14/2021</c:v>
                </c:pt>
                <c:pt idx="547">
                  <c:v>12/15/2021</c:v>
                </c:pt>
                <c:pt idx="548">
                  <c:v>12/16/2021</c:v>
                </c:pt>
                <c:pt idx="549">
                  <c:v>12/17/2021</c:v>
                </c:pt>
                <c:pt idx="550">
                  <c:v>12/20/2021</c:v>
                </c:pt>
                <c:pt idx="551">
                  <c:v>12/21/2021</c:v>
                </c:pt>
                <c:pt idx="552">
                  <c:v>12/22/2021</c:v>
                </c:pt>
                <c:pt idx="553">
                  <c:v>12/23/2021</c:v>
                </c:pt>
                <c:pt idx="554">
                  <c:v>12/24/2021</c:v>
                </c:pt>
                <c:pt idx="555">
                  <c:v>12/27/2021</c:v>
                </c:pt>
                <c:pt idx="556">
                  <c:v>12/28/2021</c:v>
                </c:pt>
                <c:pt idx="557">
                  <c:v>12/29/2021</c:v>
                </c:pt>
                <c:pt idx="558">
                  <c:v>12/30/2021</c:v>
                </c:pt>
                <c:pt idx="559">
                  <c:v>12/31/2021</c:v>
                </c:pt>
                <c:pt idx="560">
                  <c:v>1/3/2022</c:v>
                </c:pt>
                <c:pt idx="561">
                  <c:v>1/4/2022</c:v>
                </c:pt>
                <c:pt idx="562">
                  <c:v>1/5/2022</c:v>
                </c:pt>
                <c:pt idx="563">
                  <c:v>1/6/2022</c:v>
                </c:pt>
                <c:pt idx="564">
                  <c:v>1/7/2022</c:v>
                </c:pt>
                <c:pt idx="565">
                  <c:v>1/10/2022</c:v>
                </c:pt>
                <c:pt idx="566">
                  <c:v>1/11/2022</c:v>
                </c:pt>
                <c:pt idx="567">
                  <c:v>1/12/2022</c:v>
                </c:pt>
                <c:pt idx="568">
                  <c:v>1/13/2022</c:v>
                </c:pt>
                <c:pt idx="569">
                  <c:v>1/14/2022</c:v>
                </c:pt>
                <c:pt idx="570">
                  <c:v>1/17/2022</c:v>
                </c:pt>
                <c:pt idx="571">
                  <c:v>1/18/2022</c:v>
                </c:pt>
                <c:pt idx="572">
                  <c:v>1/19/2022</c:v>
                </c:pt>
                <c:pt idx="573">
                  <c:v>1/20/2022</c:v>
                </c:pt>
                <c:pt idx="574">
                  <c:v>1/21/2022</c:v>
                </c:pt>
                <c:pt idx="575">
                  <c:v>1/24/2022</c:v>
                </c:pt>
                <c:pt idx="576">
                  <c:v>1/25/2022</c:v>
                </c:pt>
                <c:pt idx="577">
                  <c:v>1/26/2022</c:v>
                </c:pt>
                <c:pt idx="578">
                  <c:v>1/27/2022</c:v>
                </c:pt>
                <c:pt idx="579">
                  <c:v>1/28/2022</c:v>
                </c:pt>
                <c:pt idx="580">
                  <c:v>1/31/2022</c:v>
                </c:pt>
                <c:pt idx="581">
                  <c:v>2/1/2022</c:v>
                </c:pt>
                <c:pt idx="582">
                  <c:v>2/2/2022</c:v>
                </c:pt>
                <c:pt idx="583">
                  <c:v>2/3/2022</c:v>
                </c:pt>
                <c:pt idx="584">
                  <c:v>2/4/2022</c:v>
                </c:pt>
                <c:pt idx="585">
                  <c:v>2/7/2022</c:v>
                </c:pt>
                <c:pt idx="586">
                  <c:v>2/8/2022</c:v>
                </c:pt>
                <c:pt idx="587">
                  <c:v>2/9/2022</c:v>
                </c:pt>
                <c:pt idx="588">
                  <c:v>2/10/2022</c:v>
                </c:pt>
                <c:pt idx="589">
                  <c:v>2/11/2022</c:v>
                </c:pt>
                <c:pt idx="590">
                  <c:v>2/14/2022</c:v>
                </c:pt>
                <c:pt idx="591">
                  <c:v>2/15/2022</c:v>
                </c:pt>
                <c:pt idx="592">
                  <c:v>2/16/2022</c:v>
                </c:pt>
                <c:pt idx="593">
                  <c:v>2/17/2022</c:v>
                </c:pt>
                <c:pt idx="594">
                  <c:v>2/18/2022</c:v>
                </c:pt>
                <c:pt idx="595">
                  <c:v>2/21/2022</c:v>
                </c:pt>
                <c:pt idx="596">
                  <c:v>2/22/2022</c:v>
                </c:pt>
                <c:pt idx="597">
                  <c:v>2/23/2022</c:v>
                </c:pt>
                <c:pt idx="598">
                  <c:v>2/24/2022</c:v>
                </c:pt>
                <c:pt idx="599">
                  <c:v>2/25/2022</c:v>
                </c:pt>
                <c:pt idx="600">
                  <c:v>2/28/2022</c:v>
                </c:pt>
                <c:pt idx="601">
                  <c:v>3/1/2022</c:v>
                </c:pt>
                <c:pt idx="602">
                  <c:v>3/2/2022</c:v>
                </c:pt>
                <c:pt idx="603">
                  <c:v>3/3/2022</c:v>
                </c:pt>
                <c:pt idx="604">
                  <c:v>3/4/2022</c:v>
                </c:pt>
                <c:pt idx="605">
                  <c:v>3/7/2022</c:v>
                </c:pt>
                <c:pt idx="606">
                  <c:v>3/8/2022</c:v>
                </c:pt>
                <c:pt idx="607">
                  <c:v>3/9/2022</c:v>
                </c:pt>
                <c:pt idx="608">
                  <c:v>3/10/2022</c:v>
                </c:pt>
                <c:pt idx="609">
                  <c:v>3/11/2022</c:v>
                </c:pt>
                <c:pt idx="610">
                  <c:v>3/14/2022</c:v>
                </c:pt>
                <c:pt idx="611">
                  <c:v>3/15/2022</c:v>
                </c:pt>
                <c:pt idx="612">
                  <c:v>3/16/2022</c:v>
                </c:pt>
                <c:pt idx="613">
                  <c:v>3/17/2022</c:v>
                </c:pt>
                <c:pt idx="614">
                  <c:v>3/18/2022</c:v>
                </c:pt>
                <c:pt idx="615">
                  <c:v>3/21/2022</c:v>
                </c:pt>
                <c:pt idx="616">
                  <c:v>3/22/2022</c:v>
                </c:pt>
                <c:pt idx="617">
                  <c:v>3/23/2022</c:v>
                </c:pt>
                <c:pt idx="618">
                  <c:v>3/24/2022</c:v>
                </c:pt>
                <c:pt idx="619">
                  <c:v>3/25/2022</c:v>
                </c:pt>
                <c:pt idx="620">
                  <c:v>3/28/2022</c:v>
                </c:pt>
                <c:pt idx="621">
                  <c:v>3/29/2022</c:v>
                </c:pt>
                <c:pt idx="622">
                  <c:v>3/30/2022</c:v>
                </c:pt>
                <c:pt idx="623">
                  <c:v>3/31/2022</c:v>
                </c:pt>
                <c:pt idx="624">
                  <c:v>4/1/2022</c:v>
                </c:pt>
                <c:pt idx="625">
                  <c:v>4/4/2022</c:v>
                </c:pt>
                <c:pt idx="626">
                  <c:v>4/5/2022</c:v>
                </c:pt>
                <c:pt idx="627">
                  <c:v>4/6/2022</c:v>
                </c:pt>
                <c:pt idx="628">
                  <c:v>4/7/2022</c:v>
                </c:pt>
                <c:pt idx="629">
                  <c:v>4/8/2022</c:v>
                </c:pt>
                <c:pt idx="630">
                  <c:v>4/11/2022</c:v>
                </c:pt>
                <c:pt idx="631">
                  <c:v>4/12/2022</c:v>
                </c:pt>
                <c:pt idx="632">
                  <c:v>4/13/2022</c:v>
                </c:pt>
                <c:pt idx="633">
                  <c:v>4/14/2022</c:v>
                </c:pt>
                <c:pt idx="634">
                  <c:v>4/18/2022</c:v>
                </c:pt>
                <c:pt idx="635">
                  <c:v>4/19/2022</c:v>
                </c:pt>
                <c:pt idx="636">
                  <c:v>4/20/2022</c:v>
                </c:pt>
                <c:pt idx="637">
                  <c:v>4/21/2022</c:v>
                </c:pt>
                <c:pt idx="638">
                  <c:v>4/22/2022</c:v>
                </c:pt>
                <c:pt idx="639">
                  <c:v>4/25/2022</c:v>
                </c:pt>
                <c:pt idx="640">
                  <c:v>4/26/2022</c:v>
                </c:pt>
                <c:pt idx="641">
                  <c:v>4/27/2022</c:v>
                </c:pt>
                <c:pt idx="642">
                  <c:v>4/28/2022</c:v>
                </c:pt>
                <c:pt idx="643">
                  <c:v>4/29/2022</c:v>
                </c:pt>
                <c:pt idx="644">
                  <c:v>5/2/2022</c:v>
                </c:pt>
                <c:pt idx="645">
                  <c:v>5/3/2022</c:v>
                </c:pt>
                <c:pt idx="646">
                  <c:v>5/4/2022</c:v>
                </c:pt>
                <c:pt idx="647">
                  <c:v>5/5/2022</c:v>
                </c:pt>
                <c:pt idx="648">
                  <c:v>5/6/2022</c:v>
                </c:pt>
                <c:pt idx="649">
                  <c:v>5/9/2022</c:v>
                </c:pt>
                <c:pt idx="650">
                  <c:v>5/10/2022</c:v>
                </c:pt>
                <c:pt idx="651">
                  <c:v>5/11/2022</c:v>
                </c:pt>
                <c:pt idx="652">
                  <c:v>5/12/2022</c:v>
                </c:pt>
                <c:pt idx="653">
                  <c:v>5/13/2022</c:v>
                </c:pt>
                <c:pt idx="654">
                  <c:v>5/16/2022</c:v>
                </c:pt>
                <c:pt idx="655">
                  <c:v>5/17/2022</c:v>
                </c:pt>
                <c:pt idx="656">
                  <c:v>5/18/2022</c:v>
                </c:pt>
                <c:pt idx="657">
                  <c:v>5/19/2022</c:v>
                </c:pt>
                <c:pt idx="658">
                  <c:v>5/20/2022</c:v>
                </c:pt>
                <c:pt idx="659">
                  <c:v>5/23/2022</c:v>
                </c:pt>
                <c:pt idx="660">
                  <c:v>5/24/2022</c:v>
                </c:pt>
                <c:pt idx="661">
                  <c:v>5/25/2022</c:v>
                </c:pt>
                <c:pt idx="662">
                  <c:v>5/26/2022</c:v>
                </c:pt>
                <c:pt idx="663">
                  <c:v>5/27/2022</c:v>
                </c:pt>
                <c:pt idx="664">
                  <c:v>5/30/2022</c:v>
                </c:pt>
                <c:pt idx="665">
                  <c:v>5/31/2022</c:v>
                </c:pt>
                <c:pt idx="666">
                  <c:v>6/1/2022</c:v>
                </c:pt>
                <c:pt idx="667">
                  <c:v>6/2/2022</c:v>
                </c:pt>
                <c:pt idx="668">
                  <c:v>6/3/2022</c:v>
                </c:pt>
                <c:pt idx="669">
                  <c:v>6/6/2022</c:v>
                </c:pt>
                <c:pt idx="670">
                  <c:v>6/7/2022</c:v>
                </c:pt>
                <c:pt idx="671">
                  <c:v>6/8/2022</c:v>
                </c:pt>
                <c:pt idx="672">
                  <c:v>6/9/2022</c:v>
                </c:pt>
                <c:pt idx="673">
                  <c:v>6/10/2022</c:v>
                </c:pt>
                <c:pt idx="674">
                  <c:v>6/13/2022</c:v>
                </c:pt>
                <c:pt idx="675">
                  <c:v>6/14/2022</c:v>
                </c:pt>
                <c:pt idx="676">
                  <c:v>6/15/2022</c:v>
                </c:pt>
                <c:pt idx="677">
                  <c:v>6/16/2022</c:v>
                </c:pt>
                <c:pt idx="678">
                  <c:v>6/17/2022</c:v>
                </c:pt>
                <c:pt idx="679">
                  <c:v>6/21/2022</c:v>
                </c:pt>
                <c:pt idx="680">
                  <c:v>6/22/2022</c:v>
                </c:pt>
                <c:pt idx="681">
                  <c:v>6/23/2022</c:v>
                </c:pt>
                <c:pt idx="682">
                  <c:v>6/24/2022</c:v>
                </c:pt>
                <c:pt idx="683">
                  <c:v>6/27/2022</c:v>
                </c:pt>
              </c:strCache>
            </c:strRef>
          </c:cat>
          <c:val>
            <c:numRef>
              <c:f>'Cheapest crude price'!$B$4:$B$687</c:f>
              <c:numCache>
                <c:formatCode>"$"#,##0.00</c:formatCode>
                <c:ptCount val="684"/>
                <c:pt idx="0">
                  <c:v>52.66</c:v>
                </c:pt>
                <c:pt idx="1">
                  <c:v>53.32</c:v>
                </c:pt>
                <c:pt idx="2">
                  <c:v>54.09</c:v>
                </c:pt>
                <c:pt idx="3">
                  <c:v>53.41</c:v>
                </c:pt>
                <c:pt idx="4">
                  <c:v>52.97</c:v>
                </c:pt>
                <c:pt idx="5">
                  <c:v>53.26</c:v>
                </c:pt>
                <c:pt idx="6">
                  <c:v>53.54</c:v>
                </c:pt>
                <c:pt idx="7">
                  <c:v>53.47</c:v>
                </c:pt>
                <c:pt idx="8">
                  <c:v>53.32</c:v>
                </c:pt>
                <c:pt idx="9">
                  <c:v>53.65</c:v>
                </c:pt>
                <c:pt idx="10">
                  <c:v>54.11</c:v>
                </c:pt>
                <c:pt idx="11">
                  <c:v>54.18</c:v>
                </c:pt>
                <c:pt idx="12">
                  <c:v>54.27</c:v>
                </c:pt>
                <c:pt idx="13">
                  <c:v>54.12</c:v>
                </c:pt>
                <c:pt idx="14">
                  <c:v>54.09</c:v>
                </c:pt>
                <c:pt idx="15">
                  <c:v>54.04</c:v>
                </c:pt>
                <c:pt idx="16">
                  <c:v>54.01</c:v>
                </c:pt>
                <c:pt idx="17">
                  <c:v>56.22</c:v>
                </c:pt>
                <c:pt idx="18">
                  <c:v>56.54</c:v>
                </c:pt>
                <c:pt idx="19">
                  <c:v>57.16</c:v>
                </c:pt>
                <c:pt idx="20">
                  <c:v>56.41</c:v>
                </c:pt>
                <c:pt idx="21">
                  <c:v>57.04</c:v>
                </c:pt>
                <c:pt idx="22">
                  <c:v>57.11</c:v>
                </c:pt>
                <c:pt idx="23">
                  <c:v>56.85</c:v>
                </c:pt>
                <c:pt idx="24">
                  <c:v>56.81</c:v>
                </c:pt>
                <c:pt idx="25">
                  <c:v>57.01</c:v>
                </c:pt>
                <c:pt idx="26">
                  <c:v>56.83</c:v>
                </c:pt>
                <c:pt idx="27">
                  <c:v>57.31</c:v>
                </c:pt>
                <c:pt idx="28">
                  <c:v>57</c:v>
                </c:pt>
                <c:pt idx="29">
                  <c:v>56.28</c:v>
                </c:pt>
                <c:pt idx="30">
                  <c:v>56.87</c:v>
                </c:pt>
                <c:pt idx="31">
                  <c:v>57.34</c:v>
                </c:pt>
                <c:pt idx="32">
                  <c:v>57.14</c:v>
                </c:pt>
                <c:pt idx="33">
                  <c:v>57.19</c:v>
                </c:pt>
                <c:pt idx="34">
                  <c:v>57.25</c:v>
                </c:pt>
                <c:pt idx="35">
                  <c:v>57.22</c:v>
                </c:pt>
                <c:pt idx="36">
                  <c:v>57.07</c:v>
                </c:pt>
                <c:pt idx="37">
                  <c:v>55.94</c:v>
                </c:pt>
                <c:pt idx="38">
                  <c:v>56.07</c:v>
                </c:pt>
                <c:pt idx="39">
                  <c:v>58.17</c:v>
                </c:pt>
                <c:pt idx="40">
                  <c:v>58.17</c:v>
                </c:pt>
                <c:pt idx="41">
                  <c:v>58.79</c:v>
                </c:pt>
                <c:pt idx="42">
                  <c:v>58.65</c:v>
                </c:pt>
                <c:pt idx="43">
                  <c:v>58.81</c:v>
                </c:pt>
                <c:pt idx="44">
                  <c:v>58.49</c:v>
                </c:pt>
                <c:pt idx="45">
                  <c:v>58.74</c:v>
                </c:pt>
                <c:pt idx="46">
                  <c:v>59.26</c:v>
                </c:pt>
                <c:pt idx="47">
                  <c:v>59.34</c:v>
                </c:pt>
                <c:pt idx="48">
                  <c:v>59.69</c:v>
                </c:pt>
                <c:pt idx="49">
                  <c:v>59.68</c:v>
                </c:pt>
                <c:pt idx="50">
                  <c:v>59.81</c:v>
                </c:pt>
                <c:pt idx="51">
                  <c:v>59.56</c:v>
                </c:pt>
                <c:pt idx="52">
                  <c:v>59.58</c:v>
                </c:pt>
                <c:pt idx="53">
                  <c:v>59.72</c:v>
                </c:pt>
                <c:pt idx="54">
                  <c:v>59.83</c:v>
                </c:pt>
                <c:pt idx="55">
                  <c:v>59.84</c:v>
                </c:pt>
                <c:pt idx="56">
                  <c:v>59.83</c:v>
                </c:pt>
                <c:pt idx="57">
                  <c:v>59.8</c:v>
                </c:pt>
                <c:pt idx="58">
                  <c:v>61.09</c:v>
                </c:pt>
                <c:pt idx="59">
                  <c:v>62.52</c:v>
                </c:pt>
                <c:pt idx="60">
                  <c:v>61.98</c:v>
                </c:pt>
                <c:pt idx="61">
                  <c:v>60.67</c:v>
                </c:pt>
                <c:pt idx="62">
                  <c:v>60.11</c:v>
                </c:pt>
                <c:pt idx="63">
                  <c:v>58.8</c:v>
                </c:pt>
                <c:pt idx="64">
                  <c:v>58.94</c:v>
                </c:pt>
                <c:pt idx="65">
                  <c:v>55.53</c:v>
                </c:pt>
                <c:pt idx="66">
                  <c:v>54.68</c:v>
                </c:pt>
                <c:pt idx="67">
                  <c:v>55.01</c:v>
                </c:pt>
                <c:pt idx="68">
                  <c:v>55.74</c:v>
                </c:pt>
                <c:pt idx="69">
                  <c:v>55.13</c:v>
                </c:pt>
                <c:pt idx="70">
                  <c:v>54.21</c:v>
                </c:pt>
                <c:pt idx="71">
                  <c:v>54.2</c:v>
                </c:pt>
                <c:pt idx="72">
                  <c:v>55.59</c:v>
                </c:pt>
                <c:pt idx="73">
                  <c:v>55.9</c:v>
                </c:pt>
                <c:pt idx="74">
                  <c:v>56.77</c:v>
                </c:pt>
                <c:pt idx="75">
                  <c:v>57.28</c:v>
                </c:pt>
                <c:pt idx="76">
                  <c:v>56.72</c:v>
                </c:pt>
                <c:pt idx="77">
                  <c:v>57.56</c:v>
                </c:pt>
                <c:pt idx="78">
                  <c:v>57.53</c:v>
                </c:pt>
                <c:pt idx="79">
                  <c:v>50.16</c:v>
                </c:pt>
                <c:pt idx="80">
                  <c:v>49.7</c:v>
                </c:pt>
                <c:pt idx="81">
                  <c:v>50.71</c:v>
                </c:pt>
                <c:pt idx="82">
                  <c:v>50.88</c:v>
                </c:pt>
                <c:pt idx="83">
                  <c:v>50.4</c:v>
                </c:pt>
                <c:pt idx="84">
                  <c:v>49.84</c:v>
                </c:pt>
                <c:pt idx="85">
                  <c:v>50.1</c:v>
                </c:pt>
                <c:pt idx="86">
                  <c:v>50.88</c:v>
                </c:pt>
                <c:pt idx="87">
                  <c:v>51.03</c:v>
                </c:pt>
                <c:pt idx="88">
                  <c:v>51.37</c:v>
                </c:pt>
                <c:pt idx="89">
                  <c:v>48.35</c:v>
                </c:pt>
                <c:pt idx="90">
                  <c:v>34.72</c:v>
                </c:pt>
                <c:pt idx="91">
                  <c:v>35.729999999999997</c:v>
                </c:pt>
                <c:pt idx="92">
                  <c:v>35.56</c:v>
                </c:pt>
                <c:pt idx="93">
                  <c:v>33.270000000000003</c:v>
                </c:pt>
                <c:pt idx="94">
                  <c:v>34.14</c:v>
                </c:pt>
                <c:pt idx="95">
                  <c:v>30.63</c:v>
                </c:pt>
                <c:pt idx="96">
                  <c:v>30.36</c:v>
                </c:pt>
                <c:pt idx="97">
                  <c:v>27.31</c:v>
                </c:pt>
                <c:pt idx="98">
                  <c:v>26.73</c:v>
                </c:pt>
                <c:pt idx="99">
                  <c:v>28.57</c:v>
                </c:pt>
                <c:pt idx="100">
                  <c:v>24.72</c:v>
                </c:pt>
                <c:pt idx="101">
                  <c:v>26.53</c:v>
                </c:pt>
                <c:pt idx="102">
                  <c:v>26.94</c:v>
                </c:pt>
                <c:pt idx="103">
                  <c:v>26.04</c:v>
                </c:pt>
                <c:pt idx="104">
                  <c:v>24.26</c:v>
                </c:pt>
                <c:pt idx="105">
                  <c:v>21.66</c:v>
                </c:pt>
                <c:pt idx="106">
                  <c:v>22.61</c:v>
                </c:pt>
                <c:pt idx="107">
                  <c:v>16.850000000000001</c:v>
                </c:pt>
                <c:pt idx="108">
                  <c:v>18.91</c:v>
                </c:pt>
                <c:pt idx="109">
                  <c:v>23.01</c:v>
                </c:pt>
                <c:pt idx="110">
                  <c:v>23.48</c:v>
                </c:pt>
                <c:pt idx="111">
                  <c:v>22.67</c:v>
                </c:pt>
                <c:pt idx="112">
                  <c:v>21.19</c:v>
                </c:pt>
                <c:pt idx="113">
                  <c:v>21.77</c:v>
                </c:pt>
                <c:pt idx="114">
                  <c:v>21.18</c:v>
                </c:pt>
                <c:pt idx="115">
                  <c:v>19.7</c:v>
                </c:pt>
                <c:pt idx="116">
                  <c:v>17.510000000000002</c:v>
                </c:pt>
                <c:pt idx="117">
                  <c:v>17.73</c:v>
                </c:pt>
                <c:pt idx="118">
                  <c:v>18.170000000000002</c:v>
                </c:pt>
                <c:pt idx="119">
                  <c:v>14.19</c:v>
                </c:pt>
                <c:pt idx="120">
                  <c:v>14.63</c:v>
                </c:pt>
                <c:pt idx="121">
                  <c:v>12.22</c:v>
                </c:pt>
                <c:pt idx="122">
                  <c:v>15.23</c:v>
                </c:pt>
                <c:pt idx="123">
                  <c:v>14.31</c:v>
                </c:pt>
                <c:pt idx="124">
                  <c:v>13.3</c:v>
                </c:pt>
                <c:pt idx="125">
                  <c:v>12.41</c:v>
                </c:pt>
                <c:pt idx="126">
                  <c:v>14.36</c:v>
                </c:pt>
                <c:pt idx="127">
                  <c:v>18.05</c:v>
                </c:pt>
                <c:pt idx="128">
                  <c:v>16.52</c:v>
                </c:pt>
                <c:pt idx="129">
                  <c:v>18.36</c:v>
                </c:pt>
                <c:pt idx="130">
                  <c:v>21.43</c:v>
                </c:pt>
                <c:pt idx="131">
                  <c:v>22.4</c:v>
                </c:pt>
                <c:pt idx="132">
                  <c:v>16.18</c:v>
                </c:pt>
                <c:pt idx="133">
                  <c:v>15.5</c:v>
                </c:pt>
                <c:pt idx="134">
                  <c:v>16.23</c:v>
                </c:pt>
                <c:pt idx="135">
                  <c:v>17.010000000000002</c:v>
                </c:pt>
                <c:pt idx="136">
                  <c:v>17.12</c:v>
                </c:pt>
                <c:pt idx="137">
                  <c:v>16.32</c:v>
                </c:pt>
                <c:pt idx="138">
                  <c:v>16.260000000000002</c:v>
                </c:pt>
                <c:pt idx="139">
                  <c:v>16.52</c:v>
                </c:pt>
                <c:pt idx="140">
                  <c:v>16.7</c:v>
                </c:pt>
                <c:pt idx="141">
                  <c:v>20.66</c:v>
                </c:pt>
                <c:pt idx="142">
                  <c:v>21.2</c:v>
                </c:pt>
                <c:pt idx="143">
                  <c:v>24.79</c:v>
                </c:pt>
                <c:pt idx="144">
                  <c:v>24.2</c:v>
                </c:pt>
                <c:pt idx="145">
                  <c:v>23.72</c:v>
                </c:pt>
                <c:pt idx="146">
                  <c:v>24.67</c:v>
                </c:pt>
                <c:pt idx="147">
                  <c:v>24.08</c:v>
                </c:pt>
                <c:pt idx="148">
                  <c:v>25.01</c:v>
                </c:pt>
                <c:pt idx="149">
                  <c:v>24.66</c:v>
                </c:pt>
                <c:pt idx="150">
                  <c:v>25.88</c:v>
                </c:pt>
                <c:pt idx="151">
                  <c:v>26.74</c:v>
                </c:pt>
                <c:pt idx="152">
                  <c:v>27.72</c:v>
                </c:pt>
                <c:pt idx="153">
                  <c:v>27.86</c:v>
                </c:pt>
                <c:pt idx="154">
                  <c:v>28.4</c:v>
                </c:pt>
                <c:pt idx="155">
                  <c:v>28.53</c:v>
                </c:pt>
                <c:pt idx="156">
                  <c:v>28.36</c:v>
                </c:pt>
                <c:pt idx="157">
                  <c:v>28.58</c:v>
                </c:pt>
                <c:pt idx="158">
                  <c:v>28.35</c:v>
                </c:pt>
                <c:pt idx="159">
                  <c:v>28.44</c:v>
                </c:pt>
                <c:pt idx="160">
                  <c:v>28.53</c:v>
                </c:pt>
                <c:pt idx="161">
                  <c:v>35.54</c:v>
                </c:pt>
                <c:pt idx="162">
                  <c:v>36.82</c:v>
                </c:pt>
                <c:pt idx="163">
                  <c:v>37.270000000000003</c:v>
                </c:pt>
                <c:pt idx="164">
                  <c:v>37.369999999999997</c:v>
                </c:pt>
                <c:pt idx="165">
                  <c:v>38.17</c:v>
                </c:pt>
                <c:pt idx="166">
                  <c:v>37.18</c:v>
                </c:pt>
                <c:pt idx="167">
                  <c:v>37.99</c:v>
                </c:pt>
                <c:pt idx="168">
                  <c:v>37.340000000000003</c:v>
                </c:pt>
                <c:pt idx="169">
                  <c:v>36.97</c:v>
                </c:pt>
                <c:pt idx="170">
                  <c:v>36.93</c:v>
                </c:pt>
                <c:pt idx="171">
                  <c:v>37.42</c:v>
                </c:pt>
                <c:pt idx="172">
                  <c:v>38.03</c:v>
                </c:pt>
                <c:pt idx="173">
                  <c:v>37.840000000000003</c:v>
                </c:pt>
                <c:pt idx="174">
                  <c:v>38.19</c:v>
                </c:pt>
                <c:pt idx="175">
                  <c:v>38.479999999999997</c:v>
                </c:pt>
                <c:pt idx="176">
                  <c:v>38.76</c:v>
                </c:pt>
                <c:pt idx="177">
                  <c:v>38.659999999999997</c:v>
                </c:pt>
                <c:pt idx="178">
                  <c:v>38.130000000000003</c:v>
                </c:pt>
                <c:pt idx="179">
                  <c:v>38.25</c:v>
                </c:pt>
                <c:pt idx="180">
                  <c:v>38.22</c:v>
                </c:pt>
                <c:pt idx="181">
                  <c:v>38.33</c:v>
                </c:pt>
                <c:pt idx="182">
                  <c:v>38.31</c:v>
                </c:pt>
                <c:pt idx="183">
                  <c:v>39.86</c:v>
                </c:pt>
                <c:pt idx="184">
                  <c:v>40.65</c:v>
                </c:pt>
                <c:pt idx="185">
                  <c:v>40.630000000000003</c:v>
                </c:pt>
                <c:pt idx="186">
                  <c:v>40.61</c:v>
                </c:pt>
                <c:pt idx="187">
                  <c:v>40.869999999999997</c:v>
                </c:pt>
                <c:pt idx="188">
                  <c:v>39.9</c:v>
                </c:pt>
                <c:pt idx="189">
                  <c:v>40.58</c:v>
                </c:pt>
                <c:pt idx="190">
                  <c:v>40.28</c:v>
                </c:pt>
                <c:pt idx="191">
                  <c:v>40.409999999999997</c:v>
                </c:pt>
                <c:pt idx="192">
                  <c:v>40.93</c:v>
                </c:pt>
                <c:pt idx="193">
                  <c:v>40.67</c:v>
                </c:pt>
                <c:pt idx="194">
                  <c:v>40.590000000000003</c:v>
                </c:pt>
                <c:pt idx="195">
                  <c:v>40.67</c:v>
                </c:pt>
                <c:pt idx="196">
                  <c:v>41.08</c:v>
                </c:pt>
                <c:pt idx="197">
                  <c:v>41.08</c:v>
                </c:pt>
                <c:pt idx="198">
                  <c:v>40.81</c:v>
                </c:pt>
                <c:pt idx="199">
                  <c:v>40.869999999999997</c:v>
                </c:pt>
                <c:pt idx="200">
                  <c:v>40.94</c:v>
                </c:pt>
                <c:pt idx="201">
                  <c:v>40.840000000000003</c:v>
                </c:pt>
                <c:pt idx="202">
                  <c:v>40.869999999999997</c:v>
                </c:pt>
                <c:pt idx="203">
                  <c:v>40.75</c:v>
                </c:pt>
                <c:pt idx="204">
                  <c:v>40.770000000000003</c:v>
                </c:pt>
                <c:pt idx="205">
                  <c:v>41.11</c:v>
                </c:pt>
                <c:pt idx="206">
                  <c:v>41.74</c:v>
                </c:pt>
                <c:pt idx="207">
                  <c:v>42.19</c:v>
                </c:pt>
                <c:pt idx="208">
                  <c:v>41.99</c:v>
                </c:pt>
                <c:pt idx="209">
                  <c:v>41.4</c:v>
                </c:pt>
                <c:pt idx="210">
                  <c:v>41.94</c:v>
                </c:pt>
                <c:pt idx="211">
                  <c:v>41.71</c:v>
                </c:pt>
                <c:pt idx="212">
                  <c:v>42.43</c:v>
                </c:pt>
                <c:pt idx="213">
                  <c:v>42.16</c:v>
                </c:pt>
                <c:pt idx="214">
                  <c:v>42.04</c:v>
                </c:pt>
                <c:pt idx="215">
                  <c:v>42.49</c:v>
                </c:pt>
                <c:pt idx="216">
                  <c:v>42.47</c:v>
                </c:pt>
                <c:pt idx="217">
                  <c:v>42.47</c:v>
                </c:pt>
                <c:pt idx="218">
                  <c:v>41.64</c:v>
                </c:pt>
                <c:pt idx="219">
                  <c:v>40.29</c:v>
                </c:pt>
                <c:pt idx="220">
                  <c:v>39.82</c:v>
                </c:pt>
                <c:pt idx="221">
                  <c:v>39.83</c:v>
                </c:pt>
                <c:pt idx="222">
                  <c:v>39.369999999999997</c:v>
                </c:pt>
                <c:pt idx="223">
                  <c:v>38.96</c:v>
                </c:pt>
                <c:pt idx="224">
                  <c:v>39.35</c:v>
                </c:pt>
                <c:pt idx="225">
                  <c:v>41.29</c:v>
                </c:pt>
                <c:pt idx="226">
                  <c:v>42.07</c:v>
                </c:pt>
                <c:pt idx="227">
                  <c:v>41.67</c:v>
                </c:pt>
                <c:pt idx="228">
                  <c:v>41.49</c:v>
                </c:pt>
                <c:pt idx="229">
                  <c:v>40.18</c:v>
                </c:pt>
                <c:pt idx="230">
                  <c:v>37.76</c:v>
                </c:pt>
                <c:pt idx="231">
                  <c:v>38.72</c:v>
                </c:pt>
                <c:pt idx="232">
                  <c:v>38.18</c:v>
                </c:pt>
                <c:pt idx="233">
                  <c:v>38.19</c:v>
                </c:pt>
                <c:pt idx="234">
                  <c:v>38.14</c:v>
                </c:pt>
                <c:pt idx="235">
                  <c:v>38.72</c:v>
                </c:pt>
                <c:pt idx="236">
                  <c:v>39.700000000000003</c:v>
                </c:pt>
                <c:pt idx="237">
                  <c:v>38.090000000000003</c:v>
                </c:pt>
                <c:pt idx="238">
                  <c:v>39.07</c:v>
                </c:pt>
                <c:pt idx="239">
                  <c:v>39.450000000000003</c:v>
                </c:pt>
                <c:pt idx="240">
                  <c:v>39.54</c:v>
                </c:pt>
                <c:pt idx="241">
                  <c:v>39.58</c:v>
                </c:pt>
                <c:pt idx="242">
                  <c:v>39.67</c:v>
                </c:pt>
                <c:pt idx="243">
                  <c:v>39.659999999999997</c:v>
                </c:pt>
                <c:pt idx="244">
                  <c:v>39.71</c:v>
                </c:pt>
                <c:pt idx="245">
                  <c:v>39.58</c:v>
                </c:pt>
                <c:pt idx="246">
                  <c:v>39.630000000000003</c:v>
                </c:pt>
                <c:pt idx="247">
                  <c:v>38.83</c:v>
                </c:pt>
                <c:pt idx="248">
                  <c:v>37.229999999999997</c:v>
                </c:pt>
                <c:pt idx="249">
                  <c:v>39.200000000000003</c:v>
                </c:pt>
                <c:pt idx="250">
                  <c:v>40.450000000000003</c:v>
                </c:pt>
                <c:pt idx="251">
                  <c:v>39.86</c:v>
                </c:pt>
                <c:pt idx="252">
                  <c:v>40.82</c:v>
                </c:pt>
                <c:pt idx="253">
                  <c:v>39.22</c:v>
                </c:pt>
                <c:pt idx="254">
                  <c:v>39.53</c:v>
                </c:pt>
                <c:pt idx="255">
                  <c:v>38.42</c:v>
                </c:pt>
                <c:pt idx="256">
                  <c:v>37.119999999999997</c:v>
                </c:pt>
                <c:pt idx="257">
                  <c:v>36.5</c:v>
                </c:pt>
                <c:pt idx="258">
                  <c:v>35.89</c:v>
                </c:pt>
                <c:pt idx="259">
                  <c:v>38.44</c:v>
                </c:pt>
                <c:pt idx="260">
                  <c:v>39.090000000000003</c:v>
                </c:pt>
                <c:pt idx="261">
                  <c:v>39.79</c:v>
                </c:pt>
                <c:pt idx="262">
                  <c:v>39.22</c:v>
                </c:pt>
                <c:pt idx="263">
                  <c:v>39.97</c:v>
                </c:pt>
                <c:pt idx="264">
                  <c:v>39.799999999999997</c:v>
                </c:pt>
                <c:pt idx="265">
                  <c:v>39.979999999999997</c:v>
                </c:pt>
                <c:pt idx="266">
                  <c:v>39.119999999999997</c:v>
                </c:pt>
                <c:pt idx="267">
                  <c:v>37.65</c:v>
                </c:pt>
                <c:pt idx="268">
                  <c:v>37.46</c:v>
                </c:pt>
                <c:pt idx="269">
                  <c:v>36.9</c:v>
                </c:pt>
                <c:pt idx="270">
                  <c:v>37.700000000000003</c:v>
                </c:pt>
                <c:pt idx="271">
                  <c:v>39.04</c:v>
                </c:pt>
                <c:pt idx="272">
                  <c:v>38.729999999999997</c:v>
                </c:pt>
                <c:pt idx="273">
                  <c:v>37.42</c:v>
                </c:pt>
                <c:pt idx="274">
                  <c:v>39.78</c:v>
                </c:pt>
                <c:pt idx="275">
                  <c:v>40.520000000000003</c:v>
                </c:pt>
                <c:pt idx="276">
                  <c:v>40.58</c:v>
                </c:pt>
                <c:pt idx="277">
                  <c:v>40.380000000000003</c:v>
                </c:pt>
                <c:pt idx="278">
                  <c:v>39.83</c:v>
                </c:pt>
                <c:pt idx="279">
                  <c:v>40.42</c:v>
                </c:pt>
                <c:pt idx="280">
                  <c:v>40.46</c:v>
                </c:pt>
                <c:pt idx="281">
                  <c:v>40.61</c:v>
                </c:pt>
                <c:pt idx="282">
                  <c:v>40.57</c:v>
                </c:pt>
                <c:pt idx="283">
                  <c:v>40.72</c:v>
                </c:pt>
                <c:pt idx="284">
                  <c:v>40.880000000000003</c:v>
                </c:pt>
                <c:pt idx="285">
                  <c:v>41.25</c:v>
                </c:pt>
                <c:pt idx="286">
                  <c:v>41.37</c:v>
                </c:pt>
                <c:pt idx="287">
                  <c:v>41.36</c:v>
                </c:pt>
                <c:pt idx="288">
                  <c:v>41.35</c:v>
                </c:pt>
                <c:pt idx="289">
                  <c:v>44.61</c:v>
                </c:pt>
                <c:pt idx="290">
                  <c:v>45.3</c:v>
                </c:pt>
                <c:pt idx="291">
                  <c:v>45.62</c:v>
                </c:pt>
                <c:pt idx="292">
                  <c:v>46.16</c:v>
                </c:pt>
                <c:pt idx="293">
                  <c:v>45.76</c:v>
                </c:pt>
                <c:pt idx="294">
                  <c:v>45.64</c:v>
                </c:pt>
                <c:pt idx="295">
                  <c:v>45.58</c:v>
                </c:pt>
                <c:pt idx="296">
                  <c:v>46.44</c:v>
                </c:pt>
                <c:pt idx="297">
                  <c:v>46.3</c:v>
                </c:pt>
                <c:pt idx="298">
                  <c:v>46.54</c:v>
                </c:pt>
                <c:pt idx="299">
                  <c:v>46.89</c:v>
                </c:pt>
                <c:pt idx="300">
                  <c:v>46.99</c:v>
                </c:pt>
                <c:pt idx="301">
                  <c:v>47.24</c:v>
                </c:pt>
                <c:pt idx="302">
                  <c:v>47.53</c:v>
                </c:pt>
                <c:pt idx="303">
                  <c:v>47.06</c:v>
                </c:pt>
                <c:pt idx="304">
                  <c:v>46.76</c:v>
                </c:pt>
                <c:pt idx="305">
                  <c:v>47.06</c:v>
                </c:pt>
                <c:pt idx="306">
                  <c:v>47.09</c:v>
                </c:pt>
                <c:pt idx="307">
                  <c:v>46.97</c:v>
                </c:pt>
                <c:pt idx="308">
                  <c:v>47.03</c:v>
                </c:pt>
                <c:pt idx="309">
                  <c:v>47.06</c:v>
                </c:pt>
                <c:pt idx="310">
                  <c:v>47.07</c:v>
                </c:pt>
                <c:pt idx="311">
                  <c:v>47.67</c:v>
                </c:pt>
                <c:pt idx="312">
                  <c:v>49.84</c:v>
                </c:pt>
                <c:pt idx="313">
                  <c:v>50.46</c:v>
                </c:pt>
                <c:pt idx="314">
                  <c:v>50.62</c:v>
                </c:pt>
                <c:pt idx="315">
                  <c:v>51.72</c:v>
                </c:pt>
                <c:pt idx="316">
                  <c:v>51.73</c:v>
                </c:pt>
                <c:pt idx="317">
                  <c:v>52.39</c:v>
                </c:pt>
                <c:pt idx="318">
                  <c:v>52.21</c:v>
                </c:pt>
                <c:pt idx="319">
                  <c:v>52.59</c:v>
                </c:pt>
                <c:pt idx="320">
                  <c:v>51.96</c:v>
                </c:pt>
                <c:pt idx="321">
                  <c:v>45.13</c:v>
                </c:pt>
                <c:pt idx="322">
                  <c:v>52.37</c:v>
                </c:pt>
                <c:pt idx="323">
                  <c:v>52.3</c:v>
                </c:pt>
                <c:pt idx="324">
                  <c:v>52.03</c:v>
                </c:pt>
                <c:pt idx="325">
                  <c:v>52.16</c:v>
                </c:pt>
                <c:pt idx="326">
                  <c:v>52.13</c:v>
                </c:pt>
                <c:pt idx="327">
                  <c:v>52.16</c:v>
                </c:pt>
                <c:pt idx="328">
                  <c:v>52.11</c:v>
                </c:pt>
                <c:pt idx="329">
                  <c:v>52.1</c:v>
                </c:pt>
                <c:pt idx="330">
                  <c:v>53.52</c:v>
                </c:pt>
                <c:pt idx="331">
                  <c:v>54.67</c:v>
                </c:pt>
                <c:pt idx="332">
                  <c:v>55.5</c:v>
                </c:pt>
                <c:pt idx="333">
                  <c:v>55.95</c:v>
                </c:pt>
                <c:pt idx="334">
                  <c:v>56.44</c:v>
                </c:pt>
                <c:pt idx="335">
                  <c:v>57.27</c:v>
                </c:pt>
                <c:pt idx="336">
                  <c:v>57.54</c:v>
                </c:pt>
                <c:pt idx="337">
                  <c:v>57.74</c:v>
                </c:pt>
                <c:pt idx="338">
                  <c:v>57.49</c:v>
                </c:pt>
                <c:pt idx="339">
                  <c:v>58.14</c:v>
                </c:pt>
                <c:pt idx="340">
                  <c:v>58.44</c:v>
                </c:pt>
                <c:pt idx="341">
                  <c:v>50.94</c:v>
                </c:pt>
                <c:pt idx="342">
                  <c:v>58.67</c:v>
                </c:pt>
                <c:pt idx="343">
                  <c:v>58.26</c:v>
                </c:pt>
                <c:pt idx="344">
                  <c:v>58.9</c:v>
                </c:pt>
                <c:pt idx="345">
                  <c:v>58.89</c:v>
                </c:pt>
                <c:pt idx="346">
                  <c:v>59.14</c:v>
                </c:pt>
                <c:pt idx="347">
                  <c:v>59.17</c:v>
                </c:pt>
                <c:pt idx="348">
                  <c:v>59.06</c:v>
                </c:pt>
                <c:pt idx="349">
                  <c:v>60.57</c:v>
                </c:pt>
                <c:pt idx="350">
                  <c:v>59.73</c:v>
                </c:pt>
                <c:pt idx="351">
                  <c:v>61.13</c:v>
                </c:pt>
                <c:pt idx="352">
                  <c:v>63.34</c:v>
                </c:pt>
                <c:pt idx="353">
                  <c:v>65.22</c:v>
                </c:pt>
                <c:pt idx="354">
                  <c:v>64.42</c:v>
                </c:pt>
                <c:pt idx="355">
                  <c:v>62.47</c:v>
                </c:pt>
                <c:pt idx="356">
                  <c:v>63.22</c:v>
                </c:pt>
                <c:pt idx="357">
                  <c:v>62.27</c:v>
                </c:pt>
                <c:pt idx="358">
                  <c:v>61.61</c:v>
                </c:pt>
                <c:pt idx="359">
                  <c:v>61.63</c:v>
                </c:pt>
                <c:pt idx="360">
                  <c:v>62.56</c:v>
                </c:pt>
                <c:pt idx="361">
                  <c:v>62.86</c:v>
                </c:pt>
                <c:pt idx="362">
                  <c:v>62.26</c:v>
                </c:pt>
                <c:pt idx="363">
                  <c:v>62.8</c:v>
                </c:pt>
                <c:pt idx="364">
                  <c:v>50.51</c:v>
                </c:pt>
                <c:pt idx="365">
                  <c:v>60.79</c:v>
                </c:pt>
                <c:pt idx="366">
                  <c:v>61.31</c:v>
                </c:pt>
                <c:pt idx="367">
                  <c:v>60.67</c:v>
                </c:pt>
                <c:pt idx="368">
                  <c:v>61.2</c:v>
                </c:pt>
                <c:pt idx="369">
                  <c:v>61.12</c:v>
                </c:pt>
                <c:pt idx="370">
                  <c:v>61.44</c:v>
                </c:pt>
                <c:pt idx="371">
                  <c:v>61.85</c:v>
                </c:pt>
                <c:pt idx="372">
                  <c:v>61.46</c:v>
                </c:pt>
                <c:pt idx="373">
                  <c:v>58.79</c:v>
                </c:pt>
                <c:pt idx="374">
                  <c:v>59.41</c:v>
                </c:pt>
                <c:pt idx="375">
                  <c:v>59.79</c:v>
                </c:pt>
                <c:pt idx="376">
                  <c:v>59.65</c:v>
                </c:pt>
                <c:pt idx="377">
                  <c:v>59.44</c:v>
                </c:pt>
                <c:pt idx="378">
                  <c:v>59.72</c:v>
                </c:pt>
                <c:pt idx="379">
                  <c:v>60.04</c:v>
                </c:pt>
                <c:pt idx="380">
                  <c:v>61.88</c:v>
                </c:pt>
                <c:pt idx="381">
                  <c:v>62.05</c:v>
                </c:pt>
                <c:pt idx="382">
                  <c:v>61.88</c:v>
                </c:pt>
                <c:pt idx="383">
                  <c:v>62</c:v>
                </c:pt>
                <c:pt idx="384">
                  <c:v>61.66</c:v>
                </c:pt>
                <c:pt idx="385">
                  <c:v>54.78</c:v>
                </c:pt>
                <c:pt idx="386">
                  <c:v>61.19</c:v>
                </c:pt>
                <c:pt idx="387">
                  <c:v>61.39</c:v>
                </c:pt>
                <c:pt idx="388">
                  <c:v>61.33</c:v>
                </c:pt>
                <c:pt idx="389">
                  <c:v>61.53</c:v>
                </c:pt>
                <c:pt idx="390">
                  <c:v>61.66</c:v>
                </c:pt>
                <c:pt idx="391">
                  <c:v>61.77</c:v>
                </c:pt>
                <c:pt idx="392">
                  <c:v>61.7</c:v>
                </c:pt>
                <c:pt idx="393">
                  <c:v>64.47</c:v>
                </c:pt>
                <c:pt idx="394">
                  <c:v>65.61</c:v>
                </c:pt>
                <c:pt idx="395">
                  <c:v>65.56</c:v>
                </c:pt>
                <c:pt idx="396">
                  <c:v>64.78</c:v>
                </c:pt>
                <c:pt idx="397">
                  <c:v>64.94</c:v>
                </c:pt>
                <c:pt idx="398">
                  <c:v>64.959999999999994</c:v>
                </c:pt>
                <c:pt idx="399">
                  <c:v>64.180000000000007</c:v>
                </c:pt>
                <c:pt idx="400">
                  <c:v>65.739999999999995</c:v>
                </c:pt>
                <c:pt idx="401">
                  <c:v>64.38</c:v>
                </c:pt>
                <c:pt idx="402">
                  <c:v>65.23</c:v>
                </c:pt>
                <c:pt idx="403">
                  <c:v>65.680000000000007</c:v>
                </c:pt>
                <c:pt idx="404">
                  <c:v>65.33</c:v>
                </c:pt>
                <c:pt idx="405">
                  <c:v>64.47</c:v>
                </c:pt>
                <c:pt idx="406">
                  <c:v>58.46</c:v>
                </c:pt>
                <c:pt idx="407">
                  <c:v>64.48</c:v>
                </c:pt>
                <c:pt idx="408">
                  <c:v>65.09</c:v>
                </c:pt>
                <c:pt idx="409">
                  <c:v>65.099999999999994</c:v>
                </c:pt>
                <c:pt idx="410">
                  <c:v>65.12</c:v>
                </c:pt>
                <c:pt idx="411">
                  <c:v>65.180000000000007</c:v>
                </c:pt>
                <c:pt idx="412">
                  <c:v>65.16</c:v>
                </c:pt>
                <c:pt idx="413">
                  <c:v>67.67</c:v>
                </c:pt>
                <c:pt idx="414">
                  <c:v>68.73</c:v>
                </c:pt>
                <c:pt idx="415">
                  <c:v>68.7</c:v>
                </c:pt>
                <c:pt idx="416">
                  <c:v>69.400000000000006</c:v>
                </c:pt>
                <c:pt idx="417">
                  <c:v>69.09</c:v>
                </c:pt>
                <c:pt idx="418">
                  <c:v>69.73</c:v>
                </c:pt>
                <c:pt idx="419">
                  <c:v>69.66</c:v>
                </c:pt>
                <c:pt idx="420">
                  <c:v>69.88</c:v>
                </c:pt>
                <c:pt idx="421">
                  <c:v>70.25</c:v>
                </c:pt>
                <c:pt idx="422">
                  <c:v>70.239999999999995</c:v>
                </c:pt>
                <c:pt idx="423">
                  <c:v>70.92</c:v>
                </c:pt>
                <c:pt idx="424">
                  <c:v>70.95</c:v>
                </c:pt>
                <c:pt idx="425">
                  <c:v>70.430000000000007</c:v>
                </c:pt>
                <c:pt idx="426">
                  <c:v>70.650000000000006</c:v>
                </c:pt>
                <c:pt idx="427">
                  <c:v>71.33</c:v>
                </c:pt>
                <c:pt idx="428">
                  <c:v>58.46</c:v>
                </c:pt>
                <c:pt idx="429">
                  <c:v>71.290000000000006</c:v>
                </c:pt>
                <c:pt idx="430">
                  <c:v>71.34</c:v>
                </c:pt>
                <c:pt idx="431">
                  <c:v>71.48</c:v>
                </c:pt>
                <c:pt idx="432">
                  <c:v>71.319999999999993</c:v>
                </c:pt>
                <c:pt idx="433">
                  <c:v>71.33</c:v>
                </c:pt>
                <c:pt idx="434">
                  <c:v>71.349999999999994</c:v>
                </c:pt>
                <c:pt idx="435">
                  <c:v>74.33</c:v>
                </c:pt>
                <c:pt idx="436">
                  <c:v>74.86</c:v>
                </c:pt>
                <c:pt idx="437">
                  <c:v>73.239999999999995</c:v>
                </c:pt>
                <c:pt idx="438">
                  <c:v>72.27</c:v>
                </c:pt>
                <c:pt idx="439">
                  <c:v>72.84</c:v>
                </c:pt>
                <c:pt idx="440">
                  <c:v>70.540000000000006</c:v>
                </c:pt>
                <c:pt idx="441">
                  <c:v>70.5</c:v>
                </c:pt>
                <c:pt idx="442">
                  <c:v>69.930000000000007</c:v>
                </c:pt>
                <c:pt idx="443">
                  <c:v>72.09</c:v>
                </c:pt>
                <c:pt idx="444">
                  <c:v>72.55</c:v>
                </c:pt>
                <c:pt idx="445">
                  <c:v>72.64</c:v>
                </c:pt>
                <c:pt idx="446">
                  <c:v>68.62</c:v>
                </c:pt>
                <c:pt idx="447">
                  <c:v>69.349999999999994</c:v>
                </c:pt>
                <c:pt idx="448">
                  <c:v>71.7</c:v>
                </c:pt>
                <c:pt idx="449">
                  <c:v>72.23</c:v>
                </c:pt>
                <c:pt idx="450">
                  <c:v>54.47</c:v>
                </c:pt>
                <c:pt idx="451">
                  <c:v>72.239999999999995</c:v>
                </c:pt>
                <c:pt idx="452">
                  <c:v>71.83</c:v>
                </c:pt>
                <c:pt idx="453">
                  <c:v>70.34</c:v>
                </c:pt>
                <c:pt idx="454">
                  <c:v>71.3</c:v>
                </c:pt>
                <c:pt idx="455">
                  <c:v>70.66</c:v>
                </c:pt>
                <c:pt idx="456">
                  <c:v>70.13</c:v>
                </c:pt>
                <c:pt idx="457">
                  <c:v>70.42</c:v>
                </c:pt>
                <c:pt idx="458">
                  <c:v>68.290000000000006</c:v>
                </c:pt>
                <c:pt idx="459">
                  <c:v>69.099999999999994</c:v>
                </c:pt>
                <c:pt idx="460">
                  <c:v>68.489999999999995</c:v>
                </c:pt>
                <c:pt idx="461">
                  <c:v>67.099999999999994</c:v>
                </c:pt>
                <c:pt idx="462">
                  <c:v>68.400000000000006</c:v>
                </c:pt>
                <c:pt idx="463">
                  <c:v>66.08</c:v>
                </c:pt>
                <c:pt idx="464">
                  <c:v>66.13</c:v>
                </c:pt>
                <c:pt idx="465">
                  <c:v>67.33</c:v>
                </c:pt>
                <c:pt idx="466">
                  <c:v>67.94</c:v>
                </c:pt>
                <c:pt idx="467">
                  <c:v>67.59</c:v>
                </c:pt>
                <c:pt idx="468">
                  <c:v>67.069999999999993</c:v>
                </c:pt>
                <c:pt idx="469">
                  <c:v>66.37</c:v>
                </c:pt>
                <c:pt idx="470">
                  <c:v>65.180000000000007</c:v>
                </c:pt>
                <c:pt idx="471">
                  <c:v>66.989999999999995</c:v>
                </c:pt>
                <c:pt idx="472">
                  <c:v>58.02</c:v>
                </c:pt>
                <c:pt idx="473">
                  <c:v>67.69</c:v>
                </c:pt>
                <c:pt idx="474">
                  <c:v>67.52</c:v>
                </c:pt>
                <c:pt idx="475">
                  <c:v>67.7</c:v>
                </c:pt>
                <c:pt idx="476">
                  <c:v>67.739999999999995</c:v>
                </c:pt>
                <c:pt idx="477">
                  <c:v>67.709999999999994</c:v>
                </c:pt>
                <c:pt idx="478">
                  <c:v>68.5</c:v>
                </c:pt>
                <c:pt idx="479">
                  <c:v>69.84</c:v>
                </c:pt>
                <c:pt idx="480">
                  <c:v>69.22</c:v>
                </c:pt>
                <c:pt idx="481">
                  <c:v>68.41</c:v>
                </c:pt>
                <c:pt idx="482">
                  <c:v>69.17</c:v>
                </c:pt>
                <c:pt idx="483">
                  <c:v>68.3</c:v>
                </c:pt>
                <c:pt idx="484">
                  <c:v>69.41</c:v>
                </c:pt>
                <c:pt idx="485">
                  <c:v>69.900000000000006</c:v>
                </c:pt>
                <c:pt idx="486">
                  <c:v>69.91</c:v>
                </c:pt>
                <c:pt idx="487">
                  <c:v>71.13</c:v>
                </c:pt>
                <c:pt idx="488">
                  <c:v>71.14</c:v>
                </c:pt>
                <c:pt idx="489">
                  <c:v>70.86</c:v>
                </c:pt>
                <c:pt idx="490">
                  <c:v>70.14</c:v>
                </c:pt>
                <c:pt idx="491">
                  <c:v>70.27</c:v>
                </c:pt>
                <c:pt idx="492">
                  <c:v>70.849999999999994</c:v>
                </c:pt>
                <c:pt idx="493">
                  <c:v>71.16</c:v>
                </c:pt>
                <c:pt idx="494">
                  <c:v>69.3</c:v>
                </c:pt>
                <c:pt idx="495">
                  <c:v>71.599999999999994</c:v>
                </c:pt>
                <c:pt idx="496">
                  <c:v>71.58</c:v>
                </c:pt>
                <c:pt idx="497">
                  <c:v>71.540000000000006</c:v>
                </c:pt>
                <c:pt idx="498">
                  <c:v>71.13</c:v>
                </c:pt>
                <c:pt idx="499">
                  <c:v>75.78</c:v>
                </c:pt>
                <c:pt idx="500">
                  <c:v>77.44</c:v>
                </c:pt>
                <c:pt idx="501">
                  <c:v>78.599999999999994</c:v>
                </c:pt>
                <c:pt idx="502">
                  <c:v>77.31</c:v>
                </c:pt>
                <c:pt idx="503">
                  <c:v>78.03</c:v>
                </c:pt>
                <c:pt idx="504">
                  <c:v>78.739999999999995</c:v>
                </c:pt>
                <c:pt idx="505">
                  <c:v>79.58</c:v>
                </c:pt>
                <c:pt idx="506">
                  <c:v>79.62</c:v>
                </c:pt>
                <c:pt idx="507">
                  <c:v>79.53</c:v>
                </c:pt>
                <c:pt idx="508">
                  <c:v>80.05</c:v>
                </c:pt>
                <c:pt idx="509">
                  <c:v>80.55</c:v>
                </c:pt>
                <c:pt idx="510">
                  <c:v>80.56</c:v>
                </c:pt>
                <c:pt idx="511">
                  <c:v>80.86</c:v>
                </c:pt>
                <c:pt idx="512">
                  <c:v>81.23</c:v>
                </c:pt>
                <c:pt idx="513">
                  <c:v>80.930000000000007</c:v>
                </c:pt>
                <c:pt idx="514">
                  <c:v>81.290000000000006</c:v>
                </c:pt>
                <c:pt idx="515">
                  <c:v>65.25</c:v>
                </c:pt>
                <c:pt idx="516">
                  <c:v>81.459999999999994</c:v>
                </c:pt>
                <c:pt idx="517">
                  <c:v>81.17</c:v>
                </c:pt>
                <c:pt idx="518">
                  <c:v>81.19</c:v>
                </c:pt>
                <c:pt idx="519">
                  <c:v>80.16</c:v>
                </c:pt>
                <c:pt idx="520">
                  <c:v>82.39</c:v>
                </c:pt>
                <c:pt idx="521">
                  <c:v>82.7</c:v>
                </c:pt>
                <c:pt idx="522">
                  <c:v>80.790000000000006</c:v>
                </c:pt>
                <c:pt idx="523">
                  <c:v>79.08</c:v>
                </c:pt>
                <c:pt idx="524">
                  <c:v>81.069999999999993</c:v>
                </c:pt>
                <c:pt idx="525">
                  <c:v>80.900000000000006</c:v>
                </c:pt>
                <c:pt idx="526">
                  <c:v>82.01</c:v>
                </c:pt>
                <c:pt idx="527">
                  <c:v>81.099999999999994</c:v>
                </c:pt>
                <c:pt idx="528">
                  <c:v>79.37</c:v>
                </c:pt>
                <c:pt idx="529">
                  <c:v>80.319999999999993</c:v>
                </c:pt>
                <c:pt idx="530">
                  <c:v>78.900000000000006</c:v>
                </c:pt>
                <c:pt idx="531">
                  <c:v>79.400000000000006</c:v>
                </c:pt>
                <c:pt idx="532">
                  <c:v>80.03</c:v>
                </c:pt>
                <c:pt idx="533">
                  <c:v>80.34</c:v>
                </c:pt>
                <c:pt idx="534">
                  <c:v>76.09</c:v>
                </c:pt>
                <c:pt idx="535">
                  <c:v>74.2</c:v>
                </c:pt>
                <c:pt idx="536">
                  <c:v>71.010000000000005</c:v>
                </c:pt>
                <c:pt idx="537">
                  <c:v>53.1</c:v>
                </c:pt>
                <c:pt idx="538">
                  <c:v>70.069999999999993</c:v>
                </c:pt>
                <c:pt idx="539">
                  <c:v>71.650000000000006</c:v>
                </c:pt>
                <c:pt idx="540">
                  <c:v>70.569999999999993</c:v>
                </c:pt>
                <c:pt idx="541">
                  <c:v>65.5</c:v>
                </c:pt>
                <c:pt idx="542">
                  <c:v>66.37</c:v>
                </c:pt>
                <c:pt idx="543">
                  <c:v>66.180000000000007</c:v>
                </c:pt>
                <c:pt idx="544">
                  <c:v>68.959999999999994</c:v>
                </c:pt>
                <c:pt idx="545">
                  <c:v>71.05</c:v>
                </c:pt>
                <c:pt idx="546">
                  <c:v>71.3</c:v>
                </c:pt>
                <c:pt idx="547">
                  <c:v>70.28</c:v>
                </c:pt>
                <c:pt idx="548">
                  <c:v>70.760000000000005</c:v>
                </c:pt>
                <c:pt idx="549">
                  <c:v>70.5</c:v>
                </c:pt>
                <c:pt idx="550">
                  <c:v>70.180000000000007</c:v>
                </c:pt>
                <c:pt idx="551">
                  <c:v>70.260000000000005</c:v>
                </c:pt>
                <c:pt idx="552">
                  <c:v>71</c:v>
                </c:pt>
                <c:pt idx="553">
                  <c:v>70.349999999999994</c:v>
                </c:pt>
                <c:pt idx="554">
                  <c:v>69.459999999999994</c:v>
                </c:pt>
                <c:pt idx="555">
                  <c:v>70.37</c:v>
                </c:pt>
                <c:pt idx="556">
                  <c:v>70.89</c:v>
                </c:pt>
                <c:pt idx="557">
                  <c:v>71.17</c:v>
                </c:pt>
                <c:pt idx="558">
                  <c:v>71.58</c:v>
                </c:pt>
                <c:pt idx="559">
                  <c:v>71.650000000000006</c:v>
                </c:pt>
                <c:pt idx="560">
                  <c:v>65.25</c:v>
                </c:pt>
                <c:pt idx="561">
                  <c:v>71.77</c:v>
                </c:pt>
                <c:pt idx="562">
                  <c:v>71.69</c:v>
                </c:pt>
                <c:pt idx="563">
                  <c:v>76</c:v>
                </c:pt>
                <c:pt idx="564">
                  <c:v>76.86</c:v>
                </c:pt>
                <c:pt idx="565">
                  <c:v>77.59</c:v>
                </c:pt>
                <c:pt idx="566">
                  <c:v>78.88</c:v>
                </c:pt>
                <c:pt idx="567">
                  <c:v>78.48</c:v>
                </c:pt>
                <c:pt idx="568">
                  <c:v>77.95</c:v>
                </c:pt>
                <c:pt idx="569">
                  <c:v>80.040000000000006</c:v>
                </c:pt>
                <c:pt idx="570">
                  <c:v>80.94</c:v>
                </c:pt>
                <c:pt idx="571">
                  <c:v>80.67</c:v>
                </c:pt>
                <c:pt idx="572">
                  <c:v>81.59</c:v>
                </c:pt>
                <c:pt idx="573">
                  <c:v>82.37</c:v>
                </c:pt>
                <c:pt idx="574">
                  <c:v>82.86</c:v>
                </c:pt>
                <c:pt idx="575">
                  <c:v>82.77</c:v>
                </c:pt>
                <c:pt idx="576">
                  <c:v>82.63</c:v>
                </c:pt>
                <c:pt idx="577">
                  <c:v>82.08</c:v>
                </c:pt>
                <c:pt idx="578">
                  <c:v>82.65</c:v>
                </c:pt>
                <c:pt idx="579">
                  <c:v>83</c:v>
                </c:pt>
                <c:pt idx="580">
                  <c:v>82.89</c:v>
                </c:pt>
                <c:pt idx="581">
                  <c:v>82.91</c:v>
                </c:pt>
                <c:pt idx="582">
                  <c:v>82.98</c:v>
                </c:pt>
                <c:pt idx="583">
                  <c:v>79.099999999999994</c:v>
                </c:pt>
                <c:pt idx="584">
                  <c:v>87.93</c:v>
                </c:pt>
                <c:pt idx="585">
                  <c:v>89.67</c:v>
                </c:pt>
                <c:pt idx="586">
                  <c:v>91.36</c:v>
                </c:pt>
                <c:pt idx="587">
                  <c:v>90.67</c:v>
                </c:pt>
                <c:pt idx="588">
                  <c:v>89.24</c:v>
                </c:pt>
                <c:pt idx="589">
                  <c:v>89.51</c:v>
                </c:pt>
                <c:pt idx="590">
                  <c:v>89.61</c:v>
                </c:pt>
                <c:pt idx="591">
                  <c:v>91.4</c:v>
                </c:pt>
                <c:pt idx="592">
                  <c:v>92.59</c:v>
                </c:pt>
                <c:pt idx="593">
                  <c:v>91</c:v>
                </c:pt>
                <c:pt idx="594">
                  <c:v>91.68</c:v>
                </c:pt>
                <c:pt idx="595">
                  <c:v>91</c:v>
                </c:pt>
                <c:pt idx="596">
                  <c:v>90.96</c:v>
                </c:pt>
                <c:pt idx="597">
                  <c:v>91.39</c:v>
                </c:pt>
                <c:pt idx="598">
                  <c:v>91.43</c:v>
                </c:pt>
                <c:pt idx="599">
                  <c:v>91.54</c:v>
                </c:pt>
                <c:pt idx="600">
                  <c:v>91.41</c:v>
                </c:pt>
                <c:pt idx="601">
                  <c:v>91.63</c:v>
                </c:pt>
                <c:pt idx="602">
                  <c:v>94.57</c:v>
                </c:pt>
                <c:pt idx="603">
                  <c:v>109.21</c:v>
                </c:pt>
                <c:pt idx="604">
                  <c:v>106.68</c:v>
                </c:pt>
                <c:pt idx="605">
                  <c:v>113.49</c:v>
                </c:pt>
                <c:pt idx="606">
                  <c:v>116.55</c:v>
                </c:pt>
                <c:pt idx="607">
                  <c:v>119.78</c:v>
                </c:pt>
                <c:pt idx="608">
                  <c:v>108.82</c:v>
                </c:pt>
                <c:pt idx="609">
                  <c:v>107.14</c:v>
                </c:pt>
                <c:pt idx="610">
                  <c:v>109.3</c:v>
                </c:pt>
                <c:pt idx="611">
                  <c:v>102.67</c:v>
                </c:pt>
                <c:pt idx="612">
                  <c:v>99.91</c:v>
                </c:pt>
                <c:pt idx="613">
                  <c:v>98.02</c:v>
                </c:pt>
                <c:pt idx="614">
                  <c:v>105.32</c:v>
                </c:pt>
                <c:pt idx="615">
                  <c:v>105.99</c:v>
                </c:pt>
                <c:pt idx="616">
                  <c:v>108.73</c:v>
                </c:pt>
                <c:pt idx="617">
                  <c:v>108.5</c:v>
                </c:pt>
                <c:pt idx="618">
                  <c:v>110.22</c:v>
                </c:pt>
                <c:pt idx="619">
                  <c:v>109.54</c:v>
                </c:pt>
                <c:pt idx="620">
                  <c:v>109.88</c:v>
                </c:pt>
                <c:pt idx="621">
                  <c:v>108.5</c:v>
                </c:pt>
                <c:pt idx="622">
                  <c:v>108.28</c:v>
                </c:pt>
                <c:pt idx="623">
                  <c:v>107.74</c:v>
                </c:pt>
                <c:pt idx="624">
                  <c:v>104.93</c:v>
                </c:pt>
                <c:pt idx="625">
                  <c:v>89.06</c:v>
                </c:pt>
                <c:pt idx="626">
                  <c:v>102.58</c:v>
                </c:pt>
                <c:pt idx="627">
                  <c:v>101.44</c:v>
                </c:pt>
                <c:pt idx="628">
                  <c:v>96.73</c:v>
                </c:pt>
                <c:pt idx="629">
                  <c:v>96.68</c:v>
                </c:pt>
                <c:pt idx="630">
                  <c:v>98.35</c:v>
                </c:pt>
                <c:pt idx="631">
                  <c:v>95.63</c:v>
                </c:pt>
                <c:pt idx="632">
                  <c:v>99.7</c:v>
                </c:pt>
                <c:pt idx="633">
                  <c:v>101.89</c:v>
                </c:pt>
                <c:pt idx="634">
                  <c:v>103.33</c:v>
                </c:pt>
                <c:pt idx="635">
                  <c:v>103.95</c:v>
                </c:pt>
                <c:pt idx="636">
                  <c:v>101.44</c:v>
                </c:pt>
                <c:pt idx="637">
                  <c:v>101.5</c:v>
                </c:pt>
                <c:pt idx="638">
                  <c:v>102.06</c:v>
                </c:pt>
                <c:pt idx="639">
                  <c:v>101.54</c:v>
                </c:pt>
                <c:pt idx="640">
                  <c:v>100.66</c:v>
                </c:pt>
                <c:pt idx="641">
                  <c:v>101.29</c:v>
                </c:pt>
                <c:pt idx="642">
                  <c:v>101.34</c:v>
                </c:pt>
                <c:pt idx="643">
                  <c:v>101.67</c:v>
                </c:pt>
                <c:pt idx="644">
                  <c:v>101.64</c:v>
                </c:pt>
                <c:pt idx="645">
                  <c:v>104.67</c:v>
                </c:pt>
                <c:pt idx="646">
                  <c:v>102.11</c:v>
                </c:pt>
                <c:pt idx="647">
                  <c:v>106.97</c:v>
                </c:pt>
                <c:pt idx="648">
                  <c:v>107.38</c:v>
                </c:pt>
                <c:pt idx="649">
                  <c:v>108.62</c:v>
                </c:pt>
                <c:pt idx="650">
                  <c:v>103.57</c:v>
                </c:pt>
                <c:pt idx="651">
                  <c:v>101.19</c:v>
                </c:pt>
                <c:pt idx="652">
                  <c:v>105.05</c:v>
                </c:pt>
                <c:pt idx="653">
                  <c:v>105.3</c:v>
                </c:pt>
                <c:pt idx="654">
                  <c:v>107.75</c:v>
                </c:pt>
                <c:pt idx="655">
                  <c:v>109.55</c:v>
                </c:pt>
                <c:pt idx="656">
                  <c:v>108.58</c:v>
                </c:pt>
                <c:pt idx="657">
                  <c:v>107.44</c:v>
                </c:pt>
                <c:pt idx="658">
                  <c:v>108.5</c:v>
                </c:pt>
                <c:pt idx="659">
                  <c:v>108.66</c:v>
                </c:pt>
                <c:pt idx="660">
                  <c:v>108.67</c:v>
                </c:pt>
                <c:pt idx="661">
                  <c:v>108.54</c:v>
                </c:pt>
                <c:pt idx="662">
                  <c:v>108.65</c:v>
                </c:pt>
                <c:pt idx="663">
                  <c:v>109.19</c:v>
                </c:pt>
                <c:pt idx="664">
                  <c:v>100.97</c:v>
                </c:pt>
                <c:pt idx="665">
                  <c:v>100.57</c:v>
                </c:pt>
                <c:pt idx="666">
                  <c:v>101.16</c:v>
                </c:pt>
                <c:pt idx="667">
                  <c:v>102.77</c:v>
                </c:pt>
                <c:pt idx="668">
                  <c:v>104.77</c:v>
                </c:pt>
                <c:pt idx="669">
                  <c:v>104.4</c:v>
                </c:pt>
                <c:pt idx="670">
                  <c:v>105.31</c:v>
                </c:pt>
                <c:pt idx="671">
                  <c:v>108.01</c:v>
                </c:pt>
                <c:pt idx="672">
                  <c:v>107.41</c:v>
                </c:pt>
                <c:pt idx="673">
                  <c:v>106.57</c:v>
                </c:pt>
                <c:pt idx="674">
                  <c:v>106.83</c:v>
                </c:pt>
                <c:pt idx="675">
                  <c:v>104.83</c:v>
                </c:pt>
                <c:pt idx="676">
                  <c:v>101.21</c:v>
                </c:pt>
                <c:pt idx="677">
                  <c:v>97.66</c:v>
                </c:pt>
                <c:pt idx="678">
                  <c:v>96</c:v>
                </c:pt>
                <c:pt idx="679">
                  <c:v>95.42</c:v>
                </c:pt>
                <c:pt idx="680">
                  <c:v>92.09</c:v>
                </c:pt>
                <c:pt idx="681">
                  <c:v>90.17</c:v>
                </c:pt>
                <c:pt idx="682">
                  <c:v>93.52</c:v>
                </c:pt>
                <c:pt idx="683">
                  <c:v>97.66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56B-4B15-9D0F-A5C9CB6EE3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2255400"/>
        <c:axId val="612241544"/>
      </c:lineChart>
      <c:catAx>
        <c:axId val="7222554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2241544"/>
        <c:crosses val="autoZero"/>
        <c:auto val="1"/>
        <c:lblAlgn val="ctr"/>
        <c:lblOffset val="100"/>
        <c:noMultiLvlLbl val="0"/>
      </c:catAx>
      <c:valAx>
        <c:axId val="6122415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&quot;$&quot;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22554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[Foley_FinalProject_Completed.xlsm]Gasoline Prices!GasolineFinalProject</c:name>
    <c:fmtId val="6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Gasoline Prices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6747085720584149E-2"/>
          <c:y val="0.18810259687384204"/>
          <c:w val="0.89738520909084207"/>
          <c:h val="0.58010256309199604"/>
        </c:manualLayout>
      </c:layout>
      <c:lineChart>
        <c:grouping val="standard"/>
        <c:varyColors val="0"/>
        <c:ser>
          <c:idx val="0"/>
          <c:order val="0"/>
          <c:tx>
            <c:strRef>
              <c:f>'Gasoline Prices'!$B$3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'Gasoline Prices'!$A$4:$A$687</c:f>
              <c:strCache>
                <c:ptCount val="684"/>
                <c:pt idx="0">
                  <c:v>10/31/2019</c:v>
                </c:pt>
                <c:pt idx="1">
                  <c:v>11/1/2019</c:v>
                </c:pt>
                <c:pt idx="2">
                  <c:v>11/4/2019</c:v>
                </c:pt>
                <c:pt idx="3">
                  <c:v>11/5/2019</c:v>
                </c:pt>
                <c:pt idx="4">
                  <c:v>11/6/2019</c:v>
                </c:pt>
                <c:pt idx="5">
                  <c:v>11/7/2019</c:v>
                </c:pt>
                <c:pt idx="6">
                  <c:v>11/8/2019</c:v>
                </c:pt>
                <c:pt idx="7">
                  <c:v>11/11/2019</c:v>
                </c:pt>
                <c:pt idx="8">
                  <c:v>11/12/2019</c:v>
                </c:pt>
                <c:pt idx="9">
                  <c:v>11/13/2019</c:v>
                </c:pt>
                <c:pt idx="10">
                  <c:v>11/14/2019</c:v>
                </c:pt>
                <c:pt idx="11">
                  <c:v>11/15/2019</c:v>
                </c:pt>
                <c:pt idx="12">
                  <c:v>11/18/2019</c:v>
                </c:pt>
                <c:pt idx="13">
                  <c:v>11/19/2019</c:v>
                </c:pt>
                <c:pt idx="14">
                  <c:v>11/20/2019</c:v>
                </c:pt>
                <c:pt idx="15">
                  <c:v>11/21/2019</c:v>
                </c:pt>
                <c:pt idx="16">
                  <c:v>11/22/2019</c:v>
                </c:pt>
                <c:pt idx="17">
                  <c:v>11/25/2019</c:v>
                </c:pt>
                <c:pt idx="18">
                  <c:v>11/26/2019</c:v>
                </c:pt>
                <c:pt idx="19">
                  <c:v>11/27/2019</c:v>
                </c:pt>
                <c:pt idx="20">
                  <c:v>11/28/2019</c:v>
                </c:pt>
                <c:pt idx="21">
                  <c:v>11/29/2019</c:v>
                </c:pt>
                <c:pt idx="22">
                  <c:v>12/2/2019</c:v>
                </c:pt>
                <c:pt idx="23">
                  <c:v>12/3/2019</c:v>
                </c:pt>
                <c:pt idx="24">
                  <c:v>12/4/2019</c:v>
                </c:pt>
                <c:pt idx="25">
                  <c:v>12/5/2019</c:v>
                </c:pt>
                <c:pt idx="26">
                  <c:v>12/6/2019</c:v>
                </c:pt>
                <c:pt idx="27">
                  <c:v>12/9/2019</c:v>
                </c:pt>
                <c:pt idx="28">
                  <c:v>12/10/2019</c:v>
                </c:pt>
                <c:pt idx="29">
                  <c:v>12/11/2019</c:v>
                </c:pt>
                <c:pt idx="30">
                  <c:v>12/12/2019</c:v>
                </c:pt>
                <c:pt idx="31">
                  <c:v>12/13/2019</c:v>
                </c:pt>
                <c:pt idx="32">
                  <c:v>12/16/2019</c:v>
                </c:pt>
                <c:pt idx="33">
                  <c:v>12/17/2019</c:v>
                </c:pt>
                <c:pt idx="34">
                  <c:v>12/18/2019</c:v>
                </c:pt>
                <c:pt idx="35">
                  <c:v>12/19/2019</c:v>
                </c:pt>
                <c:pt idx="36">
                  <c:v>12/20/2019</c:v>
                </c:pt>
                <c:pt idx="37">
                  <c:v>12/23/2019</c:v>
                </c:pt>
                <c:pt idx="38">
                  <c:v>12/24/2019</c:v>
                </c:pt>
                <c:pt idx="39">
                  <c:v>12/26/2019</c:v>
                </c:pt>
                <c:pt idx="40">
                  <c:v>12/27/2019</c:v>
                </c:pt>
                <c:pt idx="41">
                  <c:v>12/30/2019</c:v>
                </c:pt>
                <c:pt idx="42">
                  <c:v>12/31/2019</c:v>
                </c:pt>
                <c:pt idx="43">
                  <c:v>1/2/2020</c:v>
                </c:pt>
                <c:pt idx="44">
                  <c:v>1/3/2020</c:v>
                </c:pt>
                <c:pt idx="45">
                  <c:v>1/6/2020</c:v>
                </c:pt>
                <c:pt idx="46">
                  <c:v>1/7/2020</c:v>
                </c:pt>
                <c:pt idx="47">
                  <c:v>1/8/2020</c:v>
                </c:pt>
                <c:pt idx="48">
                  <c:v>1/9/2020</c:v>
                </c:pt>
                <c:pt idx="49">
                  <c:v>1/10/2020</c:v>
                </c:pt>
                <c:pt idx="50">
                  <c:v>1/13/2020</c:v>
                </c:pt>
                <c:pt idx="51">
                  <c:v>1/14/2020</c:v>
                </c:pt>
                <c:pt idx="52">
                  <c:v>1/15/2020</c:v>
                </c:pt>
                <c:pt idx="53">
                  <c:v>1/16/2020</c:v>
                </c:pt>
                <c:pt idx="54">
                  <c:v>1/17/2020</c:v>
                </c:pt>
                <c:pt idx="55">
                  <c:v>1/20/2020</c:v>
                </c:pt>
                <c:pt idx="56">
                  <c:v>1/21/2020</c:v>
                </c:pt>
                <c:pt idx="57">
                  <c:v>1/22/2020</c:v>
                </c:pt>
                <c:pt idx="58">
                  <c:v>1/23/2020</c:v>
                </c:pt>
                <c:pt idx="59">
                  <c:v>1/24/2020</c:v>
                </c:pt>
                <c:pt idx="60">
                  <c:v>1/27/2020</c:v>
                </c:pt>
                <c:pt idx="61">
                  <c:v>1/28/2020</c:v>
                </c:pt>
                <c:pt idx="62">
                  <c:v>1/29/2020</c:v>
                </c:pt>
                <c:pt idx="63">
                  <c:v>1/30/2020</c:v>
                </c:pt>
                <c:pt idx="64">
                  <c:v>1/31/2020</c:v>
                </c:pt>
                <c:pt idx="65">
                  <c:v>2/3/2020</c:v>
                </c:pt>
                <c:pt idx="66">
                  <c:v>2/4/2020</c:v>
                </c:pt>
                <c:pt idx="67">
                  <c:v>2/5/2020</c:v>
                </c:pt>
                <c:pt idx="68">
                  <c:v>2/6/2020</c:v>
                </c:pt>
                <c:pt idx="69">
                  <c:v>2/7/2020</c:v>
                </c:pt>
                <c:pt idx="70">
                  <c:v>2/10/2020</c:v>
                </c:pt>
                <c:pt idx="71">
                  <c:v>2/11/2020</c:v>
                </c:pt>
                <c:pt idx="72">
                  <c:v>2/12/2020</c:v>
                </c:pt>
                <c:pt idx="73">
                  <c:v>2/13/2020</c:v>
                </c:pt>
                <c:pt idx="74">
                  <c:v>2/14/2020</c:v>
                </c:pt>
                <c:pt idx="75">
                  <c:v>2/17/2020</c:v>
                </c:pt>
                <c:pt idx="76">
                  <c:v>2/18/2020</c:v>
                </c:pt>
                <c:pt idx="77">
                  <c:v>2/19/2020</c:v>
                </c:pt>
                <c:pt idx="78">
                  <c:v>2/20/2020</c:v>
                </c:pt>
                <c:pt idx="79">
                  <c:v>2/21/2020</c:v>
                </c:pt>
                <c:pt idx="80">
                  <c:v>2/24/2020</c:v>
                </c:pt>
                <c:pt idx="81">
                  <c:v>2/25/2020</c:v>
                </c:pt>
                <c:pt idx="82">
                  <c:v>2/26/2020</c:v>
                </c:pt>
                <c:pt idx="83">
                  <c:v>2/27/2020</c:v>
                </c:pt>
                <c:pt idx="84">
                  <c:v>2/28/2020</c:v>
                </c:pt>
                <c:pt idx="85">
                  <c:v>3/2/2020</c:v>
                </c:pt>
                <c:pt idx="86">
                  <c:v>3/3/2020</c:v>
                </c:pt>
                <c:pt idx="87">
                  <c:v>3/4/2020</c:v>
                </c:pt>
                <c:pt idx="88">
                  <c:v>3/5/2020</c:v>
                </c:pt>
                <c:pt idx="89">
                  <c:v>3/6/2020</c:v>
                </c:pt>
                <c:pt idx="90">
                  <c:v>3/9/2020</c:v>
                </c:pt>
                <c:pt idx="91">
                  <c:v>3/10/2020</c:v>
                </c:pt>
                <c:pt idx="92">
                  <c:v>3/11/2020</c:v>
                </c:pt>
                <c:pt idx="93">
                  <c:v>3/12/2020</c:v>
                </c:pt>
                <c:pt idx="94">
                  <c:v>3/13/2020</c:v>
                </c:pt>
                <c:pt idx="95">
                  <c:v>3/16/2020</c:v>
                </c:pt>
                <c:pt idx="96">
                  <c:v>3/17/2020</c:v>
                </c:pt>
                <c:pt idx="97">
                  <c:v>3/18/2020</c:v>
                </c:pt>
                <c:pt idx="98">
                  <c:v>3/19/2020</c:v>
                </c:pt>
                <c:pt idx="99">
                  <c:v>3/20/2020</c:v>
                </c:pt>
                <c:pt idx="100">
                  <c:v>3/23/2020</c:v>
                </c:pt>
                <c:pt idx="101">
                  <c:v>3/24/2020</c:v>
                </c:pt>
                <c:pt idx="102">
                  <c:v>3/25/2020</c:v>
                </c:pt>
                <c:pt idx="103">
                  <c:v>3/26/2020</c:v>
                </c:pt>
                <c:pt idx="104">
                  <c:v>3/27/2020</c:v>
                </c:pt>
                <c:pt idx="105">
                  <c:v>3/30/2020</c:v>
                </c:pt>
                <c:pt idx="106">
                  <c:v>3/31/2020</c:v>
                </c:pt>
                <c:pt idx="107">
                  <c:v>4/1/2020</c:v>
                </c:pt>
                <c:pt idx="108">
                  <c:v>4/2/2020</c:v>
                </c:pt>
                <c:pt idx="109">
                  <c:v>4/3/2020</c:v>
                </c:pt>
                <c:pt idx="110">
                  <c:v>4/6/2020</c:v>
                </c:pt>
                <c:pt idx="111">
                  <c:v>4/7/2020</c:v>
                </c:pt>
                <c:pt idx="112">
                  <c:v>4/8/2020</c:v>
                </c:pt>
                <c:pt idx="113">
                  <c:v>4/9/2020</c:v>
                </c:pt>
                <c:pt idx="114">
                  <c:v>4/13/2020</c:v>
                </c:pt>
                <c:pt idx="115">
                  <c:v>4/14/2020</c:v>
                </c:pt>
                <c:pt idx="116">
                  <c:v>4/15/2020</c:v>
                </c:pt>
                <c:pt idx="117">
                  <c:v>4/16/2020</c:v>
                </c:pt>
                <c:pt idx="118">
                  <c:v>4/17/2020</c:v>
                </c:pt>
                <c:pt idx="119">
                  <c:v>4/20/2020</c:v>
                </c:pt>
                <c:pt idx="120">
                  <c:v>4/21/2020</c:v>
                </c:pt>
                <c:pt idx="121">
                  <c:v>4/22/2020</c:v>
                </c:pt>
                <c:pt idx="122">
                  <c:v>4/23/2020</c:v>
                </c:pt>
                <c:pt idx="123">
                  <c:v>4/24/2020</c:v>
                </c:pt>
                <c:pt idx="124">
                  <c:v>4/27/2020</c:v>
                </c:pt>
                <c:pt idx="125">
                  <c:v>4/28/2020</c:v>
                </c:pt>
                <c:pt idx="126">
                  <c:v>4/29/2020</c:v>
                </c:pt>
                <c:pt idx="127">
                  <c:v>4/30/2020</c:v>
                </c:pt>
                <c:pt idx="128">
                  <c:v>5/1/2020</c:v>
                </c:pt>
                <c:pt idx="129">
                  <c:v>5/4/2020</c:v>
                </c:pt>
                <c:pt idx="130">
                  <c:v>5/5/2020</c:v>
                </c:pt>
                <c:pt idx="131">
                  <c:v>5/6/2020</c:v>
                </c:pt>
                <c:pt idx="132">
                  <c:v>5/7/2020</c:v>
                </c:pt>
                <c:pt idx="133">
                  <c:v>5/8/2020</c:v>
                </c:pt>
                <c:pt idx="134">
                  <c:v>5/11/2020</c:v>
                </c:pt>
                <c:pt idx="135">
                  <c:v>5/12/2020</c:v>
                </c:pt>
                <c:pt idx="136">
                  <c:v>5/13/2020</c:v>
                </c:pt>
                <c:pt idx="137">
                  <c:v>5/14/2020</c:v>
                </c:pt>
                <c:pt idx="138">
                  <c:v>5/15/2020</c:v>
                </c:pt>
                <c:pt idx="139">
                  <c:v>5/18/2020</c:v>
                </c:pt>
                <c:pt idx="140">
                  <c:v>5/19/2020</c:v>
                </c:pt>
                <c:pt idx="141">
                  <c:v>5/20/2020</c:v>
                </c:pt>
                <c:pt idx="142">
                  <c:v>5/21/2020</c:v>
                </c:pt>
                <c:pt idx="143">
                  <c:v>5/22/2020</c:v>
                </c:pt>
                <c:pt idx="144">
                  <c:v>5/26/2020</c:v>
                </c:pt>
                <c:pt idx="145">
                  <c:v>5/27/2020</c:v>
                </c:pt>
                <c:pt idx="146">
                  <c:v>5/28/2020</c:v>
                </c:pt>
                <c:pt idx="147">
                  <c:v>5/29/2020</c:v>
                </c:pt>
                <c:pt idx="148">
                  <c:v>6/1/2020</c:v>
                </c:pt>
                <c:pt idx="149">
                  <c:v>6/2/2020</c:v>
                </c:pt>
                <c:pt idx="150">
                  <c:v>6/3/2020</c:v>
                </c:pt>
                <c:pt idx="151">
                  <c:v>6/4/2020</c:v>
                </c:pt>
                <c:pt idx="152">
                  <c:v>6/5/2020</c:v>
                </c:pt>
                <c:pt idx="153">
                  <c:v>6/8/2020</c:v>
                </c:pt>
                <c:pt idx="154">
                  <c:v>6/9/2020</c:v>
                </c:pt>
                <c:pt idx="155">
                  <c:v>6/10/2020</c:v>
                </c:pt>
                <c:pt idx="156">
                  <c:v>6/11/2020</c:v>
                </c:pt>
                <c:pt idx="157">
                  <c:v>6/12/2020</c:v>
                </c:pt>
                <c:pt idx="158">
                  <c:v>6/15/2020</c:v>
                </c:pt>
                <c:pt idx="159">
                  <c:v>6/16/2020</c:v>
                </c:pt>
                <c:pt idx="160">
                  <c:v>6/17/2020</c:v>
                </c:pt>
                <c:pt idx="161">
                  <c:v>6/18/2020</c:v>
                </c:pt>
                <c:pt idx="162">
                  <c:v>6/19/2020</c:v>
                </c:pt>
                <c:pt idx="163">
                  <c:v>6/22/2020</c:v>
                </c:pt>
                <c:pt idx="164">
                  <c:v>6/23/2020</c:v>
                </c:pt>
                <c:pt idx="165">
                  <c:v>6/24/2020</c:v>
                </c:pt>
                <c:pt idx="166">
                  <c:v>6/25/2020</c:v>
                </c:pt>
                <c:pt idx="167">
                  <c:v>6/26/2020</c:v>
                </c:pt>
                <c:pt idx="168">
                  <c:v>6/29/2020</c:v>
                </c:pt>
                <c:pt idx="169">
                  <c:v>6/30/2020</c:v>
                </c:pt>
                <c:pt idx="170">
                  <c:v>7/1/2020</c:v>
                </c:pt>
                <c:pt idx="171">
                  <c:v>7/2/2020</c:v>
                </c:pt>
                <c:pt idx="172">
                  <c:v>7/3/2020</c:v>
                </c:pt>
                <c:pt idx="173">
                  <c:v>7/6/2020</c:v>
                </c:pt>
                <c:pt idx="174">
                  <c:v>7/7/2020</c:v>
                </c:pt>
                <c:pt idx="175">
                  <c:v>7/8/2020</c:v>
                </c:pt>
                <c:pt idx="176">
                  <c:v>7/9/2020</c:v>
                </c:pt>
                <c:pt idx="177">
                  <c:v>7/10/2020</c:v>
                </c:pt>
                <c:pt idx="178">
                  <c:v>7/13/2020</c:v>
                </c:pt>
                <c:pt idx="179">
                  <c:v>7/14/2020</c:v>
                </c:pt>
                <c:pt idx="180">
                  <c:v>7/15/2020</c:v>
                </c:pt>
                <c:pt idx="181">
                  <c:v>7/16/2020</c:v>
                </c:pt>
                <c:pt idx="182">
                  <c:v>7/17/2020</c:v>
                </c:pt>
                <c:pt idx="183">
                  <c:v>7/20/2020</c:v>
                </c:pt>
                <c:pt idx="184">
                  <c:v>7/21/2020</c:v>
                </c:pt>
                <c:pt idx="185">
                  <c:v>7/22/2020</c:v>
                </c:pt>
                <c:pt idx="186">
                  <c:v>7/23/2020</c:v>
                </c:pt>
                <c:pt idx="187">
                  <c:v>7/24/2020</c:v>
                </c:pt>
                <c:pt idx="188">
                  <c:v>7/27/2020</c:v>
                </c:pt>
                <c:pt idx="189">
                  <c:v>7/28/2020</c:v>
                </c:pt>
                <c:pt idx="190">
                  <c:v>7/29/2020</c:v>
                </c:pt>
                <c:pt idx="191">
                  <c:v>7/30/2020</c:v>
                </c:pt>
                <c:pt idx="192">
                  <c:v>7/31/2020</c:v>
                </c:pt>
                <c:pt idx="193">
                  <c:v>8/3/2020</c:v>
                </c:pt>
                <c:pt idx="194">
                  <c:v>8/4/2020</c:v>
                </c:pt>
                <c:pt idx="195">
                  <c:v>8/5/2020</c:v>
                </c:pt>
                <c:pt idx="196">
                  <c:v>8/6/2020</c:v>
                </c:pt>
                <c:pt idx="197">
                  <c:v>8/7/2020</c:v>
                </c:pt>
                <c:pt idx="198">
                  <c:v>8/10/2020</c:v>
                </c:pt>
                <c:pt idx="199">
                  <c:v>8/11/2020</c:v>
                </c:pt>
                <c:pt idx="200">
                  <c:v>8/12/2020</c:v>
                </c:pt>
                <c:pt idx="201">
                  <c:v>8/13/2020</c:v>
                </c:pt>
                <c:pt idx="202">
                  <c:v>8/14/2020</c:v>
                </c:pt>
                <c:pt idx="203">
                  <c:v>8/17/2020</c:v>
                </c:pt>
                <c:pt idx="204">
                  <c:v>8/18/2020</c:v>
                </c:pt>
                <c:pt idx="205">
                  <c:v>8/19/2020</c:v>
                </c:pt>
                <c:pt idx="206">
                  <c:v>8/20/2020</c:v>
                </c:pt>
                <c:pt idx="207">
                  <c:v>8/21/2020</c:v>
                </c:pt>
                <c:pt idx="208">
                  <c:v>8/24/2020</c:v>
                </c:pt>
                <c:pt idx="209">
                  <c:v>8/25/2020</c:v>
                </c:pt>
                <c:pt idx="210">
                  <c:v>8/26/2020</c:v>
                </c:pt>
                <c:pt idx="211">
                  <c:v>8/27/2020</c:v>
                </c:pt>
                <c:pt idx="212">
                  <c:v>8/28/2020</c:v>
                </c:pt>
                <c:pt idx="213">
                  <c:v>8/31/2020</c:v>
                </c:pt>
                <c:pt idx="214">
                  <c:v>9/1/2020</c:v>
                </c:pt>
                <c:pt idx="215">
                  <c:v>9/2/2020</c:v>
                </c:pt>
                <c:pt idx="216">
                  <c:v>9/3/2020</c:v>
                </c:pt>
                <c:pt idx="217">
                  <c:v>9/4/2020</c:v>
                </c:pt>
                <c:pt idx="218">
                  <c:v>9/7/2020</c:v>
                </c:pt>
                <c:pt idx="219">
                  <c:v>9/8/2020</c:v>
                </c:pt>
                <c:pt idx="220">
                  <c:v>9/9/2020</c:v>
                </c:pt>
                <c:pt idx="221">
                  <c:v>9/10/2020</c:v>
                </c:pt>
                <c:pt idx="222">
                  <c:v>9/11/2020</c:v>
                </c:pt>
                <c:pt idx="223">
                  <c:v>9/14/2020</c:v>
                </c:pt>
                <c:pt idx="224">
                  <c:v>9/15/2020</c:v>
                </c:pt>
                <c:pt idx="225">
                  <c:v>9/16/2020</c:v>
                </c:pt>
                <c:pt idx="226">
                  <c:v>9/17/2020</c:v>
                </c:pt>
                <c:pt idx="227">
                  <c:v>9/18/2020</c:v>
                </c:pt>
                <c:pt idx="228">
                  <c:v>9/21/2020</c:v>
                </c:pt>
                <c:pt idx="229">
                  <c:v>9/22/2020</c:v>
                </c:pt>
                <c:pt idx="230">
                  <c:v>9/23/2020</c:v>
                </c:pt>
                <c:pt idx="231">
                  <c:v>9/24/2020</c:v>
                </c:pt>
                <c:pt idx="232">
                  <c:v>9/25/2020</c:v>
                </c:pt>
                <c:pt idx="233">
                  <c:v>9/28/2020</c:v>
                </c:pt>
                <c:pt idx="234">
                  <c:v>9/29/2020</c:v>
                </c:pt>
                <c:pt idx="235">
                  <c:v>9/30/2020</c:v>
                </c:pt>
                <c:pt idx="236">
                  <c:v>10/1/2020</c:v>
                </c:pt>
                <c:pt idx="237">
                  <c:v>10/2/2020</c:v>
                </c:pt>
                <c:pt idx="238">
                  <c:v>10/5/2020</c:v>
                </c:pt>
                <c:pt idx="239">
                  <c:v>10/6/2020</c:v>
                </c:pt>
                <c:pt idx="240">
                  <c:v>10/7/2020</c:v>
                </c:pt>
                <c:pt idx="241">
                  <c:v>10/8/2020</c:v>
                </c:pt>
                <c:pt idx="242">
                  <c:v>10/9/2020</c:v>
                </c:pt>
                <c:pt idx="243">
                  <c:v>10/12/2020</c:v>
                </c:pt>
                <c:pt idx="244">
                  <c:v>10/13/2020</c:v>
                </c:pt>
                <c:pt idx="245">
                  <c:v>10/14/2020</c:v>
                </c:pt>
                <c:pt idx="246">
                  <c:v>10/15/2020</c:v>
                </c:pt>
                <c:pt idx="247">
                  <c:v>10/16/2020</c:v>
                </c:pt>
                <c:pt idx="248">
                  <c:v>10/19/2020</c:v>
                </c:pt>
                <c:pt idx="249">
                  <c:v>10/20/2020</c:v>
                </c:pt>
                <c:pt idx="250">
                  <c:v>10/21/2020</c:v>
                </c:pt>
                <c:pt idx="251">
                  <c:v>10/22/2020</c:v>
                </c:pt>
                <c:pt idx="252">
                  <c:v>10/23/2020</c:v>
                </c:pt>
                <c:pt idx="253">
                  <c:v>10/26/2020</c:v>
                </c:pt>
                <c:pt idx="254">
                  <c:v>10/27/2020</c:v>
                </c:pt>
                <c:pt idx="255">
                  <c:v>10/28/2020</c:v>
                </c:pt>
                <c:pt idx="256">
                  <c:v>10/29/2020</c:v>
                </c:pt>
                <c:pt idx="257">
                  <c:v>10/30/2020</c:v>
                </c:pt>
                <c:pt idx="258">
                  <c:v>11/2/2020</c:v>
                </c:pt>
                <c:pt idx="259">
                  <c:v>11/3/2020</c:v>
                </c:pt>
                <c:pt idx="260">
                  <c:v>11/4/2020</c:v>
                </c:pt>
                <c:pt idx="261">
                  <c:v>11/5/2020</c:v>
                </c:pt>
                <c:pt idx="262">
                  <c:v>11/6/2020</c:v>
                </c:pt>
                <c:pt idx="263">
                  <c:v>11/9/2020</c:v>
                </c:pt>
                <c:pt idx="264">
                  <c:v>11/10/2020</c:v>
                </c:pt>
                <c:pt idx="265">
                  <c:v>11/11/2020</c:v>
                </c:pt>
                <c:pt idx="266">
                  <c:v>11/12/2020</c:v>
                </c:pt>
                <c:pt idx="267">
                  <c:v>11/13/2020</c:v>
                </c:pt>
                <c:pt idx="268">
                  <c:v>11/16/2020</c:v>
                </c:pt>
                <c:pt idx="269">
                  <c:v>11/17/2020</c:v>
                </c:pt>
                <c:pt idx="270">
                  <c:v>11/18/2020</c:v>
                </c:pt>
                <c:pt idx="271">
                  <c:v>11/19/2020</c:v>
                </c:pt>
                <c:pt idx="272">
                  <c:v>11/20/2020</c:v>
                </c:pt>
                <c:pt idx="273">
                  <c:v>11/23/2020</c:v>
                </c:pt>
                <c:pt idx="274">
                  <c:v>11/24/2020</c:v>
                </c:pt>
                <c:pt idx="275">
                  <c:v>11/25/2020</c:v>
                </c:pt>
                <c:pt idx="276">
                  <c:v>11/26/2020</c:v>
                </c:pt>
                <c:pt idx="277">
                  <c:v>11/27/2020</c:v>
                </c:pt>
                <c:pt idx="278">
                  <c:v>11/30/2020</c:v>
                </c:pt>
                <c:pt idx="279">
                  <c:v>12/1/2020</c:v>
                </c:pt>
                <c:pt idx="280">
                  <c:v>12/2/2020</c:v>
                </c:pt>
                <c:pt idx="281">
                  <c:v>12/3/2020</c:v>
                </c:pt>
                <c:pt idx="282">
                  <c:v>12/4/2020</c:v>
                </c:pt>
                <c:pt idx="283">
                  <c:v>12/7/2020</c:v>
                </c:pt>
                <c:pt idx="284">
                  <c:v>12/8/2020</c:v>
                </c:pt>
                <c:pt idx="285">
                  <c:v>12/9/2020</c:v>
                </c:pt>
                <c:pt idx="286">
                  <c:v>12/10/2020</c:v>
                </c:pt>
                <c:pt idx="287">
                  <c:v>12/11/2020</c:v>
                </c:pt>
                <c:pt idx="288">
                  <c:v>12/14/2020</c:v>
                </c:pt>
                <c:pt idx="289">
                  <c:v>12/15/2020</c:v>
                </c:pt>
                <c:pt idx="290">
                  <c:v>12/16/2020</c:v>
                </c:pt>
                <c:pt idx="291">
                  <c:v>12/17/2020</c:v>
                </c:pt>
                <c:pt idx="292">
                  <c:v>12/18/2020</c:v>
                </c:pt>
                <c:pt idx="293">
                  <c:v>12/21/2020</c:v>
                </c:pt>
                <c:pt idx="294">
                  <c:v>12/22/2020</c:v>
                </c:pt>
                <c:pt idx="295">
                  <c:v>12/23/2020</c:v>
                </c:pt>
                <c:pt idx="296">
                  <c:v>12/24/2020</c:v>
                </c:pt>
                <c:pt idx="297">
                  <c:v>12/28/2020</c:v>
                </c:pt>
                <c:pt idx="298">
                  <c:v>12/29/2020</c:v>
                </c:pt>
                <c:pt idx="299">
                  <c:v>12/30/2020</c:v>
                </c:pt>
                <c:pt idx="300">
                  <c:v>12/31/2020</c:v>
                </c:pt>
                <c:pt idx="301">
                  <c:v>1/4/2021</c:v>
                </c:pt>
                <c:pt idx="302">
                  <c:v>1/5/2021</c:v>
                </c:pt>
                <c:pt idx="303">
                  <c:v>1/6/2021</c:v>
                </c:pt>
                <c:pt idx="304">
                  <c:v>1/7/2021</c:v>
                </c:pt>
                <c:pt idx="305">
                  <c:v>1/8/2021</c:v>
                </c:pt>
                <c:pt idx="306">
                  <c:v>1/11/2021</c:v>
                </c:pt>
                <c:pt idx="307">
                  <c:v>1/12/2021</c:v>
                </c:pt>
                <c:pt idx="308">
                  <c:v>1/13/2021</c:v>
                </c:pt>
                <c:pt idx="309">
                  <c:v>1/14/2021</c:v>
                </c:pt>
                <c:pt idx="310">
                  <c:v>1/15/2021</c:v>
                </c:pt>
                <c:pt idx="311">
                  <c:v>1/18/2021</c:v>
                </c:pt>
                <c:pt idx="312">
                  <c:v>1/19/2021</c:v>
                </c:pt>
                <c:pt idx="313">
                  <c:v>1/20/2021</c:v>
                </c:pt>
                <c:pt idx="314">
                  <c:v>1/21/2021</c:v>
                </c:pt>
                <c:pt idx="315">
                  <c:v>1/22/2021</c:v>
                </c:pt>
                <c:pt idx="316">
                  <c:v>1/25/2021</c:v>
                </c:pt>
                <c:pt idx="317">
                  <c:v>1/26/2021</c:v>
                </c:pt>
                <c:pt idx="318">
                  <c:v>1/27/2021</c:v>
                </c:pt>
                <c:pt idx="319">
                  <c:v>1/28/2021</c:v>
                </c:pt>
                <c:pt idx="320">
                  <c:v>1/29/2021</c:v>
                </c:pt>
                <c:pt idx="321">
                  <c:v>2/1/2021</c:v>
                </c:pt>
                <c:pt idx="322">
                  <c:v>2/2/2021</c:v>
                </c:pt>
                <c:pt idx="323">
                  <c:v>2/3/2021</c:v>
                </c:pt>
                <c:pt idx="324">
                  <c:v>2/4/2021</c:v>
                </c:pt>
                <c:pt idx="325">
                  <c:v>2/5/2021</c:v>
                </c:pt>
                <c:pt idx="326">
                  <c:v>2/8/2021</c:v>
                </c:pt>
                <c:pt idx="327">
                  <c:v>2/9/2021</c:v>
                </c:pt>
                <c:pt idx="328">
                  <c:v>2/10/2021</c:v>
                </c:pt>
                <c:pt idx="329">
                  <c:v>2/11/2021</c:v>
                </c:pt>
                <c:pt idx="330">
                  <c:v>2/12/2021</c:v>
                </c:pt>
                <c:pt idx="331">
                  <c:v>2/15/2021</c:v>
                </c:pt>
                <c:pt idx="332">
                  <c:v>2/16/2021</c:v>
                </c:pt>
                <c:pt idx="333">
                  <c:v>2/17/2021</c:v>
                </c:pt>
                <c:pt idx="334">
                  <c:v>2/18/2021</c:v>
                </c:pt>
                <c:pt idx="335">
                  <c:v>2/19/2021</c:v>
                </c:pt>
                <c:pt idx="336">
                  <c:v>2/22/2021</c:v>
                </c:pt>
                <c:pt idx="337">
                  <c:v>2/23/2021</c:v>
                </c:pt>
                <c:pt idx="338">
                  <c:v>2/24/2021</c:v>
                </c:pt>
                <c:pt idx="339">
                  <c:v>2/25/2021</c:v>
                </c:pt>
                <c:pt idx="340">
                  <c:v>2/26/2021</c:v>
                </c:pt>
                <c:pt idx="341">
                  <c:v>3/1/2021</c:v>
                </c:pt>
                <c:pt idx="342">
                  <c:v>3/2/2021</c:v>
                </c:pt>
                <c:pt idx="343">
                  <c:v>3/3/2021</c:v>
                </c:pt>
                <c:pt idx="344">
                  <c:v>3/4/2021</c:v>
                </c:pt>
                <c:pt idx="345">
                  <c:v>3/5/2021</c:v>
                </c:pt>
                <c:pt idx="346">
                  <c:v>3/8/2021</c:v>
                </c:pt>
                <c:pt idx="347">
                  <c:v>3/9/2021</c:v>
                </c:pt>
                <c:pt idx="348">
                  <c:v>3/10/2021</c:v>
                </c:pt>
                <c:pt idx="349">
                  <c:v>3/11/2021</c:v>
                </c:pt>
                <c:pt idx="350">
                  <c:v>3/12/2021</c:v>
                </c:pt>
                <c:pt idx="351">
                  <c:v>3/15/2021</c:v>
                </c:pt>
                <c:pt idx="352">
                  <c:v>3/16/2021</c:v>
                </c:pt>
                <c:pt idx="353">
                  <c:v>3/17/2021</c:v>
                </c:pt>
                <c:pt idx="354">
                  <c:v>3/18/2021</c:v>
                </c:pt>
                <c:pt idx="355">
                  <c:v>3/19/2021</c:v>
                </c:pt>
                <c:pt idx="356">
                  <c:v>3/22/2021</c:v>
                </c:pt>
                <c:pt idx="357">
                  <c:v>3/23/2021</c:v>
                </c:pt>
                <c:pt idx="358">
                  <c:v>3/24/2021</c:v>
                </c:pt>
                <c:pt idx="359">
                  <c:v>3/25/2021</c:v>
                </c:pt>
                <c:pt idx="360">
                  <c:v>3/26/2021</c:v>
                </c:pt>
                <c:pt idx="361">
                  <c:v>3/29/2021</c:v>
                </c:pt>
                <c:pt idx="362">
                  <c:v>3/30/2021</c:v>
                </c:pt>
                <c:pt idx="363">
                  <c:v>3/31/2021</c:v>
                </c:pt>
                <c:pt idx="364">
                  <c:v>4/1/2021</c:v>
                </c:pt>
                <c:pt idx="365">
                  <c:v>4/5/2021</c:v>
                </c:pt>
                <c:pt idx="366">
                  <c:v>4/6/2021</c:v>
                </c:pt>
                <c:pt idx="367">
                  <c:v>4/7/2021</c:v>
                </c:pt>
                <c:pt idx="368">
                  <c:v>4/8/2021</c:v>
                </c:pt>
                <c:pt idx="369">
                  <c:v>4/9/2021</c:v>
                </c:pt>
                <c:pt idx="370">
                  <c:v>4/12/2021</c:v>
                </c:pt>
                <c:pt idx="371">
                  <c:v>4/13/2021</c:v>
                </c:pt>
                <c:pt idx="372">
                  <c:v>4/14/2021</c:v>
                </c:pt>
                <c:pt idx="373">
                  <c:v>4/15/2021</c:v>
                </c:pt>
                <c:pt idx="374">
                  <c:v>4/16/2021</c:v>
                </c:pt>
                <c:pt idx="375">
                  <c:v>4/19/2021</c:v>
                </c:pt>
                <c:pt idx="376">
                  <c:v>4/20/2021</c:v>
                </c:pt>
                <c:pt idx="377">
                  <c:v>4/21/2021</c:v>
                </c:pt>
                <c:pt idx="378">
                  <c:v>4/22/2021</c:v>
                </c:pt>
                <c:pt idx="379">
                  <c:v>4/23/2021</c:v>
                </c:pt>
                <c:pt idx="380">
                  <c:v>4/26/2021</c:v>
                </c:pt>
                <c:pt idx="381">
                  <c:v>4/27/2021</c:v>
                </c:pt>
                <c:pt idx="382">
                  <c:v>4/28/2021</c:v>
                </c:pt>
                <c:pt idx="383">
                  <c:v>4/29/2021</c:v>
                </c:pt>
                <c:pt idx="384">
                  <c:v>4/30/2021</c:v>
                </c:pt>
                <c:pt idx="385">
                  <c:v>5/3/2021</c:v>
                </c:pt>
                <c:pt idx="386">
                  <c:v>5/4/2021</c:v>
                </c:pt>
                <c:pt idx="387">
                  <c:v>5/5/2021</c:v>
                </c:pt>
                <c:pt idx="388">
                  <c:v>5/6/2021</c:v>
                </c:pt>
                <c:pt idx="389">
                  <c:v>5/7/2021</c:v>
                </c:pt>
                <c:pt idx="390">
                  <c:v>5/10/2021</c:v>
                </c:pt>
                <c:pt idx="391">
                  <c:v>5/11/2021</c:v>
                </c:pt>
                <c:pt idx="392">
                  <c:v>5/12/2021</c:v>
                </c:pt>
                <c:pt idx="393">
                  <c:v>5/13/2021</c:v>
                </c:pt>
                <c:pt idx="394">
                  <c:v>5/14/2021</c:v>
                </c:pt>
                <c:pt idx="395">
                  <c:v>5/17/2021</c:v>
                </c:pt>
                <c:pt idx="396">
                  <c:v>5/18/2021</c:v>
                </c:pt>
                <c:pt idx="397">
                  <c:v>5/19/2021</c:v>
                </c:pt>
                <c:pt idx="398">
                  <c:v>5/20/2021</c:v>
                </c:pt>
                <c:pt idx="399">
                  <c:v>5/21/2021</c:v>
                </c:pt>
                <c:pt idx="400">
                  <c:v>5/24/2021</c:v>
                </c:pt>
                <c:pt idx="401">
                  <c:v>5/25/2021</c:v>
                </c:pt>
                <c:pt idx="402">
                  <c:v>5/26/2021</c:v>
                </c:pt>
                <c:pt idx="403">
                  <c:v>5/27/2021</c:v>
                </c:pt>
                <c:pt idx="404">
                  <c:v>5/28/2021</c:v>
                </c:pt>
                <c:pt idx="405">
                  <c:v>5/31/2021</c:v>
                </c:pt>
                <c:pt idx="406">
                  <c:v>6/1/2021</c:v>
                </c:pt>
                <c:pt idx="407">
                  <c:v>6/2/2021</c:v>
                </c:pt>
                <c:pt idx="408">
                  <c:v>6/3/2021</c:v>
                </c:pt>
                <c:pt idx="409">
                  <c:v>6/4/2021</c:v>
                </c:pt>
                <c:pt idx="410">
                  <c:v>6/7/2021</c:v>
                </c:pt>
                <c:pt idx="411">
                  <c:v>6/8/2021</c:v>
                </c:pt>
                <c:pt idx="412">
                  <c:v>6/9/2021</c:v>
                </c:pt>
                <c:pt idx="413">
                  <c:v>6/10/2021</c:v>
                </c:pt>
                <c:pt idx="414">
                  <c:v>6/11/2021</c:v>
                </c:pt>
                <c:pt idx="415">
                  <c:v>6/14/2021</c:v>
                </c:pt>
                <c:pt idx="416">
                  <c:v>6/15/2021</c:v>
                </c:pt>
                <c:pt idx="417">
                  <c:v>6/16/2021</c:v>
                </c:pt>
                <c:pt idx="418">
                  <c:v>6/17/2021</c:v>
                </c:pt>
                <c:pt idx="419">
                  <c:v>6/18/2021</c:v>
                </c:pt>
                <c:pt idx="420">
                  <c:v>6/21/2021</c:v>
                </c:pt>
                <c:pt idx="421">
                  <c:v>6/22/2021</c:v>
                </c:pt>
                <c:pt idx="422">
                  <c:v>6/23/2021</c:v>
                </c:pt>
                <c:pt idx="423">
                  <c:v>6/24/2021</c:v>
                </c:pt>
                <c:pt idx="424">
                  <c:v>6/25/2021</c:v>
                </c:pt>
                <c:pt idx="425">
                  <c:v>6/28/2021</c:v>
                </c:pt>
                <c:pt idx="426">
                  <c:v>6/29/2021</c:v>
                </c:pt>
                <c:pt idx="427">
                  <c:v>6/30/2021</c:v>
                </c:pt>
                <c:pt idx="428">
                  <c:v>7/1/2021</c:v>
                </c:pt>
                <c:pt idx="429">
                  <c:v>7/2/2021</c:v>
                </c:pt>
                <c:pt idx="430">
                  <c:v>7/5/2021</c:v>
                </c:pt>
                <c:pt idx="431">
                  <c:v>7/6/2021</c:v>
                </c:pt>
                <c:pt idx="432">
                  <c:v>7/7/2021</c:v>
                </c:pt>
                <c:pt idx="433">
                  <c:v>7/8/2021</c:v>
                </c:pt>
                <c:pt idx="434">
                  <c:v>7/9/2021</c:v>
                </c:pt>
                <c:pt idx="435">
                  <c:v>7/12/2021</c:v>
                </c:pt>
                <c:pt idx="436">
                  <c:v>7/13/2021</c:v>
                </c:pt>
                <c:pt idx="437">
                  <c:v>7/14/2021</c:v>
                </c:pt>
                <c:pt idx="438">
                  <c:v>7/15/2021</c:v>
                </c:pt>
                <c:pt idx="439">
                  <c:v>7/16/2021</c:v>
                </c:pt>
                <c:pt idx="440">
                  <c:v>7/19/2021</c:v>
                </c:pt>
                <c:pt idx="441">
                  <c:v>7/20/2021</c:v>
                </c:pt>
                <c:pt idx="442">
                  <c:v>7/21/2021</c:v>
                </c:pt>
                <c:pt idx="443">
                  <c:v>7/22/2021</c:v>
                </c:pt>
                <c:pt idx="444">
                  <c:v>7/23/2021</c:v>
                </c:pt>
                <c:pt idx="445">
                  <c:v>7/26/2021</c:v>
                </c:pt>
                <c:pt idx="446">
                  <c:v>7/27/2021</c:v>
                </c:pt>
                <c:pt idx="447">
                  <c:v>7/28/2021</c:v>
                </c:pt>
                <c:pt idx="448">
                  <c:v>7/29/2021</c:v>
                </c:pt>
                <c:pt idx="449">
                  <c:v>7/30/2021</c:v>
                </c:pt>
                <c:pt idx="450">
                  <c:v>8/2/2021</c:v>
                </c:pt>
                <c:pt idx="451">
                  <c:v>8/3/2021</c:v>
                </c:pt>
                <c:pt idx="452">
                  <c:v>8/4/2021</c:v>
                </c:pt>
                <c:pt idx="453">
                  <c:v>8/5/2021</c:v>
                </c:pt>
                <c:pt idx="454">
                  <c:v>8/6/2021</c:v>
                </c:pt>
                <c:pt idx="455">
                  <c:v>8/9/2021</c:v>
                </c:pt>
                <c:pt idx="456">
                  <c:v>8/10/2021</c:v>
                </c:pt>
                <c:pt idx="457">
                  <c:v>8/11/2021</c:v>
                </c:pt>
                <c:pt idx="458">
                  <c:v>8/12/2021</c:v>
                </c:pt>
                <c:pt idx="459">
                  <c:v>8/13/2021</c:v>
                </c:pt>
                <c:pt idx="460">
                  <c:v>8/16/2021</c:v>
                </c:pt>
                <c:pt idx="461">
                  <c:v>8/17/2021</c:v>
                </c:pt>
                <c:pt idx="462">
                  <c:v>8/18/2021</c:v>
                </c:pt>
                <c:pt idx="463">
                  <c:v>8/19/2021</c:v>
                </c:pt>
                <c:pt idx="464">
                  <c:v>8/20/2021</c:v>
                </c:pt>
                <c:pt idx="465">
                  <c:v>8/23/2021</c:v>
                </c:pt>
                <c:pt idx="466">
                  <c:v>8/24/2021</c:v>
                </c:pt>
                <c:pt idx="467">
                  <c:v>8/25/2021</c:v>
                </c:pt>
                <c:pt idx="468">
                  <c:v>8/26/2021</c:v>
                </c:pt>
                <c:pt idx="469">
                  <c:v>8/27/2021</c:v>
                </c:pt>
                <c:pt idx="470">
                  <c:v>8/30/2021</c:v>
                </c:pt>
                <c:pt idx="471">
                  <c:v>8/31/2021</c:v>
                </c:pt>
                <c:pt idx="472">
                  <c:v>9/1/2021</c:v>
                </c:pt>
                <c:pt idx="473">
                  <c:v>9/2/2021</c:v>
                </c:pt>
                <c:pt idx="474">
                  <c:v>9/3/2021</c:v>
                </c:pt>
                <c:pt idx="475">
                  <c:v>9/6/2021</c:v>
                </c:pt>
                <c:pt idx="476">
                  <c:v>9/7/2021</c:v>
                </c:pt>
                <c:pt idx="477">
                  <c:v>9/8/2021</c:v>
                </c:pt>
                <c:pt idx="478">
                  <c:v>9/9/2021</c:v>
                </c:pt>
                <c:pt idx="479">
                  <c:v>9/10/2021</c:v>
                </c:pt>
                <c:pt idx="480">
                  <c:v>9/13/2021</c:v>
                </c:pt>
                <c:pt idx="481">
                  <c:v>9/14/2021</c:v>
                </c:pt>
                <c:pt idx="482">
                  <c:v>9/15/2021</c:v>
                </c:pt>
                <c:pt idx="483">
                  <c:v>9/16/2021</c:v>
                </c:pt>
                <c:pt idx="484">
                  <c:v>9/17/2021</c:v>
                </c:pt>
                <c:pt idx="485">
                  <c:v>9/20/2021</c:v>
                </c:pt>
                <c:pt idx="486">
                  <c:v>9/21/2021</c:v>
                </c:pt>
                <c:pt idx="487">
                  <c:v>9/22/2021</c:v>
                </c:pt>
                <c:pt idx="488">
                  <c:v>9/23/2021</c:v>
                </c:pt>
                <c:pt idx="489">
                  <c:v>9/24/2021</c:v>
                </c:pt>
                <c:pt idx="490">
                  <c:v>9/27/2021</c:v>
                </c:pt>
                <c:pt idx="491">
                  <c:v>9/28/2021</c:v>
                </c:pt>
                <c:pt idx="492">
                  <c:v>9/29/2021</c:v>
                </c:pt>
                <c:pt idx="493">
                  <c:v>9/30/2021</c:v>
                </c:pt>
                <c:pt idx="494">
                  <c:v>10/1/2021</c:v>
                </c:pt>
                <c:pt idx="495">
                  <c:v>10/4/2021</c:v>
                </c:pt>
                <c:pt idx="496">
                  <c:v>10/5/2021</c:v>
                </c:pt>
                <c:pt idx="497">
                  <c:v>10/6/2021</c:v>
                </c:pt>
                <c:pt idx="498">
                  <c:v>10/7/2021</c:v>
                </c:pt>
                <c:pt idx="499">
                  <c:v>10/8/2021</c:v>
                </c:pt>
                <c:pt idx="500">
                  <c:v>10/11/2021</c:v>
                </c:pt>
                <c:pt idx="501">
                  <c:v>10/12/2021</c:v>
                </c:pt>
                <c:pt idx="502">
                  <c:v>10/13/2021</c:v>
                </c:pt>
                <c:pt idx="503">
                  <c:v>10/14/2021</c:v>
                </c:pt>
                <c:pt idx="504">
                  <c:v>10/15/2021</c:v>
                </c:pt>
                <c:pt idx="505">
                  <c:v>10/18/2021</c:v>
                </c:pt>
                <c:pt idx="506">
                  <c:v>10/19/2021</c:v>
                </c:pt>
                <c:pt idx="507">
                  <c:v>10/20/2021</c:v>
                </c:pt>
                <c:pt idx="508">
                  <c:v>10/21/2021</c:v>
                </c:pt>
                <c:pt idx="509">
                  <c:v>10/22/2021</c:v>
                </c:pt>
                <c:pt idx="510">
                  <c:v>10/25/2021</c:v>
                </c:pt>
                <c:pt idx="511">
                  <c:v>10/26/2021</c:v>
                </c:pt>
                <c:pt idx="512">
                  <c:v>10/27/2021</c:v>
                </c:pt>
                <c:pt idx="513">
                  <c:v>10/28/2021</c:v>
                </c:pt>
                <c:pt idx="514">
                  <c:v>10/29/2021</c:v>
                </c:pt>
                <c:pt idx="515">
                  <c:v>11/1/2021</c:v>
                </c:pt>
                <c:pt idx="516">
                  <c:v>11/2/2021</c:v>
                </c:pt>
                <c:pt idx="517">
                  <c:v>11/3/2021</c:v>
                </c:pt>
                <c:pt idx="518">
                  <c:v>11/4/2021</c:v>
                </c:pt>
                <c:pt idx="519">
                  <c:v>11/5/2021</c:v>
                </c:pt>
                <c:pt idx="520">
                  <c:v>11/8/2021</c:v>
                </c:pt>
                <c:pt idx="521">
                  <c:v>11/9/2021</c:v>
                </c:pt>
                <c:pt idx="522">
                  <c:v>11/10/2021</c:v>
                </c:pt>
                <c:pt idx="523">
                  <c:v>11/11/2021</c:v>
                </c:pt>
                <c:pt idx="524">
                  <c:v>11/12/2021</c:v>
                </c:pt>
                <c:pt idx="525">
                  <c:v>11/15/2021</c:v>
                </c:pt>
                <c:pt idx="526">
                  <c:v>11/16/2021</c:v>
                </c:pt>
                <c:pt idx="527">
                  <c:v>11/17/2021</c:v>
                </c:pt>
                <c:pt idx="528">
                  <c:v>11/18/2021</c:v>
                </c:pt>
                <c:pt idx="529">
                  <c:v>11/19/2021</c:v>
                </c:pt>
                <c:pt idx="530">
                  <c:v>11/22/2021</c:v>
                </c:pt>
                <c:pt idx="531">
                  <c:v>11/23/2021</c:v>
                </c:pt>
                <c:pt idx="532">
                  <c:v>11/24/2021</c:v>
                </c:pt>
                <c:pt idx="533">
                  <c:v>11/25/2021</c:v>
                </c:pt>
                <c:pt idx="534">
                  <c:v>11/26/2021</c:v>
                </c:pt>
                <c:pt idx="535">
                  <c:v>11/29/2021</c:v>
                </c:pt>
                <c:pt idx="536">
                  <c:v>11/30/2021</c:v>
                </c:pt>
                <c:pt idx="537">
                  <c:v>12/1/2021</c:v>
                </c:pt>
                <c:pt idx="538">
                  <c:v>12/2/2021</c:v>
                </c:pt>
                <c:pt idx="539">
                  <c:v>12/3/2021</c:v>
                </c:pt>
                <c:pt idx="540">
                  <c:v>12/6/2021</c:v>
                </c:pt>
                <c:pt idx="541">
                  <c:v>12/7/2021</c:v>
                </c:pt>
                <c:pt idx="542">
                  <c:v>12/8/2021</c:v>
                </c:pt>
                <c:pt idx="543">
                  <c:v>12/9/2021</c:v>
                </c:pt>
                <c:pt idx="544">
                  <c:v>12/10/2021</c:v>
                </c:pt>
                <c:pt idx="545">
                  <c:v>12/13/2021</c:v>
                </c:pt>
                <c:pt idx="546">
                  <c:v>12/14/2021</c:v>
                </c:pt>
                <c:pt idx="547">
                  <c:v>12/15/2021</c:v>
                </c:pt>
                <c:pt idx="548">
                  <c:v>12/16/2021</c:v>
                </c:pt>
                <c:pt idx="549">
                  <c:v>12/17/2021</c:v>
                </c:pt>
                <c:pt idx="550">
                  <c:v>12/20/2021</c:v>
                </c:pt>
                <c:pt idx="551">
                  <c:v>12/21/2021</c:v>
                </c:pt>
                <c:pt idx="552">
                  <c:v>12/22/2021</c:v>
                </c:pt>
                <c:pt idx="553">
                  <c:v>12/23/2021</c:v>
                </c:pt>
                <c:pt idx="554">
                  <c:v>12/24/2021</c:v>
                </c:pt>
                <c:pt idx="555">
                  <c:v>12/27/2021</c:v>
                </c:pt>
                <c:pt idx="556">
                  <c:v>12/28/2021</c:v>
                </c:pt>
                <c:pt idx="557">
                  <c:v>12/29/2021</c:v>
                </c:pt>
                <c:pt idx="558">
                  <c:v>12/30/2021</c:v>
                </c:pt>
                <c:pt idx="559">
                  <c:v>12/31/2021</c:v>
                </c:pt>
                <c:pt idx="560">
                  <c:v>1/3/2022</c:v>
                </c:pt>
                <c:pt idx="561">
                  <c:v>1/4/2022</c:v>
                </c:pt>
                <c:pt idx="562">
                  <c:v>1/5/2022</c:v>
                </c:pt>
                <c:pt idx="563">
                  <c:v>1/6/2022</c:v>
                </c:pt>
                <c:pt idx="564">
                  <c:v>1/7/2022</c:v>
                </c:pt>
                <c:pt idx="565">
                  <c:v>1/10/2022</c:v>
                </c:pt>
                <c:pt idx="566">
                  <c:v>1/11/2022</c:v>
                </c:pt>
                <c:pt idx="567">
                  <c:v>1/12/2022</c:v>
                </c:pt>
                <c:pt idx="568">
                  <c:v>1/13/2022</c:v>
                </c:pt>
                <c:pt idx="569">
                  <c:v>1/14/2022</c:v>
                </c:pt>
                <c:pt idx="570">
                  <c:v>1/17/2022</c:v>
                </c:pt>
                <c:pt idx="571">
                  <c:v>1/18/2022</c:v>
                </c:pt>
                <c:pt idx="572">
                  <c:v>1/19/2022</c:v>
                </c:pt>
                <c:pt idx="573">
                  <c:v>1/20/2022</c:v>
                </c:pt>
                <c:pt idx="574">
                  <c:v>1/21/2022</c:v>
                </c:pt>
                <c:pt idx="575">
                  <c:v>1/24/2022</c:v>
                </c:pt>
                <c:pt idx="576">
                  <c:v>1/25/2022</c:v>
                </c:pt>
                <c:pt idx="577">
                  <c:v>1/26/2022</c:v>
                </c:pt>
                <c:pt idx="578">
                  <c:v>1/27/2022</c:v>
                </c:pt>
                <c:pt idx="579">
                  <c:v>1/28/2022</c:v>
                </c:pt>
                <c:pt idx="580">
                  <c:v>1/31/2022</c:v>
                </c:pt>
                <c:pt idx="581">
                  <c:v>2/1/2022</c:v>
                </c:pt>
                <c:pt idx="582">
                  <c:v>2/2/2022</c:v>
                </c:pt>
                <c:pt idx="583">
                  <c:v>2/3/2022</c:v>
                </c:pt>
                <c:pt idx="584">
                  <c:v>2/4/2022</c:v>
                </c:pt>
                <c:pt idx="585">
                  <c:v>2/7/2022</c:v>
                </c:pt>
                <c:pt idx="586">
                  <c:v>2/8/2022</c:v>
                </c:pt>
                <c:pt idx="587">
                  <c:v>2/9/2022</c:v>
                </c:pt>
                <c:pt idx="588">
                  <c:v>2/10/2022</c:v>
                </c:pt>
                <c:pt idx="589">
                  <c:v>2/11/2022</c:v>
                </c:pt>
                <c:pt idx="590">
                  <c:v>2/14/2022</c:v>
                </c:pt>
                <c:pt idx="591">
                  <c:v>2/15/2022</c:v>
                </c:pt>
                <c:pt idx="592">
                  <c:v>2/16/2022</c:v>
                </c:pt>
                <c:pt idx="593">
                  <c:v>2/17/2022</c:v>
                </c:pt>
                <c:pt idx="594">
                  <c:v>2/18/2022</c:v>
                </c:pt>
                <c:pt idx="595">
                  <c:v>2/21/2022</c:v>
                </c:pt>
                <c:pt idx="596">
                  <c:v>2/22/2022</c:v>
                </c:pt>
                <c:pt idx="597">
                  <c:v>2/23/2022</c:v>
                </c:pt>
                <c:pt idx="598">
                  <c:v>2/24/2022</c:v>
                </c:pt>
                <c:pt idx="599">
                  <c:v>2/25/2022</c:v>
                </c:pt>
                <c:pt idx="600">
                  <c:v>2/28/2022</c:v>
                </c:pt>
                <c:pt idx="601">
                  <c:v>3/1/2022</c:v>
                </c:pt>
                <c:pt idx="602">
                  <c:v>3/2/2022</c:v>
                </c:pt>
                <c:pt idx="603">
                  <c:v>3/3/2022</c:v>
                </c:pt>
                <c:pt idx="604">
                  <c:v>3/4/2022</c:v>
                </c:pt>
                <c:pt idx="605">
                  <c:v>3/7/2022</c:v>
                </c:pt>
                <c:pt idx="606">
                  <c:v>3/8/2022</c:v>
                </c:pt>
                <c:pt idx="607">
                  <c:v>3/9/2022</c:v>
                </c:pt>
                <c:pt idx="608">
                  <c:v>3/10/2022</c:v>
                </c:pt>
                <c:pt idx="609">
                  <c:v>3/11/2022</c:v>
                </c:pt>
                <c:pt idx="610">
                  <c:v>3/14/2022</c:v>
                </c:pt>
                <c:pt idx="611">
                  <c:v>3/15/2022</c:v>
                </c:pt>
                <c:pt idx="612">
                  <c:v>3/16/2022</c:v>
                </c:pt>
                <c:pt idx="613">
                  <c:v>3/17/2022</c:v>
                </c:pt>
                <c:pt idx="614">
                  <c:v>3/18/2022</c:v>
                </c:pt>
                <c:pt idx="615">
                  <c:v>3/21/2022</c:v>
                </c:pt>
                <c:pt idx="616">
                  <c:v>3/22/2022</c:v>
                </c:pt>
                <c:pt idx="617">
                  <c:v>3/23/2022</c:v>
                </c:pt>
                <c:pt idx="618">
                  <c:v>3/24/2022</c:v>
                </c:pt>
                <c:pt idx="619">
                  <c:v>3/25/2022</c:v>
                </c:pt>
                <c:pt idx="620">
                  <c:v>3/28/2022</c:v>
                </c:pt>
                <c:pt idx="621">
                  <c:v>3/29/2022</c:v>
                </c:pt>
                <c:pt idx="622">
                  <c:v>3/30/2022</c:v>
                </c:pt>
                <c:pt idx="623">
                  <c:v>3/31/2022</c:v>
                </c:pt>
                <c:pt idx="624">
                  <c:v>4/1/2022</c:v>
                </c:pt>
                <c:pt idx="625">
                  <c:v>4/4/2022</c:v>
                </c:pt>
                <c:pt idx="626">
                  <c:v>4/5/2022</c:v>
                </c:pt>
                <c:pt idx="627">
                  <c:v>4/6/2022</c:v>
                </c:pt>
                <c:pt idx="628">
                  <c:v>4/7/2022</c:v>
                </c:pt>
                <c:pt idx="629">
                  <c:v>4/8/2022</c:v>
                </c:pt>
                <c:pt idx="630">
                  <c:v>4/11/2022</c:v>
                </c:pt>
                <c:pt idx="631">
                  <c:v>4/12/2022</c:v>
                </c:pt>
                <c:pt idx="632">
                  <c:v>4/13/2022</c:v>
                </c:pt>
                <c:pt idx="633">
                  <c:v>4/14/2022</c:v>
                </c:pt>
                <c:pt idx="634">
                  <c:v>4/18/2022</c:v>
                </c:pt>
                <c:pt idx="635">
                  <c:v>4/19/2022</c:v>
                </c:pt>
                <c:pt idx="636">
                  <c:v>4/20/2022</c:v>
                </c:pt>
                <c:pt idx="637">
                  <c:v>4/21/2022</c:v>
                </c:pt>
                <c:pt idx="638">
                  <c:v>4/22/2022</c:v>
                </c:pt>
                <c:pt idx="639">
                  <c:v>4/25/2022</c:v>
                </c:pt>
                <c:pt idx="640">
                  <c:v>4/26/2022</c:v>
                </c:pt>
                <c:pt idx="641">
                  <c:v>4/27/2022</c:v>
                </c:pt>
                <c:pt idx="642">
                  <c:v>4/28/2022</c:v>
                </c:pt>
                <c:pt idx="643">
                  <c:v>4/29/2022</c:v>
                </c:pt>
                <c:pt idx="644">
                  <c:v>5/2/2022</c:v>
                </c:pt>
                <c:pt idx="645">
                  <c:v>5/3/2022</c:v>
                </c:pt>
                <c:pt idx="646">
                  <c:v>5/4/2022</c:v>
                </c:pt>
                <c:pt idx="647">
                  <c:v>5/5/2022</c:v>
                </c:pt>
                <c:pt idx="648">
                  <c:v>5/6/2022</c:v>
                </c:pt>
                <c:pt idx="649">
                  <c:v>5/9/2022</c:v>
                </c:pt>
                <c:pt idx="650">
                  <c:v>5/10/2022</c:v>
                </c:pt>
                <c:pt idx="651">
                  <c:v>5/11/2022</c:v>
                </c:pt>
                <c:pt idx="652">
                  <c:v>5/12/2022</c:v>
                </c:pt>
                <c:pt idx="653">
                  <c:v>5/13/2022</c:v>
                </c:pt>
                <c:pt idx="654">
                  <c:v>5/16/2022</c:v>
                </c:pt>
                <c:pt idx="655">
                  <c:v>5/17/2022</c:v>
                </c:pt>
                <c:pt idx="656">
                  <c:v>5/18/2022</c:v>
                </c:pt>
                <c:pt idx="657">
                  <c:v>5/19/2022</c:v>
                </c:pt>
                <c:pt idx="658">
                  <c:v>5/20/2022</c:v>
                </c:pt>
                <c:pt idx="659">
                  <c:v>5/23/2022</c:v>
                </c:pt>
                <c:pt idx="660">
                  <c:v>5/24/2022</c:v>
                </c:pt>
                <c:pt idx="661">
                  <c:v>5/25/2022</c:v>
                </c:pt>
                <c:pt idx="662">
                  <c:v>5/26/2022</c:v>
                </c:pt>
                <c:pt idx="663">
                  <c:v>5/27/2022</c:v>
                </c:pt>
                <c:pt idx="664">
                  <c:v>5/30/2022</c:v>
                </c:pt>
                <c:pt idx="665">
                  <c:v>5/31/2022</c:v>
                </c:pt>
                <c:pt idx="666">
                  <c:v>6/1/2022</c:v>
                </c:pt>
                <c:pt idx="667">
                  <c:v>6/2/2022</c:v>
                </c:pt>
                <c:pt idx="668">
                  <c:v>6/3/2022</c:v>
                </c:pt>
                <c:pt idx="669">
                  <c:v>6/6/2022</c:v>
                </c:pt>
                <c:pt idx="670">
                  <c:v>6/7/2022</c:v>
                </c:pt>
                <c:pt idx="671">
                  <c:v>6/8/2022</c:v>
                </c:pt>
                <c:pt idx="672">
                  <c:v>6/9/2022</c:v>
                </c:pt>
                <c:pt idx="673">
                  <c:v>6/10/2022</c:v>
                </c:pt>
                <c:pt idx="674">
                  <c:v>6/13/2022</c:v>
                </c:pt>
                <c:pt idx="675">
                  <c:v>6/14/2022</c:v>
                </c:pt>
                <c:pt idx="676">
                  <c:v>6/15/2022</c:v>
                </c:pt>
                <c:pt idx="677">
                  <c:v>6/16/2022</c:v>
                </c:pt>
                <c:pt idx="678">
                  <c:v>6/17/2022</c:v>
                </c:pt>
                <c:pt idx="679">
                  <c:v>6/21/2022</c:v>
                </c:pt>
                <c:pt idx="680">
                  <c:v>6/22/2022</c:v>
                </c:pt>
                <c:pt idx="681">
                  <c:v>6/23/2022</c:v>
                </c:pt>
                <c:pt idx="682">
                  <c:v>6/24/2022</c:v>
                </c:pt>
                <c:pt idx="683">
                  <c:v>6/27/2022</c:v>
                </c:pt>
              </c:strCache>
            </c:strRef>
          </c:cat>
          <c:val>
            <c:numRef>
              <c:f>'Gasoline Prices'!$B$4:$B$687</c:f>
              <c:numCache>
                <c:formatCode>"$"#,##0.00</c:formatCode>
                <c:ptCount val="684"/>
                <c:pt idx="0">
                  <c:v>1.5871</c:v>
                </c:pt>
                <c:pt idx="1">
                  <c:v>1.6233</c:v>
                </c:pt>
                <c:pt idx="2">
                  <c:v>1.6388</c:v>
                </c:pt>
                <c:pt idx="3">
                  <c:v>1.5702</c:v>
                </c:pt>
                <c:pt idx="4">
                  <c:v>1.5704</c:v>
                </c:pt>
                <c:pt idx="5">
                  <c:v>1.5842000000000001</c:v>
                </c:pt>
                <c:pt idx="6">
                  <c:v>1.5819000000000001</c:v>
                </c:pt>
                <c:pt idx="7">
                  <c:v>1.5778000000000001</c:v>
                </c:pt>
                <c:pt idx="8">
                  <c:v>1.5637000000000001</c:v>
                </c:pt>
                <c:pt idx="9">
                  <c:v>1.569</c:v>
                </c:pt>
                <c:pt idx="10">
                  <c:v>1.6133</c:v>
                </c:pt>
                <c:pt idx="11">
                  <c:v>1.6258999999999999</c:v>
                </c:pt>
                <c:pt idx="12">
                  <c:v>1.6355999999999999</c:v>
                </c:pt>
                <c:pt idx="13">
                  <c:v>1.6344000000000001</c:v>
                </c:pt>
                <c:pt idx="14">
                  <c:v>1.6415999999999999</c:v>
                </c:pt>
                <c:pt idx="15">
                  <c:v>1.6645000000000001</c:v>
                </c:pt>
                <c:pt idx="16">
                  <c:v>1.5946</c:v>
                </c:pt>
                <c:pt idx="17">
                  <c:v>1.6556999999999999</c:v>
                </c:pt>
                <c:pt idx="18">
                  <c:v>1.6637</c:v>
                </c:pt>
                <c:pt idx="19">
                  <c:v>1.6746000000000001</c:v>
                </c:pt>
                <c:pt idx="20">
                  <c:v>1.6262000000000001</c:v>
                </c:pt>
                <c:pt idx="21">
                  <c:v>1.6355</c:v>
                </c:pt>
                <c:pt idx="22">
                  <c:v>1.6336999999999999</c:v>
                </c:pt>
                <c:pt idx="23">
                  <c:v>1.6099000000000001</c:v>
                </c:pt>
                <c:pt idx="24">
                  <c:v>1.6144000000000001</c:v>
                </c:pt>
                <c:pt idx="25">
                  <c:v>1.6309</c:v>
                </c:pt>
                <c:pt idx="26">
                  <c:v>1.6115999999999999</c:v>
                </c:pt>
                <c:pt idx="27">
                  <c:v>1.6308</c:v>
                </c:pt>
                <c:pt idx="28">
                  <c:v>1.6160000000000001</c:v>
                </c:pt>
                <c:pt idx="29">
                  <c:v>1.6036999999999999</c:v>
                </c:pt>
                <c:pt idx="30">
                  <c:v>1.6563000000000001</c:v>
                </c:pt>
                <c:pt idx="31">
                  <c:v>1.6982999999999999</c:v>
                </c:pt>
                <c:pt idx="32">
                  <c:v>1.6742999999999999</c:v>
                </c:pt>
                <c:pt idx="33">
                  <c:v>1.6715</c:v>
                </c:pt>
                <c:pt idx="34">
                  <c:v>1.6976</c:v>
                </c:pt>
                <c:pt idx="35">
                  <c:v>1.6792</c:v>
                </c:pt>
                <c:pt idx="36">
                  <c:v>1.591</c:v>
                </c:pt>
                <c:pt idx="37">
                  <c:v>1.5732999999999999</c:v>
                </c:pt>
                <c:pt idx="38">
                  <c:v>1.5629</c:v>
                </c:pt>
                <c:pt idx="39">
                  <c:v>1.6042000000000001</c:v>
                </c:pt>
                <c:pt idx="40">
                  <c:v>1.6211</c:v>
                </c:pt>
                <c:pt idx="41">
                  <c:v>1.6474</c:v>
                </c:pt>
                <c:pt idx="42">
                  <c:v>1.6548</c:v>
                </c:pt>
                <c:pt idx="43">
                  <c:v>1.6525000000000001</c:v>
                </c:pt>
                <c:pt idx="44">
                  <c:v>1.6261000000000001</c:v>
                </c:pt>
                <c:pt idx="45">
                  <c:v>1.6283000000000001</c:v>
                </c:pt>
                <c:pt idx="46">
                  <c:v>1.6632</c:v>
                </c:pt>
                <c:pt idx="47">
                  <c:v>1.6677999999999999</c:v>
                </c:pt>
                <c:pt idx="48">
                  <c:v>1.6899</c:v>
                </c:pt>
                <c:pt idx="49">
                  <c:v>1.6904999999999999</c:v>
                </c:pt>
                <c:pt idx="50">
                  <c:v>1.7097</c:v>
                </c:pt>
                <c:pt idx="51">
                  <c:v>1.7072000000000001</c:v>
                </c:pt>
                <c:pt idx="52">
                  <c:v>1.7064999999999999</c:v>
                </c:pt>
                <c:pt idx="53">
                  <c:v>1.7274</c:v>
                </c:pt>
                <c:pt idx="54">
                  <c:v>1.7539</c:v>
                </c:pt>
                <c:pt idx="55">
                  <c:v>1.7446999999999999</c:v>
                </c:pt>
                <c:pt idx="56">
                  <c:v>1.724</c:v>
                </c:pt>
                <c:pt idx="57">
                  <c:v>1.6904999999999999</c:v>
                </c:pt>
                <c:pt idx="58">
                  <c:v>1.7041999999999999</c:v>
                </c:pt>
                <c:pt idx="59">
                  <c:v>1.7487999999999999</c:v>
                </c:pt>
                <c:pt idx="60">
                  <c:v>1.7544</c:v>
                </c:pt>
                <c:pt idx="61">
                  <c:v>1.7222</c:v>
                </c:pt>
                <c:pt idx="62">
                  <c:v>1.6488</c:v>
                </c:pt>
                <c:pt idx="63">
                  <c:v>1.6527000000000001</c:v>
                </c:pt>
                <c:pt idx="64">
                  <c:v>1.6596</c:v>
                </c:pt>
                <c:pt idx="65">
                  <c:v>1.6573</c:v>
                </c:pt>
                <c:pt idx="66">
                  <c:v>1.6641999999999999</c:v>
                </c:pt>
                <c:pt idx="67">
                  <c:v>1.6492</c:v>
                </c:pt>
                <c:pt idx="68">
                  <c:v>1.667</c:v>
                </c:pt>
                <c:pt idx="69">
                  <c:v>1.6549</c:v>
                </c:pt>
                <c:pt idx="70">
                  <c:v>1.6365000000000001</c:v>
                </c:pt>
                <c:pt idx="71">
                  <c:v>1.5933999999999999</c:v>
                </c:pt>
                <c:pt idx="72">
                  <c:v>1.573</c:v>
                </c:pt>
                <c:pt idx="73">
                  <c:v>1.5259</c:v>
                </c:pt>
                <c:pt idx="74">
                  <c:v>1.4930000000000001</c:v>
                </c:pt>
                <c:pt idx="75">
                  <c:v>1.5143</c:v>
                </c:pt>
                <c:pt idx="76">
                  <c:v>1.5407999999999999</c:v>
                </c:pt>
                <c:pt idx="77">
                  <c:v>1.5055000000000001</c:v>
                </c:pt>
                <c:pt idx="78">
                  <c:v>1.5041</c:v>
                </c:pt>
                <c:pt idx="79">
                  <c:v>1.4737</c:v>
                </c:pt>
                <c:pt idx="80">
                  <c:v>1.4432</c:v>
                </c:pt>
                <c:pt idx="81">
                  <c:v>1.4863</c:v>
                </c:pt>
                <c:pt idx="82">
                  <c:v>1.498</c:v>
                </c:pt>
                <c:pt idx="83">
                  <c:v>1.5239</c:v>
                </c:pt>
                <c:pt idx="84">
                  <c:v>1.5213000000000001</c:v>
                </c:pt>
                <c:pt idx="85">
                  <c:v>1.5142</c:v>
                </c:pt>
                <c:pt idx="86">
                  <c:v>1.581</c:v>
                </c:pt>
                <c:pt idx="87">
                  <c:v>1.7226999999999999</c:v>
                </c:pt>
                <c:pt idx="88">
                  <c:v>1.5832999999999999</c:v>
                </c:pt>
                <c:pt idx="89">
                  <c:v>1.6148</c:v>
                </c:pt>
                <c:pt idx="90">
                  <c:v>1.7819</c:v>
                </c:pt>
                <c:pt idx="91">
                  <c:v>1.7845</c:v>
                </c:pt>
                <c:pt idx="92">
                  <c:v>1.7612000000000001</c:v>
                </c:pt>
                <c:pt idx="93">
                  <c:v>1.7132000000000001</c:v>
                </c:pt>
                <c:pt idx="94">
                  <c:v>1.6418999999999999</c:v>
                </c:pt>
                <c:pt idx="95">
                  <c:v>1.5645</c:v>
                </c:pt>
                <c:pt idx="96">
                  <c:v>1.5206</c:v>
                </c:pt>
                <c:pt idx="97">
                  <c:v>1.4827999999999999</c:v>
                </c:pt>
                <c:pt idx="98">
                  <c:v>1.5396000000000001</c:v>
                </c:pt>
                <c:pt idx="99">
                  <c:v>1.5313000000000001</c:v>
                </c:pt>
                <c:pt idx="100">
                  <c:v>1.5555000000000001</c:v>
                </c:pt>
                <c:pt idx="101">
                  <c:v>1.5218</c:v>
                </c:pt>
                <c:pt idx="102">
                  <c:v>1.389</c:v>
                </c:pt>
                <c:pt idx="103">
                  <c:v>1.1369</c:v>
                </c:pt>
                <c:pt idx="104">
                  <c:v>1.1571</c:v>
                </c:pt>
                <c:pt idx="105">
                  <c:v>1.1103000000000001</c:v>
                </c:pt>
                <c:pt idx="106">
                  <c:v>0.91900000000000004</c:v>
                </c:pt>
                <c:pt idx="107">
                  <c:v>0.91349999999999998</c:v>
                </c:pt>
                <c:pt idx="108">
                  <c:v>0.70169999999999999</c:v>
                </c:pt>
                <c:pt idx="109">
                  <c:v>0.71140000000000003</c:v>
                </c:pt>
                <c:pt idx="110">
                  <c:v>0.64590000000000003</c:v>
                </c:pt>
                <c:pt idx="111">
                  <c:v>0.69320000000000004</c:v>
                </c:pt>
                <c:pt idx="112">
                  <c:v>0.60540000000000005</c:v>
                </c:pt>
                <c:pt idx="113">
                  <c:v>0.49469999999999997</c:v>
                </c:pt>
                <c:pt idx="114">
                  <c:v>0.51049999999999995</c:v>
                </c:pt>
                <c:pt idx="115">
                  <c:v>0.60540000000000005</c:v>
                </c:pt>
                <c:pt idx="116">
                  <c:v>0.59799999999999998</c:v>
                </c:pt>
                <c:pt idx="117">
                  <c:v>0.61360000000000003</c:v>
                </c:pt>
                <c:pt idx="118">
                  <c:v>0.61680000000000001</c:v>
                </c:pt>
                <c:pt idx="119">
                  <c:v>0.5927</c:v>
                </c:pt>
                <c:pt idx="120">
                  <c:v>0.54649999999999999</c:v>
                </c:pt>
                <c:pt idx="121">
                  <c:v>0.66279999999999994</c:v>
                </c:pt>
                <c:pt idx="122">
                  <c:v>0.69159999999999999</c:v>
                </c:pt>
                <c:pt idx="123">
                  <c:v>0.7016</c:v>
                </c:pt>
                <c:pt idx="124">
                  <c:v>0.6482</c:v>
                </c:pt>
                <c:pt idx="125">
                  <c:v>0.67800000000000005</c:v>
                </c:pt>
                <c:pt idx="126">
                  <c:v>0.67730000000000001</c:v>
                </c:pt>
                <c:pt idx="127">
                  <c:v>0.70330000000000004</c:v>
                </c:pt>
                <c:pt idx="128">
                  <c:v>0.72</c:v>
                </c:pt>
                <c:pt idx="129">
                  <c:v>0.72040000000000004</c:v>
                </c:pt>
                <c:pt idx="130">
                  <c:v>0.75690000000000002</c:v>
                </c:pt>
                <c:pt idx="131">
                  <c:v>0.76459999999999995</c:v>
                </c:pt>
                <c:pt idx="132">
                  <c:v>0.72550000000000003</c:v>
                </c:pt>
                <c:pt idx="133">
                  <c:v>0.62529999999999997</c:v>
                </c:pt>
                <c:pt idx="134">
                  <c:v>0.6875</c:v>
                </c:pt>
                <c:pt idx="135">
                  <c:v>0.68210000000000004</c:v>
                </c:pt>
                <c:pt idx="136">
                  <c:v>0.70009999999999994</c:v>
                </c:pt>
                <c:pt idx="137">
                  <c:v>0.68489999999999995</c:v>
                </c:pt>
                <c:pt idx="138">
                  <c:v>0.70399999999999996</c:v>
                </c:pt>
                <c:pt idx="139">
                  <c:v>0.72719999999999996</c:v>
                </c:pt>
                <c:pt idx="140">
                  <c:v>0.78369999999999995</c:v>
                </c:pt>
                <c:pt idx="141">
                  <c:v>0.76629999999999998</c:v>
                </c:pt>
                <c:pt idx="142">
                  <c:v>0.82150000000000001</c:v>
                </c:pt>
                <c:pt idx="143">
                  <c:v>0.90129999999999999</c:v>
                </c:pt>
                <c:pt idx="144">
                  <c:v>0.87690000000000001</c:v>
                </c:pt>
                <c:pt idx="145">
                  <c:v>0.93140000000000001</c:v>
                </c:pt>
                <c:pt idx="146">
                  <c:v>0.95220000000000005</c:v>
                </c:pt>
                <c:pt idx="147">
                  <c:v>0.92420000000000002</c:v>
                </c:pt>
                <c:pt idx="148">
                  <c:v>0.93630000000000002</c:v>
                </c:pt>
                <c:pt idx="149">
                  <c:v>0.88180000000000003</c:v>
                </c:pt>
                <c:pt idx="150">
                  <c:v>0.93689999999999996</c:v>
                </c:pt>
                <c:pt idx="151">
                  <c:v>0.98380000000000001</c:v>
                </c:pt>
                <c:pt idx="152">
                  <c:v>1.0426</c:v>
                </c:pt>
                <c:pt idx="153">
                  <c:v>1.0549999999999999</c:v>
                </c:pt>
                <c:pt idx="154">
                  <c:v>1.0438000000000001</c:v>
                </c:pt>
                <c:pt idx="155">
                  <c:v>1.0618000000000001</c:v>
                </c:pt>
                <c:pt idx="156">
                  <c:v>1.0518000000000001</c:v>
                </c:pt>
                <c:pt idx="157">
                  <c:v>1.0648</c:v>
                </c:pt>
                <c:pt idx="158">
                  <c:v>1.0177</c:v>
                </c:pt>
                <c:pt idx="159">
                  <c:v>1.026</c:v>
                </c:pt>
                <c:pt idx="160">
                  <c:v>1.0785</c:v>
                </c:pt>
                <c:pt idx="161">
                  <c:v>1.0667</c:v>
                </c:pt>
                <c:pt idx="162">
                  <c:v>1.1183000000000001</c:v>
                </c:pt>
                <c:pt idx="163">
                  <c:v>1.1193</c:v>
                </c:pt>
                <c:pt idx="164">
                  <c:v>1.149</c:v>
                </c:pt>
                <c:pt idx="165">
                  <c:v>1.2136</c:v>
                </c:pt>
                <c:pt idx="166">
                  <c:v>1.1950000000000001</c:v>
                </c:pt>
                <c:pt idx="167">
                  <c:v>1.2102999999999999</c:v>
                </c:pt>
                <c:pt idx="168">
                  <c:v>1.2099</c:v>
                </c:pt>
                <c:pt idx="169">
                  <c:v>1.1188</c:v>
                </c:pt>
                <c:pt idx="170">
                  <c:v>1.1367</c:v>
                </c:pt>
                <c:pt idx="171">
                  <c:v>1.1732</c:v>
                </c:pt>
                <c:pt idx="172">
                  <c:v>1.2149000000000001</c:v>
                </c:pt>
                <c:pt idx="173">
                  <c:v>1.2219</c:v>
                </c:pt>
                <c:pt idx="174">
                  <c:v>1.2575000000000001</c:v>
                </c:pt>
                <c:pt idx="175">
                  <c:v>1.2709999999999999</c:v>
                </c:pt>
                <c:pt idx="176">
                  <c:v>1.2904</c:v>
                </c:pt>
                <c:pt idx="177">
                  <c:v>1.2983</c:v>
                </c:pt>
                <c:pt idx="178">
                  <c:v>1.1992</c:v>
                </c:pt>
                <c:pt idx="179">
                  <c:v>1.1972</c:v>
                </c:pt>
                <c:pt idx="180">
                  <c:v>1.1569</c:v>
                </c:pt>
                <c:pt idx="181">
                  <c:v>1.1878</c:v>
                </c:pt>
                <c:pt idx="182">
                  <c:v>1.2015</c:v>
                </c:pt>
                <c:pt idx="183">
                  <c:v>1.2169000000000001</c:v>
                </c:pt>
                <c:pt idx="184">
                  <c:v>1.2592000000000001</c:v>
                </c:pt>
                <c:pt idx="185">
                  <c:v>1.2407999999999999</c:v>
                </c:pt>
                <c:pt idx="186">
                  <c:v>1.2749999999999999</c:v>
                </c:pt>
                <c:pt idx="187">
                  <c:v>1.2908999999999999</c:v>
                </c:pt>
                <c:pt idx="188">
                  <c:v>1.2504999999999999</c:v>
                </c:pt>
                <c:pt idx="189">
                  <c:v>1.2830999999999999</c:v>
                </c:pt>
                <c:pt idx="190">
                  <c:v>1.2471000000000001</c:v>
                </c:pt>
                <c:pt idx="191">
                  <c:v>1.2262</c:v>
                </c:pt>
                <c:pt idx="192">
                  <c:v>1.2427999999999999</c:v>
                </c:pt>
                <c:pt idx="193">
                  <c:v>1.2157</c:v>
                </c:pt>
                <c:pt idx="194">
                  <c:v>1.2061999999999999</c:v>
                </c:pt>
                <c:pt idx="195">
                  <c:v>1.2131000000000001</c:v>
                </c:pt>
                <c:pt idx="196">
                  <c:v>1.2604</c:v>
                </c:pt>
                <c:pt idx="197">
                  <c:v>1.2603</c:v>
                </c:pt>
                <c:pt idx="198">
                  <c:v>1.2363</c:v>
                </c:pt>
                <c:pt idx="199">
                  <c:v>1.256</c:v>
                </c:pt>
                <c:pt idx="200">
                  <c:v>1.2446999999999999</c:v>
                </c:pt>
                <c:pt idx="201">
                  <c:v>1.2352000000000001</c:v>
                </c:pt>
                <c:pt idx="202">
                  <c:v>1.2132000000000001</c:v>
                </c:pt>
                <c:pt idx="203">
                  <c:v>1.1908000000000001</c:v>
                </c:pt>
                <c:pt idx="204">
                  <c:v>1.1711</c:v>
                </c:pt>
                <c:pt idx="205">
                  <c:v>1.2131000000000001</c:v>
                </c:pt>
                <c:pt idx="206">
                  <c:v>1.2142999999999999</c:v>
                </c:pt>
                <c:pt idx="207">
                  <c:v>1.2228000000000001</c:v>
                </c:pt>
                <c:pt idx="208">
                  <c:v>1.2281</c:v>
                </c:pt>
                <c:pt idx="209">
                  <c:v>1.2076</c:v>
                </c:pt>
                <c:pt idx="210">
                  <c:v>1.2293000000000001</c:v>
                </c:pt>
                <c:pt idx="211">
                  <c:v>1.2044999999999999</c:v>
                </c:pt>
                <c:pt idx="212">
                  <c:v>1.1858</c:v>
                </c:pt>
                <c:pt idx="213">
                  <c:v>1.1789000000000001</c:v>
                </c:pt>
                <c:pt idx="214">
                  <c:v>1.1879999999999999</c:v>
                </c:pt>
                <c:pt idx="215">
                  <c:v>1.2134</c:v>
                </c:pt>
                <c:pt idx="216">
                  <c:v>1.2249000000000001</c:v>
                </c:pt>
                <c:pt idx="217">
                  <c:v>1.2284999999999999</c:v>
                </c:pt>
                <c:pt idx="218">
                  <c:v>1.2263999999999999</c:v>
                </c:pt>
                <c:pt idx="219">
                  <c:v>1.2130000000000001</c:v>
                </c:pt>
                <c:pt idx="220">
                  <c:v>1.2598</c:v>
                </c:pt>
                <c:pt idx="221">
                  <c:v>1.2685</c:v>
                </c:pt>
                <c:pt idx="222">
                  <c:v>1.2634000000000001</c:v>
                </c:pt>
                <c:pt idx="223">
                  <c:v>1.2181999999999999</c:v>
                </c:pt>
                <c:pt idx="224">
                  <c:v>1.2464999999999999</c:v>
                </c:pt>
                <c:pt idx="225">
                  <c:v>1.2137</c:v>
                </c:pt>
                <c:pt idx="226">
                  <c:v>1.2246999999999999</c:v>
                </c:pt>
                <c:pt idx="227">
                  <c:v>1.202</c:v>
                </c:pt>
                <c:pt idx="228">
                  <c:v>1.2049000000000001</c:v>
                </c:pt>
                <c:pt idx="229">
                  <c:v>1.1772</c:v>
                </c:pt>
                <c:pt idx="230">
                  <c:v>1.1028</c:v>
                </c:pt>
                <c:pt idx="231">
                  <c:v>1.1193</c:v>
                </c:pt>
                <c:pt idx="232">
                  <c:v>1.0976999999999999</c:v>
                </c:pt>
                <c:pt idx="233">
                  <c:v>1.0949</c:v>
                </c:pt>
                <c:pt idx="234">
                  <c:v>1.0922000000000001</c:v>
                </c:pt>
                <c:pt idx="235">
                  <c:v>1.1198999999999999</c:v>
                </c:pt>
                <c:pt idx="236">
                  <c:v>1.1694</c:v>
                </c:pt>
                <c:pt idx="237">
                  <c:v>1.2017</c:v>
                </c:pt>
                <c:pt idx="238">
                  <c:v>1.2097</c:v>
                </c:pt>
                <c:pt idx="239">
                  <c:v>1.1544000000000001</c:v>
                </c:pt>
                <c:pt idx="240">
                  <c:v>1.1437999999999999</c:v>
                </c:pt>
                <c:pt idx="241">
                  <c:v>1.1577999999999999</c:v>
                </c:pt>
                <c:pt idx="242">
                  <c:v>1.1732</c:v>
                </c:pt>
                <c:pt idx="243">
                  <c:v>1.1898</c:v>
                </c:pt>
                <c:pt idx="244">
                  <c:v>1.2132000000000001</c:v>
                </c:pt>
                <c:pt idx="245">
                  <c:v>1.1711</c:v>
                </c:pt>
                <c:pt idx="246">
                  <c:v>1.1816</c:v>
                </c:pt>
                <c:pt idx="247">
                  <c:v>1.1524000000000001</c:v>
                </c:pt>
                <c:pt idx="248">
                  <c:v>1.1234999999999999</c:v>
                </c:pt>
                <c:pt idx="249">
                  <c:v>1.1940999999999999</c:v>
                </c:pt>
                <c:pt idx="250">
                  <c:v>1.2351000000000001</c:v>
                </c:pt>
                <c:pt idx="251">
                  <c:v>1.2009000000000001</c:v>
                </c:pt>
                <c:pt idx="252">
                  <c:v>1.2316</c:v>
                </c:pt>
                <c:pt idx="253">
                  <c:v>1.2032</c:v>
                </c:pt>
                <c:pt idx="254">
                  <c:v>1.1757</c:v>
                </c:pt>
                <c:pt idx="255">
                  <c:v>1.1633</c:v>
                </c:pt>
                <c:pt idx="256">
                  <c:v>1.1795</c:v>
                </c:pt>
                <c:pt idx="257">
                  <c:v>1.1637</c:v>
                </c:pt>
                <c:pt idx="258">
                  <c:v>1.1535</c:v>
                </c:pt>
                <c:pt idx="259">
                  <c:v>1.1485000000000001</c:v>
                </c:pt>
                <c:pt idx="260">
                  <c:v>1.1725000000000001</c:v>
                </c:pt>
                <c:pt idx="261">
                  <c:v>1.1271</c:v>
                </c:pt>
                <c:pt idx="262">
                  <c:v>1.1452</c:v>
                </c:pt>
                <c:pt idx="263">
                  <c:v>1.127</c:v>
                </c:pt>
                <c:pt idx="264">
                  <c:v>1.0969</c:v>
                </c:pt>
                <c:pt idx="265">
                  <c:v>1.1288</c:v>
                </c:pt>
                <c:pt idx="266">
                  <c:v>1.0636000000000001</c:v>
                </c:pt>
                <c:pt idx="267">
                  <c:v>1.028</c:v>
                </c:pt>
                <c:pt idx="268">
                  <c:v>1.0322</c:v>
                </c:pt>
                <c:pt idx="269">
                  <c:v>1.052</c:v>
                </c:pt>
                <c:pt idx="270">
                  <c:v>1.0769</c:v>
                </c:pt>
                <c:pt idx="271">
                  <c:v>1.1081000000000001</c:v>
                </c:pt>
                <c:pt idx="272">
                  <c:v>1.1158999999999999</c:v>
                </c:pt>
                <c:pt idx="273">
                  <c:v>1.0844</c:v>
                </c:pt>
                <c:pt idx="274">
                  <c:v>1.1607000000000001</c:v>
                </c:pt>
                <c:pt idx="275">
                  <c:v>1.1940999999999999</c:v>
                </c:pt>
                <c:pt idx="276">
                  <c:v>1.1758999999999999</c:v>
                </c:pt>
                <c:pt idx="277">
                  <c:v>1.1557999999999999</c:v>
                </c:pt>
                <c:pt idx="278">
                  <c:v>1.125</c:v>
                </c:pt>
                <c:pt idx="279">
                  <c:v>1.147</c:v>
                </c:pt>
                <c:pt idx="280">
                  <c:v>1.1528</c:v>
                </c:pt>
                <c:pt idx="281">
                  <c:v>1.1626000000000001</c:v>
                </c:pt>
                <c:pt idx="282">
                  <c:v>1.1596</c:v>
                </c:pt>
                <c:pt idx="283">
                  <c:v>1.1702999999999999</c:v>
                </c:pt>
                <c:pt idx="284">
                  <c:v>1.1971000000000001</c:v>
                </c:pt>
                <c:pt idx="285">
                  <c:v>1.2509999999999999</c:v>
                </c:pt>
                <c:pt idx="286">
                  <c:v>1.2709999999999999</c:v>
                </c:pt>
                <c:pt idx="287">
                  <c:v>1.266</c:v>
                </c:pt>
                <c:pt idx="288">
                  <c:v>1.2416</c:v>
                </c:pt>
                <c:pt idx="289">
                  <c:v>1.2203999999999999</c:v>
                </c:pt>
                <c:pt idx="290">
                  <c:v>1.2399</c:v>
                </c:pt>
                <c:pt idx="291">
                  <c:v>1.2617</c:v>
                </c:pt>
                <c:pt idx="292">
                  <c:v>1.2685</c:v>
                </c:pt>
                <c:pt idx="293">
                  <c:v>1.2558</c:v>
                </c:pt>
                <c:pt idx="294">
                  <c:v>1.2559</c:v>
                </c:pt>
                <c:pt idx="295">
                  <c:v>1.2759</c:v>
                </c:pt>
                <c:pt idx="296">
                  <c:v>1.3166</c:v>
                </c:pt>
                <c:pt idx="297">
                  <c:v>1.3077000000000001</c:v>
                </c:pt>
                <c:pt idx="298">
                  <c:v>1.3190999999999999</c:v>
                </c:pt>
                <c:pt idx="299">
                  <c:v>1.3268</c:v>
                </c:pt>
                <c:pt idx="300">
                  <c:v>1.3514999999999999</c:v>
                </c:pt>
                <c:pt idx="301">
                  <c:v>1.3816999999999999</c:v>
                </c:pt>
                <c:pt idx="302">
                  <c:v>1.391</c:v>
                </c:pt>
                <c:pt idx="303">
                  <c:v>1.3548</c:v>
                </c:pt>
                <c:pt idx="304">
                  <c:v>1.3354999999999999</c:v>
                </c:pt>
                <c:pt idx="305">
                  <c:v>1.3762000000000001</c:v>
                </c:pt>
                <c:pt idx="306">
                  <c:v>1.3722000000000001</c:v>
                </c:pt>
                <c:pt idx="307">
                  <c:v>1.3607</c:v>
                </c:pt>
                <c:pt idx="308">
                  <c:v>1.3783000000000001</c:v>
                </c:pt>
                <c:pt idx="309">
                  <c:v>1.4013</c:v>
                </c:pt>
                <c:pt idx="310">
                  <c:v>1.4100999999999999</c:v>
                </c:pt>
                <c:pt idx="311">
                  <c:v>1.3729</c:v>
                </c:pt>
                <c:pt idx="312">
                  <c:v>1.4520999999999999</c:v>
                </c:pt>
                <c:pt idx="313">
                  <c:v>1.4750000000000001</c:v>
                </c:pt>
                <c:pt idx="314">
                  <c:v>1.4826999999999999</c:v>
                </c:pt>
                <c:pt idx="315">
                  <c:v>1.5423</c:v>
                </c:pt>
                <c:pt idx="316">
                  <c:v>1.5207999999999999</c:v>
                </c:pt>
                <c:pt idx="317">
                  <c:v>1.5518000000000001</c:v>
                </c:pt>
                <c:pt idx="318">
                  <c:v>1.5467</c:v>
                </c:pt>
                <c:pt idx="319">
                  <c:v>1.5538000000000001</c:v>
                </c:pt>
                <c:pt idx="320">
                  <c:v>1.5277000000000001</c:v>
                </c:pt>
                <c:pt idx="321">
                  <c:v>1.5379</c:v>
                </c:pt>
                <c:pt idx="322">
                  <c:v>1.5437000000000001</c:v>
                </c:pt>
                <c:pt idx="323">
                  <c:v>1.5471999999999999</c:v>
                </c:pt>
                <c:pt idx="324">
                  <c:v>1.5449999999999999</c:v>
                </c:pt>
                <c:pt idx="325">
                  <c:v>1.5579000000000001</c:v>
                </c:pt>
                <c:pt idx="326">
                  <c:v>1.5748</c:v>
                </c:pt>
                <c:pt idx="327">
                  <c:v>1.5716000000000001</c:v>
                </c:pt>
                <c:pt idx="328">
                  <c:v>1.5753999999999999</c:v>
                </c:pt>
                <c:pt idx="329">
                  <c:v>1.5527</c:v>
                </c:pt>
                <c:pt idx="330">
                  <c:v>1.5901000000000001</c:v>
                </c:pt>
                <c:pt idx="331">
                  <c:v>1.6160000000000001</c:v>
                </c:pt>
                <c:pt idx="332">
                  <c:v>1.6486000000000001</c:v>
                </c:pt>
                <c:pt idx="333">
                  <c:v>1.6448</c:v>
                </c:pt>
                <c:pt idx="334">
                  <c:v>1.6493</c:v>
                </c:pt>
                <c:pt idx="335">
                  <c:v>1.6748000000000001</c:v>
                </c:pt>
                <c:pt idx="336">
                  <c:v>1.6736</c:v>
                </c:pt>
                <c:pt idx="337">
                  <c:v>1.7841</c:v>
                </c:pt>
                <c:pt idx="338">
                  <c:v>1.7786</c:v>
                </c:pt>
                <c:pt idx="339">
                  <c:v>1.8139000000000001</c:v>
                </c:pt>
                <c:pt idx="340">
                  <c:v>1.8636999999999999</c:v>
                </c:pt>
                <c:pt idx="341">
                  <c:v>1.8937999999999999</c:v>
                </c:pt>
                <c:pt idx="342">
                  <c:v>1.8872</c:v>
                </c:pt>
                <c:pt idx="343">
                  <c:v>1.8889</c:v>
                </c:pt>
                <c:pt idx="344">
                  <c:v>1.9309000000000001</c:v>
                </c:pt>
                <c:pt idx="345">
                  <c:v>1.9424999999999999</c:v>
                </c:pt>
                <c:pt idx="346">
                  <c:v>1.9777</c:v>
                </c:pt>
                <c:pt idx="347">
                  <c:v>1.9763999999999999</c:v>
                </c:pt>
                <c:pt idx="348">
                  <c:v>1.9504999999999999</c:v>
                </c:pt>
                <c:pt idx="349">
                  <c:v>1.9429000000000001</c:v>
                </c:pt>
                <c:pt idx="350">
                  <c:v>1.9363999999999999</c:v>
                </c:pt>
                <c:pt idx="351">
                  <c:v>1.9518</c:v>
                </c:pt>
                <c:pt idx="352">
                  <c:v>1.9979</c:v>
                </c:pt>
                <c:pt idx="353">
                  <c:v>2.0647000000000002</c:v>
                </c:pt>
                <c:pt idx="354">
                  <c:v>2.0487000000000002</c:v>
                </c:pt>
                <c:pt idx="355">
                  <c:v>2.0501999999999998</c:v>
                </c:pt>
                <c:pt idx="356">
                  <c:v>2.0747</c:v>
                </c:pt>
                <c:pt idx="357">
                  <c:v>2.1273</c:v>
                </c:pt>
                <c:pt idx="358">
                  <c:v>2.1347999999999998</c:v>
                </c:pt>
                <c:pt idx="359">
                  <c:v>2.0994000000000002</c:v>
                </c:pt>
                <c:pt idx="360">
                  <c:v>2.0956999999999999</c:v>
                </c:pt>
                <c:pt idx="361">
                  <c:v>2.0474999999999999</c:v>
                </c:pt>
                <c:pt idx="362">
                  <c:v>1.9407000000000001</c:v>
                </c:pt>
                <c:pt idx="363">
                  <c:v>1.9437</c:v>
                </c:pt>
                <c:pt idx="364">
                  <c:v>1.9583999999999999</c:v>
                </c:pt>
                <c:pt idx="365">
                  <c:v>1.8958999999999999</c:v>
                </c:pt>
                <c:pt idx="366">
                  <c:v>1.9875</c:v>
                </c:pt>
                <c:pt idx="367">
                  <c:v>1.9196</c:v>
                </c:pt>
                <c:pt idx="368">
                  <c:v>1.9709000000000001</c:v>
                </c:pt>
                <c:pt idx="369">
                  <c:v>2.0009000000000001</c:v>
                </c:pt>
                <c:pt idx="370">
                  <c:v>1.9964</c:v>
                </c:pt>
                <c:pt idx="371">
                  <c:v>1.9597</c:v>
                </c:pt>
                <c:pt idx="372">
                  <c:v>2.0223</c:v>
                </c:pt>
                <c:pt idx="373">
                  <c:v>1.9611000000000001</c:v>
                </c:pt>
                <c:pt idx="374">
                  <c:v>1.9662999999999999</c:v>
                </c:pt>
                <c:pt idx="375">
                  <c:v>1.9518</c:v>
                </c:pt>
                <c:pt idx="376">
                  <c:v>1.9593</c:v>
                </c:pt>
                <c:pt idx="377">
                  <c:v>1.9621</c:v>
                </c:pt>
                <c:pt idx="378">
                  <c:v>1.97</c:v>
                </c:pt>
                <c:pt idx="379">
                  <c:v>1.9757</c:v>
                </c:pt>
                <c:pt idx="380">
                  <c:v>2.0409000000000002</c:v>
                </c:pt>
                <c:pt idx="381">
                  <c:v>2.0526</c:v>
                </c:pt>
                <c:pt idx="382">
                  <c:v>2.0426000000000002</c:v>
                </c:pt>
                <c:pt idx="383">
                  <c:v>2.0463</c:v>
                </c:pt>
                <c:pt idx="384">
                  <c:v>2.0209000000000001</c:v>
                </c:pt>
                <c:pt idx="385">
                  <c:v>1.9881</c:v>
                </c:pt>
                <c:pt idx="386">
                  <c:v>1.9811000000000001</c:v>
                </c:pt>
                <c:pt idx="387">
                  <c:v>2.0051000000000001</c:v>
                </c:pt>
                <c:pt idx="388">
                  <c:v>1.9902</c:v>
                </c:pt>
                <c:pt idx="389">
                  <c:v>2.0287999999999999</c:v>
                </c:pt>
                <c:pt idx="390">
                  <c:v>2.0743</c:v>
                </c:pt>
                <c:pt idx="391">
                  <c:v>2.0988000000000002</c:v>
                </c:pt>
                <c:pt idx="392">
                  <c:v>2.0762999999999998</c:v>
                </c:pt>
                <c:pt idx="393">
                  <c:v>2.1015000000000001</c:v>
                </c:pt>
                <c:pt idx="394">
                  <c:v>2.1511999999999998</c:v>
                </c:pt>
                <c:pt idx="395">
                  <c:v>2.1513</c:v>
                </c:pt>
                <c:pt idx="396">
                  <c:v>2.1137000000000001</c:v>
                </c:pt>
                <c:pt idx="397">
                  <c:v>2.1269</c:v>
                </c:pt>
                <c:pt idx="398">
                  <c:v>2.1334</c:v>
                </c:pt>
                <c:pt idx="399">
                  <c:v>2.1398999999999999</c:v>
                </c:pt>
                <c:pt idx="400">
                  <c:v>2.161</c:v>
                </c:pt>
                <c:pt idx="401">
                  <c:v>2.093</c:v>
                </c:pt>
                <c:pt idx="402">
                  <c:v>2.1223999999999998</c:v>
                </c:pt>
                <c:pt idx="403">
                  <c:v>2.1536</c:v>
                </c:pt>
                <c:pt idx="404">
                  <c:v>2.1554000000000002</c:v>
                </c:pt>
                <c:pt idx="405">
                  <c:v>2.0979000000000001</c:v>
                </c:pt>
                <c:pt idx="406">
                  <c:v>2.0461999999999998</c:v>
                </c:pt>
                <c:pt idx="407">
                  <c:v>2.0709</c:v>
                </c:pt>
                <c:pt idx="408">
                  <c:v>2.1217000000000001</c:v>
                </c:pt>
                <c:pt idx="409">
                  <c:v>2.1229</c:v>
                </c:pt>
                <c:pt idx="410">
                  <c:v>2.1511999999999998</c:v>
                </c:pt>
                <c:pt idx="411">
                  <c:v>2.1551999999999998</c:v>
                </c:pt>
                <c:pt idx="412">
                  <c:v>2.1368999999999998</c:v>
                </c:pt>
                <c:pt idx="413">
                  <c:v>2.1703999999999999</c:v>
                </c:pt>
                <c:pt idx="414">
                  <c:v>2.1941000000000002</c:v>
                </c:pt>
                <c:pt idx="415">
                  <c:v>2.2018</c:v>
                </c:pt>
                <c:pt idx="416">
                  <c:v>2.2115</c:v>
                </c:pt>
                <c:pt idx="417">
                  <c:v>2.1930999999999998</c:v>
                </c:pt>
                <c:pt idx="418">
                  <c:v>2.2189999999999999</c:v>
                </c:pt>
                <c:pt idx="419">
                  <c:v>2.2025000000000001</c:v>
                </c:pt>
                <c:pt idx="420">
                  <c:v>2.2122000000000002</c:v>
                </c:pt>
                <c:pt idx="421">
                  <c:v>2.1861000000000002</c:v>
                </c:pt>
                <c:pt idx="422">
                  <c:v>2.173</c:v>
                </c:pt>
                <c:pt idx="423">
                  <c:v>2.1728999999999998</c:v>
                </c:pt>
                <c:pt idx="424">
                  <c:v>2.16</c:v>
                </c:pt>
                <c:pt idx="425">
                  <c:v>2.1387999999999998</c:v>
                </c:pt>
                <c:pt idx="426">
                  <c:v>2.1739999999999999</c:v>
                </c:pt>
                <c:pt idx="427">
                  <c:v>2.2031000000000001</c:v>
                </c:pt>
                <c:pt idx="428">
                  <c:v>2.2301000000000002</c:v>
                </c:pt>
                <c:pt idx="429">
                  <c:v>2.2698999999999998</c:v>
                </c:pt>
                <c:pt idx="430">
                  <c:v>2.2799999999999998</c:v>
                </c:pt>
                <c:pt idx="431">
                  <c:v>2.2612000000000001</c:v>
                </c:pt>
                <c:pt idx="432">
                  <c:v>2.2176999999999998</c:v>
                </c:pt>
                <c:pt idx="433">
                  <c:v>2.2414999999999998</c:v>
                </c:pt>
                <c:pt idx="434">
                  <c:v>2.2418</c:v>
                </c:pt>
                <c:pt idx="435">
                  <c:v>2.2675999999999998</c:v>
                </c:pt>
                <c:pt idx="436">
                  <c:v>2.2997999999999998</c:v>
                </c:pt>
                <c:pt idx="437">
                  <c:v>2.2282000000000002</c:v>
                </c:pt>
                <c:pt idx="438">
                  <c:v>2.206</c:v>
                </c:pt>
                <c:pt idx="439">
                  <c:v>2.2551999999999999</c:v>
                </c:pt>
                <c:pt idx="440">
                  <c:v>2.2919999999999998</c:v>
                </c:pt>
                <c:pt idx="441">
                  <c:v>2.2772000000000001</c:v>
                </c:pt>
                <c:pt idx="442">
                  <c:v>2.3016999999999999</c:v>
                </c:pt>
                <c:pt idx="443">
                  <c:v>2.2722000000000002</c:v>
                </c:pt>
                <c:pt idx="444">
                  <c:v>2.2317999999999998</c:v>
                </c:pt>
                <c:pt idx="445">
                  <c:v>2.2345000000000002</c:v>
                </c:pt>
                <c:pt idx="446">
                  <c:v>2.0903</c:v>
                </c:pt>
                <c:pt idx="447">
                  <c:v>2.1103999999999998</c:v>
                </c:pt>
                <c:pt idx="448">
                  <c:v>2.1941000000000002</c:v>
                </c:pt>
                <c:pt idx="449">
                  <c:v>2.2473999999999998</c:v>
                </c:pt>
                <c:pt idx="450">
                  <c:v>2.2612000000000001</c:v>
                </c:pt>
                <c:pt idx="451">
                  <c:v>2.2753999999999999</c:v>
                </c:pt>
                <c:pt idx="452">
                  <c:v>2.2812999999999999</c:v>
                </c:pt>
                <c:pt idx="453">
                  <c:v>2.282</c:v>
                </c:pt>
                <c:pt idx="454">
                  <c:v>2.3250999999999999</c:v>
                </c:pt>
                <c:pt idx="455">
                  <c:v>2.3347000000000002</c:v>
                </c:pt>
                <c:pt idx="456">
                  <c:v>2.2747000000000002</c:v>
                </c:pt>
                <c:pt idx="457">
                  <c:v>2.2707999999999999</c:v>
                </c:pt>
                <c:pt idx="458">
                  <c:v>2.25</c:v>
                </c:pt>
                <c:pt idx="459">
                  <c:v>2.294</c:v>
                </c:pt>
                <c:pt idx="460">
                  <c:v>2.2568999999999999</c:v>
                </c:pt>
                <c:pt idx="461">
                  <c:v>2.2347999999999999</c:v>
                </c:pt>
                <c:pt idx="462">
                  <c:v>2.2679</c:v>
                </c:pt>
                <c:pt idx="463">
                  <c:v>2.3022</c:v>
                </c:pt>
                <c:pt idx="464">
                  <c:v>2.13</c:v>
                </c:pt>
                <c:pt idx="465">
                  <c:v>2.1128999999999998</c:v>
                </c:pt>
                <c:pt idx="466">
                  <c:v>2.0668000000000002</c:v>
                </c:pt>
                <c:pt idx="467">
                  <c:v>2.0396999999999998</c:v>
                </c:pt>
                <c:pt idx="468">
                  <c:v>2.0162</c:v>
                </c:pt>
                <c:pt idx="469">
                  <c:v>1.9524999999999999</c:v>
                </c:pt>
                <c:pt idx="470">
                  <c:v>1.8902000000000001</c:v>
                </c:pt>
                <c:pt idx="471">
                  <c:v>1.9865999999999999</c:v>
                </c:pt>
                <c:pt idx="472">
                  <c:v>2.0575999999999999</c:v>
                </c:pt>
                <c:pt idx="473">
                  <c:v>2.145</c:v>
                </c:pt>
                <c:pt idx="474">
                  <c:v>2.0922999999999998</c:v>
                </c:pt>
                <c:pt idx="475">
                  <c:v>2.1196000000000002</c:v>
                </c:pt>
                <c:pt idx="476">
                  <c:v>2.1537999999999999</c:v>
                </c:pt>
                <c:pt idx="477">
                  <c:v>2.1419000000000001</c:v>
                </c:pt>
                <c:pt idx="478">
                  <c:v>2.1109</c:v>
                </c:pt>
                <c:pt idx="479">
                  <c:v>2.1635</c:v>
                </c:pt>
                <c:pt idx="480">
                  <c:v>2.1539999999999999</c:v>
                </c:pt>
                <c:pt idx="481">
                  <c:v>2.13</c:v>
                </c:pt>
                <c:pt idx="482">
                  <c:v>2.1320999999999999</c:v>
                </c:pt>
                <c:pt idx="483">
                  <c:v>2.0996999999999999</c:v>
                </c:pt>
                <c:pt idx="484">
                  <c:v>2.1539999999999999</c:v>
                </c:pt>
                <c:pt idx="485">
                  <c:v>2.1608999999999998</c:v>
                </c:pt>
                <c:pt idx="486">
                  <c:v>2.1118999999999999</c:v>
                </c:pt>
                <c:pt idx="487">
                  <c:v>2.1438000000000001</c:v>
                </c:pt>
                <c:pt idx="488">
                  <c:v>2.1269</c:v>
                </c:pt>
                <c:pt idx="489">
                  <c:v>2.1156999999999999</c:v>
                </c:pt>
                <c:pt idx="490">
                  <c:v>2.0602999999999998</c:v>
                </c:pt>
                <c:pt idx="491">
                  <c:v>2.0598000000000001</c:v>
                </c:pt>
                <c:pt idx="492">
                  <c:v>2.0836999999999999</c:v>
                </c:pt>
                <c:pt idx="493">
                  <c:v>2.1261000000000001</c:v>
                </c:pt>
                <c:pt idx="494">
                  <c:v>2.1377000000000002</c:v>
                </c:pt>
                <c:pt idx="495">
                  <c:v>2.17</c:v>
                </c:pt>
                <c:pt idx="496">
                  <c:v>2.1475</c:v>
                </c:pt>
                <c:pt idx="497">
                  <c:v>2.1749999999999998</c:v>
                </c:pt>
                <c:pt idx="498">
                  <c:v>2.194</c:v>
                </c:pt>
                <c:pt idx="499">
                  <c:v>2.25</c:v>
                </c:pt>
                <c:pt idx="500">
                  <c:v>2.3085</c:v>
                </c:pt>
                <c:pt idx="501">
                  <c:v>2.3578999999999999</c:v>
                </c:pt>
                <c:pt idx="502">
                  <c:v>2.3081999999999998</c:v>
                </c:pt>
                <c:pt idx="503">
                  <c:v>2.3344</c:v>
                </c:pt>
                <c:pt idx="504">
                  <c:v>2.3662000000000001</c:v>
                </c:pt>
                <c:pt idx="505">
                  <c:v>2.3778999999999999</c:v>
                </c:pt>
                <c:pt idx="506">
                  <c:v>2.3828999999999998</c:v>
                </c:pt>
                <c:pt idx="507">
                  <c:v>2.4055</c:v>
                </c:pt>
                <c:pt idx="508">
                  <c:v>2.3824000000000001</c:v>
                </c:pt>
                <c:pt idx="509">
                  <c:v>2.4251</c:v>
                </c:pt>
                <c:pt idx="510">
                  <c:v>2.4222999999999999</c:v>
                </c:pt>
                <c:pt idx="511">
                  <c:v>2.4176000000000002</c:v>
                </c:pt>
                <c:pt idx="512">
                  <c:v>2.4468999999999999</c:v>
                </c:pt>
                <c:pt idx="513">
                  <c:v>2.419</c:v>
                </c:pt>
                <c:pt idx="514">
                  <c:v>2.4156</c:v>
                </c:pt>
                <c:pt idx="515">
                  <c:v>2.4426999999999999</c:v>
                </c:pt>
                <c:pt idx="516">
                  <c:v>2.4472</c:v>
                </c:pt>
                <c:pt idx="517">
                  <c:v>2.3792</c:v>
                </c:pt>
                <c:pt idx="518">
                  <c:v>2.3589000000000002</c:v>
                </c:pt>
                <c:pt idx="519">
                  <c:v>2.3696999999999999</c:v>
                </c:pt>
                <c:pt idx="520">
                  <c:v>2.4093</c:v>
                </c:pt>
                <c:pt idx="521">
                  <c:v>2.4500999999999999</c:v>
                </c:pt>
                <c:pt idx="522">
                  <c:v>2.3384999999999998</c:v>
                </c:pt>
                <c:pt idx="523">
                  <c:v>2.2926000000000002</c:v>
                </c:pt>
                <c:pt idx="524">
                  <c:v>2.3209</c:v>
                </c:pt>
                <c:pt idx="525">
                  <c:v>2.3222</c:v>
                </c:pt>
                <c:pt idx="526">
                  <c:v>2.3752</c:v>
                </c:pt>
                <c:pt idx="527">
                  <c:v>2.2646000000000002</c:v>
                </c:pt>
                <c:pt idx="528">
                  <c:v>2.2806000000000002</c:v>
                </c:pt>
                <c:pt idx="529">
                  <c:v>2.2685</c:v>
                </c:pt>
                <c:pt idx="530">
                  <c:v>2.2761999999999998</c:v>
                </c:pt>
                <c:pt idx="531">
                  <c:v>2.2936000000000001</c:v>
                </c:pt>
                <c:pt idx="532">
                  <c:v>2.2305000000000001</c:v>
                </c:pt>
                <c:pt idx="533">
                  <c:v>2.2427000000000001</c:v>
                </c:pt>
                <c:pt idx="534">
                  <c:v>2.1568999999999998</c:v>
                </c:pt>
                <c:pt idx="535">
                  <c:v>2.2033</c:v>
                </c:pt>
                <c:pt idx="536">
                  <c:v>2.2783000000000002</c:v>
                </c:pt>
                <c:pt idx="537">
                  <c:v>2.2658999999999998</c:v>
                </c:pt>
                <c:pt idx="538">
                  <c:v>1.9811000000000001</c:v>
                </c:pt>
                <c:pt idx="539">
                  <c:v>2.0329999999999999</c:v>
                </c:pt>
                <c:pt idx="540">
                  <c:v>1.9400999999999999</c:v>
                </c:pt>
                <c:pt idx="541">
                  <c:v>1.9511000000000001</c:v>
                </c:pt>
                <c:pt idx="542">
                  <c:v>1.9677</c:v>
                </c:pt>
                <c:pt idx="543">
                  <c:v>1.9529000000000001</c:v>
                </c:pt>
                <c:pt idx="544">
                  <c:v>2.0432999999999999</c:v>
                </c:pt>
                <c:pt idx="545">
                  <c:v>2.1</c:v>
                </c:pt>
                <c:pt idx="546">
                  <c:v>2.1484999999999999</c:v>
                </c:pt>
                <c:pt idx="547">
                  <c:v>2.1284000000000001</c:v>
                </c:pt>
                <c:pt idx="548">
                  <c:v>2.1372</c:v>
                </c:pt>
                <c:pt idx="549">
                  <c:v>2.1164999999999998</c:v>
                </c:pt>
                <c:pt idx="550">
                  <c:v>2.1107999999999998</c:v>
                </c:pt>
                <c:pt idx="551">
                  <c:v>2.1122999999999998</c:v>
                </c:pt>
                <c:pt idx="552">
                  <c:v>2.1644000000000001</c:v>
                </c:pt>
                <c:pt idx="553">
                  <c:v>2.1126</c:v>
                </c:pt>
                <c:pt idx="554">
                  <c:v>2.0785999999999998</c:v>
                </c:pt>
                <c:pt idx="555">
                  <c:v>2.1448</c:v>
                </c:pt>
                <c:pt idx="556">
                  <c:v>2.165</c:v>
                </c:pt>
                <c:pt idx="557">
                  <c:v>2.2033</c:v>
                </c:pt>
                <c:pt idx="558">
                  <c:v>2.2303999999999999</c:v>
                </c:pt>
                <c:pt idx="559">
                  <c:v>2.246</c:v>
                </c:pt>
                <c:pt idx="560">
                  <c:v>2.2665999999999999</c:v>
                </c:pt>
                <c:pt idx="561">
                  <c:v>2.2913999999999999</c:v>
                </c:pt>
                <c:pt idx="562">
                  <c:v>2.2246000000000001</c:v>
                </c:pt>
                <c:pt idx="563">
                  <c:v>2.2565</c:v>
                </c:pt>
                <c:pt idx="564">
                  <c:v>2.2763</c:v>
                </c:pt>
                <c:pt idx="565">
                  <c:v>2.2921</c:v>
                </c:pt>
                <c:pt idx="566">
                  <c:v>2.3043</c:v>
                </c:pt>
                <c:pt idx="567">
                  <c:v>2.2989000000000002</c:v>
                </c:pt>
                <c:pt idx="568">
                  <c:v>2.2753999999999999</c:v>
                </c:pt>
                <c:pt idx="569">
                  <c:v>2.3574000000000002</c:v>
                </c:pt>
                <c:pt idx="570">
                  <c:v>2.3908</c:v>
                </c:pt>
                <c:pt idx="571">
                  <c:v>2.3877000000000002</c:v>
                </c:pt>
                <c:pt idx="572">
                  <c:v>2.4237000000000002</c:v>
                </c:pt>
                <c:pt idx="573">
                  <c:v>2.4386999999999999</c:v>
                </c:pt>
                <c:pt idx="574">
                  <c:v>2.4615</c:v>
                </c:pt>
                <c:pt idx="575">
                  <c:v>2.4662000000000002</c:v>
                </c:pt>
                <c:pt idx="576">
                  <c:v>2.4464999999999999</c:v>
                </c:pt>
                <c:pt idx="577">
                  <c:v>2.4020999999999999</c:v>
                </c:pt>
                <c:pt idx="578">
                  <c:v>2.4626000000000001</c:v>
                </c:pt>
                <c:pt idx="579">
                  <c:v>2.5232000000000001</c:v>
                </c:pt>
                <c:pt idx="580">
                  <c:v>2.5209999999999999</c:v>
                </c:pt>
                <c:pt idx="581">
                  <c:v>2.5379</c:v>
                </c:pt>
                <c:pt idx="582">
                  <c:v>2.5543999999999998</c:v>
                </c:pt>
                <c:pt idx="583">
                  <c:v>2.5752000000000002</c:v>
                </c:pt>
                <c:pt idx="584">
                  <c:v>2.6070000000000002</c:v>
                </c:pt>
                <c:pt idx="585">
                  <c:v>2.6427</c:v>
                </c:pt>
                <c:pt idx="586">
                  <c:v>2.6785000000000001</c:v>
                </c:pt>
                <c:pt idx="587">
                  <c:v>2.6852999999999998</c:v>
                </c:pt>
                <c:pt idx="588">
                  <c:v>2.6251000000000002</c:v>
                </c:pt>
                <c:pt idx="589">
                  <c:v>2.6534</c:v>
                </c:pt>
                <c:pt idx="590">
                  <c:v>2.6654</c:v>
                </c:pt>
                <c:pt idx="591">
                  <c:v>2.7385999999999999</c:v>
                </c:pt>
                <c:pt idx="592">
                  <c:v>2.9068000000000001</c:v>
                </c:pt>
                <c:pt idx="593">
                  <c:v>2.8094999999999999</c:v>
                </c:pt>
                <c:pt idx="594">
                  <c:v>2.8283</c:v>
                </c:pt>
                <c:pt idx="595">
                  <c:v>2.7959999999999998</c:v>
                </c:pt>
                <c:pt idx="596">
                  <c:v>2.8119000000000001</c:v>
                </c:pt>
                <c:pt idx="597">
                  <c:v>2.8542999999999998</c:v>
                </c:pt>
                <c:pt idx="598">
                  <c:v>2.8759999999999999</c:v>
                </c:pt>
                <c:pt idx="599">
                  <c:v>2.9165000000000001</c:v>
                </c:pt>
                <c:pt idx="600">
                  <c:v>2.8740999999999999</c:v>
                </c:pt>
                <c:pt idx="601">
                  <c:v>2.9325000000000001</c:v>
                </c:pt>
                <c:pt idx="602">
                  <c:v>3.0886999999999998</c:v>
                </c:pt>
                <c:pt idx="603">
                  <c:v>3.3083</c:v>
                </c:pt>
                <c:pt idx="604">
                  <c:v>3.2844000000000002</c:v>
                </c:pt>
                <c:pt idx="605">
                  <c:v>3.544</c:v>
                </c:pt>
                <c:pt idx="606">
                  <c:v>3.5720999999999998</c:v>
                </c:pt>
                <c:pt idx="607">
                  <c:v>3.6825999999999999</c:v>
                </c:pt>
                <c:pt idx="608">
                  <c:v>3.2938000000000001</c:v>
                </c:pt>
                <c:pt idx="609">
                  <c:v>3.1566999999999998</c:v>
                </c:pt>
                <c:pt idx="610">
                  <c:v>3.3121</c:v>
                </c:pt>
                <c:pt idx="611">
                  <c:v>3.1339000000000001</c:v>
                </c:pt>
                <c:pt idx="612">
                  <c:v>2.9657</c:v>
                </c:pt>
                <c:pt idx="613">
                  <c:v>2.952</c:v>
                </c:pt>
                <c:pt idx="614">
                  <c:v>3.1821999999999999</c:v>
                </c:pt>
                <c:pt idx="615">
                  <c:v>3.2059000000000002</c:v>
                </c:pt>
                <c:pt idx="616">
                  <c:v>3.3378999999999999</c:v>
                </c:pt>
                <c:pt idx="617">
                  <c:v>3.3046000000000002</c:v>
                </c:pt>
                <c:pt idx="618">
                  <c:v>3.4195000000000002</c:v>
                </c:pt>
                <c:pt idx="619">
                  <c:v>3.3689</c:v>
                </c:pt>
                <c:pt idx="620">
                  <c:v>3.4363000000000001</c:v>
                </c:pt>
                <c:pt idx="621">
                  <c:v>3.1962000000000002</c:v>
                </c:pt>
                <c:pt idx="622">
                  <c:v>3.1766999999999999</c:v>
                </c:pt>
                <c:pt idx="623">
                  <c:v>3.2864</c:v>
                </c:pt>
                <c:pt idx="624">
                  <c:v>3.1509</c:v>
                </c:pt>
                <c:pt idx="625">
                  <c:v>3.1535000000000002</c:v>
                </c:pt>
                <c:pt idx="626">
                  <c:v>3.1981000000000002</c:v>
                </c:pt>
                <c:pt idx="627">
                  <c:v>3.1648999999999998</c:v>
                </c:pt>
                <c:pt idx="628">
                  <c:v>3.0461999999999998</c:v>
                </c:pt>
                <c:pt idx="629">
                  <c:v>3.0398000000000001</c:v>
                </c:pt>
                <c:pt idx="630">
                  <c:v>3.1316000000000002</c:v>
                </c:pt>
                <c:pt idx="631">
                  <c:v>3.0030999999999999</c:v>
                </c:pt>
                <c:pt idx="632">
                  <c:v>3.1537999999999999</c:v>
                </c:pt>
                <c:pt idx="633">
                  <c:v>3.2913000000000001</c:v>
                </c:pt>
                <c:pt idx="634">
                  <c:v>3.3814000000000002</c:v>
                </c:pt>
                <c:pt idx="635">
                  <c:v>3.3580000000000001</c:v>
                </c:pt>
                <c:pt idx="636">
                  <c:v>3.2288999999999999</c:v>
                </c:pt>
                <c:pt idx="637">
                  <c:v>3.2618</c:v>
                </c:pt>
                <c:pt idx="638">
                  <c:v>3.3174999999999999</c:v>
                </c:pt>
                <c:pt idx="639">
                  <c:v>3.286</c:v>
                </c:pt>
                <c:pt idx="640">
                  <c:v>3.2206000000000001</c:v>
                </c:pt>
                <c:pt idx="641">
                  <c:v>3.3109999999999999</c:v>
                </c:pt>
                <c:pt idx="642">
                  <c:v>3.4135</c:v>
                </c:pt>
                <c:pt idx="643">
                  <c:v>3.4759000000000002</c:v>
                </c:pt>
                <c:pt idx="644">
                  <c:v>3.4424000000000001</c:v>
                </c:pt>
                <c:pt idx="645">
                  <c:v>3.5101</c:v>
                </c:pt>
                <c:pt idx="646">
                  <c:v>3.5011999999999999</c:v>
                </c:pt>
                <c:pt idx="647">
                  <c:v>3.6522999999999999</c:v>
                </c:pt>
                <c:pt idx="648">
                  <c:v>3.6587000000000001</c:v>
                </c:pt>
                <c:pt idx="649">
                  <c:v>3.7589999999999999</c:v>
                </c:pt>
                <c:pt idx="650">
                  <c:v>3.6419000000000001</c:v>
                </c:pt>
                <c:pt idx="651">
                  <c:v>3.5415000000000001</c:v>
                </c:pt>
                <c:pt idx="652">
                  <c:v>3.6855000000000002</c:v>
                </c:pt>
                <c:pt idx="653">
                  <c:v>3.7917000000000001</c:v>
                </c:pt>
                <c:pt idx="654">
                  <c:v>3.9578000000000002</c:v>
                </c:pt>
                <c:pt idx="655">
                  <c:v>3.8405</c:v>
                </c:pt>
                <c:pt idx="656">
                  <c:v>3.7763</c:v>
                </c:pt>
                <c:pt idx="657">
                  <c:v>3.5912999999999999</c:v>
                </c:pt>
                <c:pt idx="658">
                  <c:v>3.6776</c:v>
                </c:pt>
                <c:pt idx="659">
                  <c:v>3.6897000000000002</c:v>
                </c:pt>
                <c:pt idx="660">
                  <c:v>3.6802000000000001</c:v>
                </c:pt>
                <c:pt idx="661">
                  <c:v>3.6897000000000002</c:v>
                </c:pt>
                <c:pt idx="662">
                  <c:v>3.7252999999999998</c:v>
                </c:pt>
                <c:pt idx="663">
                  <c:v>3.7924000000000002</c:v>
                </c:pt>
                <c:pt idx="664">
                  <c:v>3.9119000000000002</c:v>
                </c:pt>
                <c:pt idx="665">
                  <c:v>3.9161999999999999</c:v>
                </c:pt>
                <c:pt idx="666">
                  <c:v>4.0716000000000001</c:v>
                </c:pt>
                <c:pt idx="667">
                  <c:v>4.1909000000000001</c:v>
                </c:pt>
                <c:pt idx="668">
                  <c:v>4.2522000000000002</c:v>
                </c:pt>
                <c:pt idx="669">
                  <c:v>4.1929999999999996</c:v>
                </c:pt>
                <c:pt idx="670">
                  <c:v>4.1577000000000002</c:v>
                </c:pt>
                <c:pt idx="671">
                  <c:v>4.2218999999999998</c:v>
                </c:pt>
                <c:pt idx="672">
                  <c:v>4.2762000000000002</c:v>
                </c:pt>
                <c:pt idx="673">
                  <c:v>4.1722000000000001</c:v>
                </c:pt>
                <c:pt idx="674">
                  <c:v>4.0353000000000003</c:v>
                </c:pt>
                <c:pt idx="675">
                  <c:v>3.9937999999999998</c:v>
                </c:pt>
                <c:pt idx="676">
                  <c:v>3.8942000000000001</c:v>
                </c:pt>
                <c:pt idx="677">
                  <c:v>3.9558</c:v>
                </c:pt>
                <c:pt idx="678">
                  <c:v>3.7930000000000001</c:v>
                </c:pt>
                <c:pt idx="679">
                  <c:v>3.69</c:v>
                </c:pt>
                <c:pt idx="680">
                  <c:v>3.7298</c:v>
                </c:pt>
                <c:pt idx="681">
                  <c:v>3.661</c:v>
                </c:pt>
                <c:pt idx="682">
                  <c:v>3.72</c:v>
                </c:pt>
                <c:pt idx="683">
                  <c:v>3.73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42B-4D2F-B496-52A406EA48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06230856"/>
        <c:axId val="406231184"/>
      </c:lineChart>
      <c:catAx>
        <c:axId val="4062308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6231184"/>
        <c:crosses val="autoZero"/>
        <c:auto val="1"/>
        <c:lblAlgn val="ctr"/>
        <c:lblOffset val="100"/>
        <c:noMultiLvlLbl val="0"/>
      </c:catAx>
      <c:valAx>
        <c:axId val="406231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62308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[Foley_FinalProject_Completed.xlsm]Gasoline Prices!GasolineFinalProject</c:name>
    <c:fmtId val="1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rgbClr val="FF9900"/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>
                <a:solidFill>
                  <a:srgbClr val="FF9900"/>
                </a:solidFill>
              </a:rPr>
              <a:t>RBOB: Gasoline Prices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rgbClr val="FF9900"/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6747085720584149E-2"/>
          <c:y val="0.18810259687384204"/>
          <c:w val="0.89738520909084207"/>
          <c:h val="0.58010256309199604"/>
        </c:manualLayout>
      </c:layout>
      <c:lineChart>
        <c:grouping val="standard"/>
        <c:varyColors val="0"/>
        <c:ser>
          <c:idx val="0"/>
          <c:order val="0"/>
          <c:tx>
            <c:strRef>
              <c:f>'Gasoline Prices'!$B$3</c:f>
              <c:strCache>
                <c:ptCount val="1"/>
                <c:pt idx="0">
                  <c:v>Total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'Gasoline Prices'!$A$4:$A$687</c:f>
              <c:strCache>
                <c:ptCount val="684"/>
                <c:pt idx="0">
                  <c:v>10/31/2019</c:v>
                </c:pt>
                <c:pt idx="1">
                  <c:v>11/1/2019</c:v>
                </c:pt>
                <c:pt idx="2">
                  <c:v>11/4/2019</c:v>
                </c:pt>
                <c:pt idx="3">
                  <c:v>11/5/2019</c:v>
                </c:pt>
                <c:pt idx="4">
                  <c:v>11/6/2019</c:v>
                </c:pt>
                <c:pt idx="5">
                  <c:v>11/7/2019</c:v>
                </c:pt>
                <c:pt idx="6">
                  <c:v>11/8/2019</c:v>
                </c:pt>
                <c:pt idx="7">
                  <c:v>11/11/2019</c:v>
                </c:pt>
                <c:pt idx="8">
                  <c:v>11/12/2019</c:v>
                </c:pt>
                <c:pt idx="9">
                  <c:v>11/13/2019</c:v>
                </c:pt>
                <c:pt idx="10">
                  <c:v>11/14/2019</c:v>
                </c:pt>
                <c:pt idx="11">
                  <c:v>11/15/2019</c:v>
                </c:pt>
                <c:pt idx="12">
                  <c:v>11/18/2019</c:v>
                </c:pt>
                <c:pt idx="13">
                  <c:v>11/19/2019</c:v>
                </c:pt>
                <c:pt idx="14">
                  <c:v>11/20/2019</c:v>
                </c:pt>
                <c:pt idx="15">
                  <c:v>11/21/2019</c:v>
                </c:pt>
                <c:pt idx="16">
                  <c:v>11/22/2019</c:v>
                </c:pt>
                <c:pt idx="17">
                  <c:v>11/25/2019</c:v>
                </c:pt>
                <c:pt idx="18">
                  <c:v>11/26/2019</c:v>
                </c:pt>
                <c:pt idx="19">
                  <c:v>11/27/2019</c:v>
                </c:pt>
                <c:pt idx="20">
                  <c:v>11/28/2019</c:v>
                </c:pt>
                <c:pt idx="21">
                  <c:v>11/29/2019</c:v>
                </c:pt>
                <c:pt idx="22">
                  <c:v>12/2/2019</c:v>
                </c:pt>
                <c:pt idx="23">
                  <c:v>12/3/2019</c:v>
                </c:pt>
                <c:pt idx="24">
                  <c:v>12/4/2019</c:v>
                </c:pt>
                <c:pt idx="25">
                  <c:v>12/5/2019</c:v>
                </c:pt>
                <c:pt idx="26">
                  <c:v>12/6/2019</c:v>
                </c:pt>
                <c:pt idx="27">
                  <c:v>12/9/2019</c:v>
                </c:pt>
                <c:pt idx="28">
                  <c:v>12/10/2019</c:v>
                </c:pt>
                <c:pt idx="29">
                  <c:v>12/11/2019</c:v>
                </c:pt>
                <c:pt idx="30">
                  <c:v>12/12/2019</c:v>
                </c:pt>
                <c:pt idx="31">
                  <c:v>12/13/2019</c:v>
                </c:pt>
                <c:pt idx="32">
                  <c:v>12/16/2019</c:v>
                </c:pt>
                <c:pt idx="33">
                  <c:v>12/17/2019</c:v>
                </c:pt>
                <c:pt idx="34">
                  <c:v>12/18/2019</c:v>
                </c:pt>
                <c:pt idx="35">
                  <c:v>12/19/2019</c:v>
                </c:pt>
                <c:pt idx="36">
                  <c:v>12/20/2019</c:v>
                </c:pt>
                <c:pt idx="37">
                  <c:v>12/23/2019</c:v>
                </c:pt>
                <c:pt idx="38">
                  <c:v>12/24/2019</c:v>
                </c:pt>
                <c:pt idx="39">
                  <c:v>12/26/2019</c:v>
                </c:pt>
                <c:pt idx="40">
                  <c:v>12/27/2019</c:v>
                </c:pt>
                <c:pt idx="41">
                  <c:v>12/30/2019</c:v>
                </c:pt>
                <c:pt idx="42">
                  <c:v>12/31/2019</c:v>
                </c:pt>
                <c:pt idx="43">
                  <c:v>1/2/2020</c:v>
                </c:pt>
                <c:pt idx="44">
                  <c:v>1/3/2020</c:v>
                </c:pt>
                <c:pt idx="45">
                  <c:v>1/6/2020</c:v>
                </c:pt>
                <c:pt idx="46">
                  <c:v>1/7/2020</c:v>
                </c:pt>
                <c:pt idx="47">
                  <c:v>1/8/2020</c:v>
                </c:pt>
                <c:pt idx="48">
                  <c:v>1/9/2020</c:v>
                </c:pt>
                <c:pt idx="49">
                  <c:v>1/10/2020</c:v>
                </c:pt>
                <c:pt idx="50">
                  <c:v>1/13/2020</c:v>
                </c:pt>
                <c:pt idx="51">
                  <c:v>1/14/2020</c:v>
                </c:pt>
                <c:pt idx="52">
                  <c:v>1/15/2020</c:v>
                </c:pt>
                <c:pt idx="53">
                  <c:v>1/16/2020</c:v>
                </c:pt>
                <c:pt idx="54">
                  <c:v>1/17/2020</c:v>
                </c:pt>
                <c:pt idx="55">
                  <c:v>1/20/2020</c:v>
                </c:pt>
                <c:pt idx="56">
                  <c:v>1/21/2020</c:v>
                </c:pt>
                <c:pt idx="57">
                  <c:v>1/22/2020</c:v>
                </c:pt>
                <c:pt idx="58">
                  <c:v>1/23/2020</c:v>
                </c:pt>
                <c:pt idx="59">
                  <c:v>1/24/2020</c:v>
                </c:pt>
                <c:pt idx="60">
                  <c:v>1/27/2020</c:v>
                </c:pt>
                <c:pt idx="61">
                  <c:v>1/28/2020</c:v>
                </c:pt>
                <c:pt idx="62">
                  <c:v>1/29/2020</c:v>
                </c:pt>
                <c:pt idx="63">
                  <c:v>1/30/2020</c:v>
                </c:pt>
                <c:pt idx="64">
                  <c:v>1/31/2020</c:v>
                </c:pt>
                <c:pt idx="65">
                  <c:v>2/3/2020</c:v>
                </c:pt>
                <c:pt idx="66">
                  <c:v>2/4/2020</c:v>
                </c:pt>
                <c:pt idx="67">
                  <c:v>2/5/2020</c:v>
                </c:pt>
                <c:pt idx="68">
                  <c:v>2/6/2020</c:v>
                </c:pt>
                <c:pt idx="69">
                  <c:v>2/7/2020</c:v>
                </c:pt>
                <c:pt idx="70">
                  <c:v>2/10/2020</c:v>
                </c:pt>
                <c:pt idx="71">
                  <c:v>2/11/2020</c:v>
                </c:pt>
                <c:pt idx="72">
                  <c:v>2/12/2020</c:v>
                </c:pt>
                <c:pt idx="73">
                  <c:v>2/13/2020</c:v>
                </c:pt>
                <c:pt idx="74">
                  <c:v>2/14/2020</c:v>
                </c:pt>
                <c:pt idx="75">
                  <c:v>2/17/2020</c:v>
                </c:pt>
                <c:pt idx="76">
                  <c:v>2/18/2020</c:v>
                </c:pt>
                <c:pt idx="77">
                  <c:v>2/19/2020</c:v>
                </c:pt>
                <c:pt idx="78">
                  <c:v>2/20/2020</c:v>
                </c:pt>
                <c:pt idx="79">
                  <c:v>2/21/2020</c:v>
                </c:pt>
                <c:pt idx="80">
                  <c:v>2/24/2020</c:v>
                </c:pt>
                <c:pt idx="81">
                  <c:v>2/25/2020</c:v>
                </c:pt>
                <c:pt idx="82">
                  <c:v>2/26/2020</c:v>
                </c:pt>
                <c:pt idx="83">
                  <c:v>2/27/2020</c:v>
                </c:pt>
                <c:pt idx="84">
                  <c:v>2/28/2020</c:v>
                </c:pt>
                <c:pt idx="85">
                  <c:v>3/2/2020</c:v>
                </c:pt>
                <c:pt idx="86">
                  <c:v>3/3/2020</c:v>
                </c:pt>
                <c:pt idx="87">
                  <c:v>3/4/2020</c:v>
                </c:pt>
                <c:pt idx="88">
                  <c:v>3/5/2020</c:v>
                </c:pt>
                <c:pt idx="89">
                  <c:v>3/6/2020</c:v>
                </c:pt>
                <c:pt idx="90">
                  <c:v>3/9/2020</c:v>
                </c:pt>
                <c:pt idx="91">
                  <c:v>3/10/2020</c:v>
                </c:pt>
                <c:pt idx="92">
                  <c:v>3/11/2020</c:v>
                </c:pt>
                <c:pt idx="93">
                  <c:v>3/12/2020</c:v>
                </c:pt>
                <c:pt idx="94">
                  <c:v>3/13/2020</c:v>
                </c:pt>
                <c:pt idx="95">
                  <c:v>3/16/2020</c:v>
                </c:pt>
                <c:pt idx="96">
                  <c:v>3/17/2020</c:v>
                </c:pt>
                <c:pt idx="97">
                  <c:v>3/18/2020</c:v>
                </c:pt>
                <c:pt idx="98">
                  <c:v>3/19/2020</c:v>
                </c:pt>
                <c:pt idx="99">
                  <c:v>3/20/2020</c:v>
                </c:pt>
                <c:pt idx="100">
                  <c:v>3/23/2020</c:v>
                </c:pt>
                <c:pt idx="101">
                  <c:v>3/24/2020</c:v>
                </c:pt>
                <c:pt idx="102">
                  <c:v>3/25/2020</c:v>
                </c:pt>
                <c:pt idx="103">
                  <c:v>3/26/2020</c:v>
                </c:pt>
                <c:pt idx="104">
                  <c:v>3/27/2020</c:v>
                </c:pt>
                <c:pt idx="105">
                  <c:v>3/30/2020</c:v>
                </c:pt>
                <c:pt idx="106">
                  <c:v>3/31/2020</c:v>
                </c:pt>
                <c:pt idx="107">
                  <c:v>4/1/2020</c:v>
                </c:pt>
                <c:pt idx="108">
                  <c:v>4/2/2020</c:v>
                </c:pt>
                <c:pt idx="109">
                  <c:v>4/3/2020</c:v>
                </c:pt>
                <c:pt idx="110">
                  <c:v>4/6/2020</c:v>
                </c:pt>
                <c:pt idx="111">
                  <c:v>4/7/2020</c:v>
                </c:pt>
                <c:pt idx="112">
                  <c:v>4/8/2020</c:v>
                </c:pt>
                <c:pt idx="113">
                  <c:v>4/9/2020</c:v>
                </c:pt>
                <c:pt idx="114">
                  <c:v>4/13/2020</c:v>
                </c:pt>
                <c:pt idx="115">
                  <c:v>4/14/2020</c:v>
                </c:pt>
                <c:pt idx="116">
                  <c:v>4/15/2020</c:v>
                </c:pt>
                <c:pt idx="117">
                  <c:v>4/16/2020</c:v>
                </c:pt>
                <c:pt idx="118">
                  <c:v>4/17/2020</c:v>
                </c:pt>
                <c:pt idx="119">
                  <c:v>4/20/2020</c:v>
                </c:pt>
                <c:pt idx="120">
                  <c:v>4/21/2020</c:v>
                </c:pt>
                <c:pt idx="121">
                  <c:v>4/22/2020</c:v>
                </c:pt>
                <c:pt idx="122">
                  <c:v>4/23/2020</c:v>
                </c:pt>
                <c:pt idx="123">
                  <c:v>4/24/2020</c:v>
                </c:pt>
                <c:pt idx="124">
                  <c:v>4/27/2020</c:v>
                </c:pt>
                <c:pt idx="125">
                  <c:v>4/28/2020</c:v>
                </c:pt>
                <c:pt idx="126">
                  <c:v>4/29/2020</c:v>
                </c:pt>
                <c:pt idx="127">
                  <c:v>4/30/2020</c:v>
                </c:pt>
                <c:pt idx="128">
                  <c:v>5/1/2020</c:v>
                </c:pt>
                <c:pt idx="129">
                  <c:v>5/4/2020</c:v>
                </c:pt>
                <c:pt idx="130">
                  <c:v>5/5/2020</c:v>
                </c:pt>
                <c:pt idx="131">
                  <c:v>5/6/2020</c:v>
                </c:pt>
                <c:pt idx="132">
                  <c:v>5/7/2020</c:v>
                </c:pt>
                <c:pt idx="133">
                  <c:v>5/8/2020</c:v>
                </c:pt>
                <c:pt idx="134">
                  <c:v>5/11/2020</c:v>
                </c:pt>
                <c:pt idx="135">
                  <c:v>5/12/2020</c:v>
                </c:pt>
                <c:pt idx="136">
                  <c:v>5/13/2020</c:v>
                </c:pt>
                <c:pt idx="137">
                  <c:v>5/14/2020</c:v>
                </c:pt>
                <c:pt idx="138">
                  <c:v>5/15/2020</c:v>
                </c:pt>
                <c:pt idx="139">
                  <c:v>5/18/2020</c:v>
                </c:pt>
                <c:pt idx="140">
                  <c:v>5/19/2020</c:v>
                </c:pt>
                <c:pt idx="141">
                  <c:v>5/20/2020</c:v>
                </c:pt>
                <c:pt idx="142">
                  <c:v>5/21/2020</c:v>
                </c:pt>
                <c:pt idx="143">
                  <c:v>5/22/2020</c:v>
                </c:pt>
                <c:pt idx="144">
                  <c:v>5/26/2020</c:v>
                </c:pt>
                <c:pt idx="145">
                  <c:v>5/27/2020</c:v>
                </c:pt>
                <c:pt idx="146">
                  <c:v>5/28/2020</c:v>
                </c:pt>
                <c:pt idx="147">
                  <c:v>5/29/2020</c:v>
                </c:pt>
                <c:pt idx="148">
                  <c:v>6/1/2020</c:v>
                </c:pt>
                <c:pt idx="149">
                  <c:v>6/2/2020</c:v>
                </c:pt>
                <c:pt idx="150">
                  <c:v>6/3/2020</c:v>
                </c:pt>
                <c:pt idx="151">
                  <c:v>6/4/2020</c:v>
                </c:pt>
                <c:pt idx="152">
                  <c:v>6/5/2020</c:v>
                </c:pt>
                <c:pt idx="153">
                  <c:v>6/8/2020</c:v>
                </c:pt>
                <c:pt idx="154">
                  <c:v>6/9/2020</c:v>
                </c:pt>
                <c:pt idx="155">
                  <c:v>6/10/2020</c:v>
                </c:pt>
                <c:pt idx="156">
                  <c:v>6/11/2020</c:v>
                </c:pt>
                <c:pt idx="157">
                  <c:v>6/12/2020</c:v>
                </c:pt>
                <c:pt idx="158">
                  <c:v>6/15/2020</c:v>
                </c:pt>
                <c:pt idx="159">
                  <c:v>6/16/2020</c:v>
                </c:pt>
                <c:pt idx="160">
                  <c:v>6/17/2020</c:v>
                </c:pt>
                <c:pt idx="161">
                  <c:v>6/18/2020</c:v>
                </c:pt>
                <c:pt idx="162">
                  <c:v>6/19/2020</c:v>
                </c:pt>
                <c:pt idx="163">
                  <c:v>6/22/2020</c:v>
                </c:pt>
                <c:pt idx="164">
                  <c:v>6/23/2020</c:v>
                </c:pt>
                <c:pt idx="165">
                  <c:v>6/24/2020</c:v>
                </c:pt>
                <c:pt idx="166">
                  <c:v>6/25/2020</c:v>
                </c:pt>
                <c:pt idx="167">
                  <c:v>6/26/2020</c:v>
                </c:pt>
                <c:pt idx="168">
                  <c:v>6/29/2020</c:v>
                </c:pt>
                <c:pt idx="169">
                  <c:v>6/30/2020</c:v>
                </c:pt>
                <c:pt idx="170">
                  <c:v>7/1/2020</c:v>
                </c:pt>
                <c:pt idx="171">
                  <c:v>7/2/2020</c:v>
                </c:pt>
                <c:pt idx="172">
                  <c:v>7/3/2020</c:v>
                </c:pt>
                <c:pt idx="173">
                  <c:v>7/6/2020</c:v>
                </c:pt>
                <c:pt idx="174">
                  <c:v>7/7/2020</c:v>
                </c:pt>
                <c:pt idx="175">
                  <c:v>7/8/2020</c:v>
                </c:pt>
                <c:pt idx="176">
                  <c:v>7/9/2020</c:v>
                </c:pt>
                <c:pt idx="177">
                  <c:v>7/10/2020</c:v>
                </c:pt>
                <c:pt idx="178">
                  <c:v>7/13/2020</c:v>
                </c:pt>
                <c:pt idx="179">
                  <c:v>7/14/2020</c:v>
                </c:pt>
                <c:pt idx="180">
                  <c:v>7/15/2020</c:v>
                </c:pt>
                <c:pt idx="181">
                  <c:v>7/16/2020</c:v>
                </c:pt>
                <c:pt idx="182">
                  <c:v>7/17/2020</c:v>
                </c:pt>
                <c:pt idx="183">
                  <c:v>7/20/2020</c:v>
                </c:pt>
                <c:pt idx="184">
                  <c:v>7/21/2020</c:v>
                </c:pt>
                <c:pt idx="185">
                  <c:v>7/22/2020</c:v>
                </c:pt>
                <c:pt idx="186">
                  <c:v>7/23/2020</c:v>
                </c:pt>
                <c:pt idx="187">
                  <c:v>7/24/2020</c:v>
                </c:pt>
                <c:pt idx="188">
                  <c:v>7/27/2020</c:v>
                </c:pt>
                <c:pt idx="189">
                  <c:v>7/28/2020</c:v>
                </c:pt>
                <c:pt idx="190">
                  <c:v>7/29/2020</c:v>
                </c:pt>
                <c:pt idx="191">
                  <c:v>7/30/2020</c:v>
                </c:pt>
                <c:pt idx="192">
                  <c:v>7/31/2020</c:v>
                </c:pt>
                <c:pt idx="193">
                  <c:v>8/3/2020</c:v>
                </c:pt>
                <c:pt idx="194">
                  <c:v>8/4/2020</c:v>
                </c:pt>
                <c:pt idx="195">
                  <c:v>8/5/2020</c:v>
                </c:pt>
                <c:pt idx="196">
                  <c:v>8/6/2020</c:v>
                </c:pt>
                <c:pt idx="197">
                  <c:v>8/7/2020</c:v>
                </c:pt>
                <c:pt idx="198">
                  <c:v>8/10/2020</c:v>
                </c:pt>
                <c:pt idx="199">
                  <c:v>8/11/2020</c:v>
                </c:pt>
                <c:pt idx="200">
                  <c:v>8/12/2020</c:v>
                </c:pt>
                <c:pt idx="201">
                  <c:v>8/13/2020</c:v>
                </c:pt>
                <c:pt idx="202">
                  <c:v>8/14/2020</c:v>
                </c:pt>
                <c:pt idx="203">
                  <c:v>8/17/2020</c:v>
                </c:pt>
                <c:pt idx="204">
                  <c:v>8/18/2020</c:v>
                </c:pt>
                <c:pt idx="205">
                  <c:v>8/19/2020</c:v>
                </c:pt>
                <c:pt idx="206">
                  <c:v>8/20/2020</c:v>
                </c:pt>
                <c:pt idx="207">
                  <c:v>8/21/2020</c:v>
                </c:pt>
                <c:pt idx="208">
                  <c:v>8/24/2020</c:v>
                </c:pt>
                <c:pt idx="209">
                  <c:v>8/25/2020</c:v>
                </c:pt>
                <c:pt idx="210">
                  <c:v>8/26/2020</c:v>
                </c:pt>
                <c:pt idx="211">
                  <c:v>8/27/2020</c:v>
                </c:pt>
                <c:pt idx="212">
                  <c:v>8/28/2020</c:v>
                </c:pt>
                <c:pt idx="213">
                  <c:v>8/31/2020</c:v>
                </c:pt>
                <c:pt idx="214">
                  <c:v>9/1/2020</c:v>
                </c:pt>
                <c:pt idx="215">
                  <c:v>9/2/2020</c:v>
                </c:pt>
                <c:pt idx="216">
                  <c:v>9/3/2020</c:v>
                </c:pt>
                <c:pt idx="217">
                  <c:v>9/4/2020</c:v>
                </c:pt>
                <c:pt idx="218">
                  <c:v>9/7/2020</c:v>
                </c:pt>
                <c:pt idx="219">
                  <c:v>9/8/2020</c:v>
                </c:pt>
                <c:pt idx="220">
                  <c:v>9/9/2020</c:v>
                </c:pt>
                <c:pt idx="221">
                  <c:v>9/10/2020</c:v>
                </c:pt>
                <c:pt idx="222">
                  <c:v>9/11/2020</c:v>
                </c:pt>
                <c:pt idx="223">
                  <c:v>9/14/2020</c:v>
                </c:pt>
                <c:pt idx="224">
                  <c:v>9/15/2020</c:v>
                </c:pt>
                <c:pt idx="225">
                  <c:v>9/16/2020</c:v>
                </c:pt>
                <c:pt idx="226">
                  <c:v>9/17/2020</c:v>
                </c:pt>
                <c:pt idx="227">
                  <c:v>9/18/2020</c:v>
                </c:pt>
                <c:pt idx="228">
                  <c:v>9/21/2020</c:v>
                </c:pt>
                <c:pt idx="229">
                  <c:v>9/22/2020</c:v>
                </c:pt>
                <c:pt idx="230">
                  <c:v>9/23/2020</c:v>
                </c:pt>
                <c:pt idx="231">
                  <c:v>9/24/2020</c:v>
                </c:pt>
                <c:pt idx="232">
                  <c:v>9/25/2020</c:v>
                </c:pt>
                <c:pt idx="233">
                  <c:v>9/28/2020</c:v>
                </c:pt>
                <c:pt idx="234">
                  <c:v>9/29/2020</c:v>
                </c:pt>
                <c:pt idx="235">
                  <c:v>9/30/2020</c:v>
                </c:pt>
                <c:pt idx="236">
                  <c:v>10/1/2020</c:v>
                </c:pt>
                <c:pt idx="237">
                  <c:v>10/2/2020</c:v>
                </c:pt>
                <c:pt idx="238">
                  <c:v>10/5/2020</c:v>
                </c:pt>
                <c:pt idx="239">
                  <c:v>10/6/2020</c:v>
                </c:pt>
                <c:pt idx="240">
                  <c:v>10/7/2020</c:v>
                </c:pt>
                <c:pt idx="241">
                  <c:v>10/8/2020</c:v>
                </c:pt>
                <c:pt idx="242">
                  <c:v>10/9/2020</c:v>
                </c:pt>
                <c:pt idx="243">
                  <c:v>10/12/2020</c:v>
                </c:pt>
                <c:pt idx="244">
                  <c:v>10/13/2020</c:v>
                </c:pt>
                <c:pt idx="245">
                  <c:v>10/14/2020</c:v>
                </c:pt>
                <c:pt idx="246">
                  <c:v>10/15/2020</c:v>
                </c:pt>
                <c:pt idx="247">
                  <c:v>10/16/2020</c:v>
                </c:pt>
                <c:pt idx="248">
                  <c:v>10/19/2020</c:v>
                </c:pt>
                <c:pt idx="249">
                  <c:v>10/20/2020</c:v>
                </c:pt>
                <c:pt idx="250">
                  <c:v>10/21/2020</c:v>
                </c:pt>
                <c:pt idx="251">
                  <c:v>10/22/2020</c:v>
                </c:pt>
                <c:pt idx="252">
                  <c:v>10/23/2020</c:v>
                </c:pt>
                <c:pt idx="253">
                  <c:v>10/26/2020</c:v>
                </c:pt>
                <c:pt idx="254">
                  <c:v>10/27/2020</c:v>
                </c:pt>
                <c:pt idx="255">
                  <c:v>10/28/2020</c:v>
                </c:pt>
                <c:pt idx="256">
                  <c:v>10/29/2020</c:v>
                </c:pt>
                <c:pt idx="257">
                  <c:v>10/30/2020</c:v>
                </c:pt>
                <c:pt idx="258">
                  <c:v>11/2/2020</c:v>
                </c:pt>
                <c:pt idx="259">
                  <c:v>11/3/2020</c:v>
                </c:pt>
                <c:pt idx="260">
                  <c:v>11/4/2020</c:v>
                </c:pt>
                <c:pt idx="261">
                  <c:v>11/5/2020</c:v>
                </c:pt>
                <c:pt idx="262">
                  <c:v>11/6/2020</c:v>
                </c:pt>
                <c:pt idx="263">
                  <c:v>11/9/2020</c:v>
                </c:pt>
                <c:pt idx="264">
                  <c:v>11/10/2020</c:v>
                </c:pt>
                <c:pt idx="265">
                  <c:v>11/11/2020</c:v>
                </c:pt>
                <c:pt idx="266">
                  <c:v>11/12/2020</c:v>
                </c:pt>
                <c:pt idx="267">
                  <c:v>11/13/2020</c:v>
                </c:pt>
                <c:pt idx="268">
                  <c:v>11/16/2020</c:v>
                </c:pt>
                <c:pt idx="269">
                  <c:v>11/17/2020</c:v>
                </c:pt>
                <c:pt idx="270">
                  <c:v>11/18/2020</c:v>
                </c:pt>
                <c:pt idx="271">
                  <c:v>11/19/2020</c:v>
                </c:pt>
                <c:pt idx="272">
                  <c:v>11/20/2020</c:v>
                </c:pt>
                <c:pt idx="273">
                  <c:v>11/23/2020</c:v>
                </c:pt>
                <c:pt idx="274">
                  <c:v>11/24/2020</c:v>
                </c:pt>
                <c:pt idx="275">
                  <c:v>11/25/2020</c:v>
                </c:pt>
                <c:pt idx="276">
                  <c:v>11/26/2020</c:v>
                </c:pt>
                <c:pt idx="277">
                  <c:v>11/27/2020</c:v>
                </c:pt>
                <c:pt idx="278">
                  <c:v>11/30/2020</c:v>
                </c:pt>
                <c:pt idx="279">
                  <c:v>12/1/2020</c:v>
                </c:pt>
                <c:pt idx="280">
                  <c:v>12/2/2020</c:v>
                </c:pt>
                <c:pt idx="281">
                  <c:v>12/3/2020</c:v>
                </c:pt>
                <c:pt idx="282">
                  <c:v>12/4/2020</c:v>
                </c:pt>
                <c:pt idx="283">
                  <c:v>12/7/2020</c:v>
                </c:pt>
                <c:pt idx="284">
                  <c:v>12/8/2020</c:v>
                </c:pt>
                <c:pt idx="285">
                  <c:v>12/9/2020</c:v>
                </c:pt>
                <c:pt idx="286">
                  <c:v>12/10/2020</c:v>
                </c:pt>
                <c:pt idx="287">
                  <c:v>12/11/2020</c:v>
                </c:pt>
                <c:pt idx="288">
                  <c:v>12/14/2020</c:v>
                </c:pt>
                <c:pt idx="289">
                  <c:v>12/15/2020</c:v>
                </c:pt>
                <c:pt idx="290">
                  <c:v>12/16/2020</c:v>
                </c:pt>
                <c:pt idx="291">
                  <c:v>12/17/2020</c:v>
                </c:pt>
                <c:pt idx="292">
                  <c:v>12/18/2020</c:v>
                </c:pt>
                <c:pt idx="293">
                  <c:v>12/21/2020</c:v>
                </c:pt>
                <c:pt idx="294">
                  <c:v>12/22/2020</c:v>
                </c:pt>
                <c:pt idx="295">
                  <c:v>12/23/2020</c:v>
                </c:pt>
                <c:pt idx="296">
                  <c:v>12/24/2020</c:v>
                </c:pt>
                <c:pt idx="297">
                  <c:v>12/28/2020</c:v>
                </c:pt>
                <c:pt idx="298">
                  <c:v>12/29/2020</c:v>
                </c:pt>
                <c:pt idx="299">
                  <c:v>12/30/2020</c:v>
                </c:pt>
                <c:pt idx="300">
                  <c:v>12/31/2020</c:v>
                </c:pt>
                <c:pt idx="301">
                  <c:v>1/4/2021</c:v>
                </c:pt>
                <c:pt idx="302">
                  <c:v>1/5/2021</c:v>
                </c:pt>
                <c:pt idx="303">
                  <c:v>1/6/2021</c:v>
                </c:pt>
                <c:pt idx="304">
                  <c:v>1/7/2021</c:v>
                </c:pt>
                <c:pt idx="305">
                  <c:v>1/8/2021</c:v>
                </c:pt>
                <c:pt idx="306">
                  <c:v>1/11/2021</c:v>
                </c:pt>
                <c:pt idx="307">
                  <c:v>1/12/2021</c:v>
                </c:pt>
                <c:pt idx="308">
                  <c:v>1/13/2021</c:v>
                </c:pt>
                <c:pt idx="309">
                  <c:v>1/14/2021</c:v>
                </c:pt>
                <c:pt idx="310">
                  <c:v>1/15/2021</c:v>
                </c:pt>
                <c:pt idx="311">
                  <c:v>1/18/2021</c:v>
                </c:pt>
                <c:pt idx="312">
                  <c:v>1/19/2021</c:v>
                </c:pt>
                <c:pt idx="313">
                  <c:v>1/20/2021</c:v>
                </c:pt>
                <c:pt idx="314">
                  <c:v>1/21/2021</c:v>
                </c:pt>
                <c:pt idx="315">
                  <c:v>1/22/2021</c:v>
                </c:pt>
                <c:pt idx="316">
                  <c:v>1/25/2021</c:v>
                </c:pt>
                <c:pt idx="317">
                  <c:v>1/26/2021</c:v>
                </c:pt>
                <c:pt idx="318">
                  <c:v>1/27/2021</c:v>
                </c:pt>
                <c:pt idx="319">
                  <c:v>1/28/2021</c:v>
                </c:pt>
                <c:pt idx="320">
                  <c:v>1/29/2021</c:v>
                </c:pt>
                <c:pt idx="321">
                  <c:v>2/1/2021</c:v>
                </c:pt>
                <c:pt idx="322">
                  <c:v>2/2/2021</c:v>
                </c:pt>
                <c:pt idx="323">
                  <c:v>2/3/2021</c:v>
                </c:pt>
                <c:pt idx="324">
                  <c:v>2/4/2021</c:v>
                </c:pt>
                <c:pt idx="325">
                  <c:v>2/5/2021</c:v>
                </c:pt>
                <c:pt idx="326">
                  <c:v>2/8/2021</c:v>
                </c:pt>
                <c:pt idx="327">
                  <c:v>2/9/2021</c:v>
                </c:pt>
                <c:pt idx="328">
                  <c:v>2/10/2021</c:v>
                </c:pt>
                <c:pt idx="329">
                  <c:v>2/11/2021</c:v>
                </c:pt>
                <c:pt idx="330">
                  <c:v>2/12/2021</c:v>
                </c:pt>
                <c:pt idx="331">
                  <c:v>2/15/2021</c:v>
                </c:pt>
                <c:pt idx="332">
                  <c:v>2/16/2021</c:v>
                </c:pt>
                <c:pt idx="333">
                  <c:v>2/17/2021</c:v>
                </c:pt>
                <c:pt idx="334">
                  <c:v>2/18/2021</c:v>
                </c:pt>
                <c:pt idx="335">
                  <c:v>2/19/2021</c:v>
                </c:pt>
                <c:pt idx="336">
                  <c:v>2/22/2021</c:v>
                </c:pt>
                <c:pt idx="337">
                  <c:v>2/23/2021</c:v>
                </c:pt>
                <c:pt idx="338">
                  <c:v>2/24/2021</c:v>
                </c:pt>
                <c:pt idx="339">
                  <c:v>2/25/2021</c:v>
                </c:pt>
                <c:pt idx="340">
                  <c:v>2/26/2021</c:v>
                </c:pt>
                <c:pt idx="341">
                  <c:v>3/1/2021</c:v>
                </c:pt>
                <c:pt idx="342">
                  <c:v>3/2/2021</c:v>
                </c:pt>
                <c:pt idx="343">
                  <c:v>3/3/2021</c:v>
                </c:pt>
                <c:pt idx="344">
                  <c:v>3/4/2021</c:v>
                </c:pt>
                <c:pt idx="345">
                  <c:v>3/5/2021</c:v>
                </c:pt>
                <c:pt idx="346">
                  <c:v>3/8/2021</c:v>
                </c:pt>
                <c:pt idx="347">
                  <c:v>3/9/2021</c:v>
                </c:pt>
                <c:pt idx="348">
                  <c:v>3/10/2021</c:v>
                </c:pt>
                <c:pt idx="349">
                  <c:v>3/11/2021</c:v>
                </c:pt>
                <c:pt idx="350">
                  <c:v>3/12/2021</c:v>
                </c:pt>
                <c:pt idx="351">
                  <c:v>3/15/2021</c:v>
                </c:pt>
                <c:pt idx="352">
                  <c:v>3/16/2021</c:v>
                </c:pt>
                <c:pt idx="353">
                  <c:v>3/17/2021</c:v>
                </c:pt>
                <c:pt idx="354">
                  <c:v>3/18/2021</c:v>
                </c:pt>
                <c:pt idx="355">
                  <c:v>3/19/2021</c:v>
                </c:pt>
                <c:pt idx="356">
                  <c:v>3/22/2021</c:v>
                </c:pt>
                <c:pt idx="357">
                  <c:v>3/23/2021</c:v>
                </c:pt>
                <c:pt idx="358">
                  <c:v>3/24/2021</c:v>
                </c:pt>
                <c:pt idx="359">
                  <c:v>3/25/2021</c:v>
                </c:pt>
                <c:pt idx="360">
                  <c:v>3/26/2021</c:v>
                </c:pt>
                <c:pt idx="361">
                  <c:v>3/29/2021</c:v>
                </c:pt>
                <c:pt idx="362">
                  <c:v>3/30/2021</c:v>
                </c:pt>
                <c:pt idx="363">
                  <c:v>3/31/2021</c:v>
                </c:pt>
                <c:pt idx="364">
                  <c:v>4/1/2021</c:v>
                </c:pt>
                <c:pt idx="365">
                  <c:v>4/5/2021</c:v>
                </c:pt>
                <c:pt idx="366">
                  <c:v>4/6/2021</c:v>
                </c:pt>
                <c:pt idx="367">
                  <c:v>4/7/2021</c:v>
                </c:pt>
                <c:pt idx="368">
                  <c:v>4/8/2021</c:v>
                </c:pt>
                <c:pt idx="369">
                  <c:v>4/9/2021</c:v>
                </c:pt>
                <c:pt idx="370">
                  <c:v>4/12/2021</c:v>
                </c:pt>
                <c:pt idx="371">
                  <c:v>4/13/2021</c:v>
                </c:pt>
                <c:pt idx="372">
                  <c:v>4/14/2021</c:v>
                </c:pt>
                <c:pt idx="373">
                  <c:v>4/15/2021</c:v>
                </c:pt>
                <c:pt idx="374">
                  <c:v>4/16/2021</c:v>
                </c:pt>
                <c:pt idx="375">
                  <c:v>4/19/2021</c:v>
                </c:pt>
                <c:pt idx="376">
                  <c:v>4/20/2021</c:v>
                </c:pt>
                <c:pt idx="377">
                  <c:v>4/21/2021</c:v>
                </c:pt>
                <c:pt idx="378">
                  <c:v>4/22/2021</c:v>
                </c:pt>
                <c:pt idx="379">
                  <c:v>4/23/2021</c:v>
                </c:pt>
                <c:pt idx="380">
                  <c:v>4/26/2021</c:v>
                </c:pt>
                <c:pt idx="381">
                  <c:v>4/27/2021</c:v>
                </c:pt>
                <c:pt idx="382">
                  <c:v>4/28/2021</c:v>
                </c:pt>
                <c:pt idx="383">
                  <c:v>4/29/2021</c:v>
                </c:pt>
                <c:pt idx="384">
                  <c:v>4/30/2021</c:v>
                </c:pt>
                <c:pt idx="385">
                  <c:v>5/3/2021</c:v>
                </c:pt>
                <c:pt idx="386">
                  <c:v>5/4/2021</c:v>
                </c:pt>
                <c:pt idx="387">
                  <c:v>5/5/2021</c:v>
                </c:pt>
                <c:pt idx="388">
                  <c:v>5/6/2021</c:v>
                </c:pt>
                <c:pt idx="389">
                  <c:v>5/7/2021</c:v>
                </c:pt>
                <c:pt idx="390">
                  <c:v>5/10/2021</c:v>
                </c:pt>
                <c:pt idx="391">
                  <c:v>5/11/2021</c:v>
                </c:pt>
                <c:pt idx="392">
                  <c:v>5/12/2021</c:v>
                </c:pt>
                <c:pt idx="393">
                  <c:v>5/13/2021</c:v>
                </c:pt>
                <c:pt idx="394">
                  <c:v>5/14/2021</c:v>
                </c:pt>
                <c:pt idx="395">
                  <c:v>5/17/2021</c:v>
                </c:pt>
                <c:pt idx="396">
                  <c:v>5/18/2021</c:v>
                </c:pt>
                <c:pt idx="397">
                  <c:v>5/19/2021</c:v>
                </c:pt>
                <c:pt idx="398">
                  <c:v>5/20/2021</c:v>
                </c:pt>
                <c:pt idx="399">
                  <c:v>5/21/2021</c:v>
                </c:pt>
                <c:pt idx="400">
                  <c:v>5/24/2021</c:v>
                </c:pt>
                <c:pt idx="401">
                  <c:v>5/25/2021</c:v>
                </c:pt>
                <c:pt idx="402">
                  <c:v>5/26/2021</c:v>
                </c:pt>
                <c:pt idx="403">
                  <c:v>5/27/2021</c:v>
                </c:pt>
                <c:pt idx="404">
                  <c:v>5/28/2021</c:v>
                </c:pt>
                <c:pt idx="405">
                  <c:v>5/31/2021</c:v>
                </c:pt>
                <c:pt idx="406">
                  <c:v>6/1/2021</c:v>
                </c:pt>
                <c:pt idx="407">
                  <c:v>6/2/2021</c:v>
                </c:pt>
                <c:pt idx="408">
                  <c:v>6/3/2021</c:v>
                </c:pt>
                <c:pt idx="409">
                  <c:v>6/4/2021</c:v>
                </c:pt>
                <c:pt idx="410">
                  <c:v>6/7/2021</c:v>
                </c:pt>
                <c:pt idx="411">
                  <c:v>6/8/2021</c:v>
                </c:pt>
                <c:pt idx="412">
                  <c:v>6/9/2021</c:v>
                </c:pt>
                <c:pt idx="413">
                  <c:v>6/10/2021</c:v>
                </c:pt>
                <c:pt idx="414">
                  <c:v>6/11/2021</c:v>
                </c:pt>
                <c:pt idx="415">
                  <c:v>6/14/2021</c:v>
                </c:pt>
                <c:pt idx="416">
                  <c:v>6/15/2021</c:v>
                </c:pt>
                <c:pt idx="417">
                  <c:v>6/16/2021</c:v>
                </c:pt>
                <c:pt idx="418">
                  <c:v>6/17/2021</c:v>
                </c:pt>
                <c:pt idx="419">
                  <c:v>6/18/2021</c:v>
                </c:pt>
                <c:pt idx="420">
                  <c:v>6/21/2021</c:v>
                </c:pt>
                <c:pt idx="421">
                  <c:v>6/22/2021</c:v>
                </c:pt>
                <c:pt idx="422">
                  <c:v>6/23/2021</c:v>
                </c:pt>
                <c:pt idx="423">
                  <c:v>6/24/2021</c:v>
                </c:pt>
                <c:pt idx="424">
                  <c:v>6/25/2021</c:v>
                </c:pt>
                <c:pt idx="425">
                  <c:v>6/28/2021</c:v>
                </c:pt>
                <c:pt idx="426">
                  <c:v>6/29/2021</c:v>
                </c:pt>
                <c:pt idx="427">
                  <c:v>6/30/2021</c:v>
                </c:pt>
                <c:pt idx="428">
                  <c:v>7/1/2021</c:v>
                </c:pt>
                <c:pt idx="429">
                  <c:v>7/2/2021</c:v>
                </c:pt>
                <c:pt idx="430">
                  <c:v>7/5/2021</c:v>
                </c:pt>
                <c:pt idx="431">
                  <c:v>7/6/2021</c:v>
                </c:pt>
                <c:pt idx="432">
                  <c:v>7/7/2021</c:v>
                </c:pt>
                <c:pt idx="433">
                  <c:v>7/8/2021</c:v>
                </c:pt>
                <c:pt idx="434">
                  <c:v>7/9/2021</c:v>
                </c:pt>
                <c:pt idx="435">
                  <c:v>7/12/2021</c:v>
                </c:pt>
                <c:pt idx="436">
                  <c:v>7/13/2021</c:v>
                </c:pt>
                <c:pt idx="437">
                  <c:v>7/14/2021</c:v>
                </c:pt>
                <c:pt idx="438">
                  <c:v>7/15/2021</c:v>
                </c:pt>
                <c:pt idx="439">
                  <c:v>7/16/2021</c:v>
                </c:pt>
                <c:pt idx="440">
                  <c:v>7/19/2021</c:v>
                </c:pt>
                <c:pt idx="441">
                  <c:v>7/20/2021</c:v>
                </c:pt>
                <c:pt idx="442">
                  <c:v>7/21/2021</c:v>
                </c:pt>
                <c:pt idx="443">
                  <c:v>7/22/2021</c:v>
                </c:pt>
                <c:pt idx="444">
                  <c:v>7/23/2021</c:v>
                </c:pt>
                <c:pt idx="445">
                  <c:v>7/26/2021</c:v>
                </c:pt>
                <c:pt idx="446">
                  <c:v>7/27/2021</c:v>
                </c:pt>
                <c:pt idx="447">
                  <c:v>7/28/2021</c:v>
                </c:pt>
                <c:pt idx="448">
                  <c:v>7/29/2021</c:v>
                </c:pt>
                <c:pt idx="449">
                  <c:v>7/30/2021</c:v>
                </c:pt>
                <c:pt idx="450">
                  <c:v>8/2/2021</c:v>
                </c:pt>
                <c:pt idx="451">
                  <c:v>8/3/2021</c:v>
                </c:pt>
                <c:pt idx="452">
                  <c:v>8/4/2021</c:v>
                </c:pt>
                <c:pt idx="453">
                  <c:v>8/5/2021</c:v>
                </c:pt>
                <c:pt idx="454">
                  <c:v>8/6/2021</c:v>
                </c:pt>
                <c:pt idx="455">
                  <c:v>8/9/2021</c:v>
                </c:pt>
                <c:pt idx="456">
                  <c:v>8/10/2021</c:v>
                </c:pt>
                <c:pt idx="457">
                  <c:v>8/11/2021</c:v>
                </c:pt>
                <c:pt idx="458">
                  <c:v>8/12/2021</c:v>
                </c:pt>
                <c:pt idx="459">
                  <c:v>8/13/2021</c:v>
                </c:pt>
                <c:pt idx="460">
                  <c:v>8/16/2021</c:v>
                </c:pt>
                <c:pt idx="461">
                  <c:v>8/17/2021</c:v>
                </c:pt>
                <c:pt idx="462">
                  <c:v>8/18/2021</c:v>
                </c:pt>
                <c:pt idx="463">
                  <c:v>8/19/2021</c:v>
                </c:pt>
                <c:pt idx="464">
                  <c:v>8/20/2021</c:v>
                </c:pt>
                <c:pt idx="465">
                  <c:v>8/23/2021</c:v>
                </c:pt>
                <c:pt idx="466">
                  <c:v>8/24/2021</c:v>
                </c:pt>
                <c:pt idx="467">
                  <c:v>8/25/2021</c:v>
                </c:pt>
                <c:pt idx="468">
                  <c:v>8/26/2021</c:v>
                </c:pt>
                <c:pt idx="469">
                  <c:v>8/27/2021</c:v>
                </c:pt>
                <c:pt idx="470">
                  <c:v>8/30/2021</c:v>
                </c:pt>
                <c:pt idx="471">
                  <c:v>8/31/2021</c:v>
                </c:pt>
                <c:pt idx="472">
                  <c:v>9/1/2021</c:v>
                </c:pt>
                <c:pt idx="473">
                  <c:v>9/2/2021</c:v>
                </c:pt>
                <c:pt idx="474">
                  <c:v>9/3/2021</c:v>
                </c:pt>
                <c:pt idx="475">
                  <c:v>9/6/2021</c:v>
                </c:pt>
                <c:pt idx="476">
                  <c:v>9/7/2021</c:v>
                </c:pt>
                <c:pt idx="477">
                  <c:v>9/8/2021</c:v>
                </c:pt>
                <c:pt idx="478">
                  <c:v>9/9/2021</c:v>
                </c:pt>
                <c:pt idx="479">
                  <c:v>9/10/2021</c:v>
                </c:pt>
                <c:pt idx="480">
                  <c:v>9/13/2021</c:v>
                </c:pt>
                <c:pt idx="481">
                  <c:v>9/14/2021</c:v>
                </c:pt>
                <c:pt idx="482">
                  <c:v>9/15/2021</c:v>
                </c:pt>
                <c:pt idx="483">
                  <c:v>9/16/2021</c:v>
                </c:pt>
                <c:pt idx="484">
                  <c:v>9/17/2021</c:v>
                </c:pt>
                <c:pt idx="485">
                  <c:v>9/20/2021</c:v>
                </c:pt>
                <c:pt idx="486">
                  <c:v>9/21/2021</c:v>
                </c:pt>
                <c:pt idx="487">
                  <c:v>9/22/2021</c:v>
                </c:pt>
                <c:pt idx="488">
                  <c:v>9/23/2021</c:v>
                </c:pt>
                <c:pt idx="489">
                  <c:v>9/24/2021</c:v>
                </c:pt>
                <c:pt idx="490">
                  <c:v>9/27/2021</c:v>
                </c:pt>
                <c:pt idx="491">
                  <c:v>9/28/2021</c:v>
                </c:pt>
                <c:pt idx="492">
                  <c:v>9/29/2021</c:v>
                </c:pt>
                <c:pt idx="493">
                  <c:v>9/30/2021</c:v>
                </c:pt>
                <c:pt idx="494">
                  <c:v>10/1/2021</c:v>
                </c:pt>
                <c:pt idx="495">
                  <c:v>10/4/2021</c:v>
                </c:pt>
                <c:pt idx="496">
                  <c:v>10/5/2021</c:v>
                </c:pt>
                <c:pt idx="497">
                  <c:v>10/6/2021</c:v>
                </c:pt>
                <c:pt idx="498">
                  <c:v>10/7/2021</c:v>
                </c:pt>
                <c:pt idx="499">
                  <c:v>10/8/2021</c:v>
                </c:pt>
                <c:pt idx="500">
                  <c:v>10/11/2021</c:v>
                </c:pt>
                <c:pt idx="501">
                  <c:v>10/12/2021</c:v>
                </c:pt>
                <c:pt idx="502">
                  <c:v>10/13/2021</c:v>
                </c:pt>
                <c:pt idx="503">
                  <c:v>10/14/2021</c:v>
                </c:pt>
                <c:pt idx="504">
                  <c:v>10/15/2021</c:v>
                </c:pt>
                <c:pt idx="505">
                  <c:v>10/18/2021</c:v>
                </c:pt>
                <c:pt idx="506">
                  <c:v>10/19/2021</c:v>
                </c:pt>
                <c:pt idx="507">
                  <c:v>10/20/2021</c:v>
                </c:pt>
                <c:pt idx="508">
                  <c:v>10/21/2021</c:v>
                </c:pt>
                <c:pt idx="509">
                  <c:v>10/22/2021</c:v>
                </c:pt>
                <c:pt idx="510">
                  <c:v>10/25/2021</c:v>
                </c:pt>
                <c:pt idx="511">
                  <c:v>10/26/2021</c:v>
                </c:pt>
                <c:pt idx="512">
                  <c:v>10/27/2021</c:v>
                </c:pt>
                <c:pt idx="513">
                  <c:v>10/28/2021</c:v>
                </c:pt>
                <c:pt idx="514">
                  <c:v>10/29/2021</c:v>
                </c:pt>
                <c:pt idx="515">
                  <c:v>11/1/2021</c:v>
                </c:pt>
                <c:pt idx="516">
                  <c:v>11/2/2021</c:v>
                </c:pt>
                <c:pt idx="517">
                  <c:v>11/3/2021</c:v>
                </c:pt>
                <c:pt idx="518">
                  <c:v>11/4/2021</c:v>
                </c:pt>
                <c:pt idx="519">
                  <c:v>11/5/2021</c:v>
                </c:pt>
                <c:pt idx="520">
                  <c:v>11/8/2021</c:v>
                </c:pt>
                <c:pt idx="521">
                  <c:v>11/9/2021</c:v>
                </c:pt>
                <c:pt idx="522">
                  <c:v>11/10/2021</c:v>
                </c:pt>
                <c:pt idx="523">
                  <c:v>11/11/2021</c:v>
                </c:pt>
                <c:pt idx="524">
                  <c:v>11/12/2021</c:v>
                </c:pt>
                <c:pt idx="525">
                  <c:v>11/15/2021</c:v>
                </c:pt>
                <c:pt idx="526">
                  <c:v>11/16/2021</c:v>
                </c:pt>
                <c:pt idx="527">
                  <c:v>11/17/2021</c:v>
                </c:pt>
                <c:pt idx="528">
                  <c:v>11/18/2021</c:v>
                </c:pt>
                <c:pt idx="529">
                  <c:v>11/19/2021</c:v>
                </c:pt>
                <c:pt idx="530">
                  <c:v>11/22/2021</c:v>
                </c:pt>
                <c:pt idx="531">
                  <c:v>11/23/2021</c:v>
                </c:pt>
                <c:pt idx="532">
                  <c:v>11/24/2021</c:v>
                </c:pt>
                <c:pt idx="533">
                  <c:v>11/25/2021</c:v>
                </c:pt>
                <c:pt idx="534">
                  <c:v>11/26/2021</c:v>
                </c:pt>
                <c:pt idx="535">
                  <c:v>11/29/2021</c:v>
                </c:pt>
                <c:pt idx="536">
                  <c:v>11/30/2021</c:v>
                </c:pt>
                <c:pt idx="537">
                  <c:v>12/1/2021</c:v>
                </c:pt>
                <c:pt idx="538">
                  <c:v>12/2/2021</c:v>
                </c:pt>
                <c:pt idx="539">
                  <c:v>12/3/2021</c:v>
                </c:pt>
                <c:pt idx="540">
                  <c:v>12/6/2021</c:v>
                </c:pt>
                <c:pt idx="541">
                  <c:v>12/7/2021</c:v>
                </c:pt>
                <c:pt idx="542">
                  <c:v>12/8/2021</c:v>
                </c:pt>
                <c:pt idx="543">
                  <c:v>12/9/2021</c:v>
                </c:pt>
                <c:pt idx="544">
                  <c:v>12/10/2021</c:v>
                </c:pt>
                <c:pt idx="545">
                  <c:v>12/13/2021</c:v>
                </c:pt>
                <c:pt idx="546">
                  <c:v>12/14/2021</c:v>
                </c:pt>
                <c:pt idx="547">
                  <c:v>12/15/2021</c:v>
                </c:pt>
                <c:pt idx="548">
                  <c:v>12/16/2021</c:v>
                </c:pt>
                <c:pt idx="549">
                  <c:v>12/17/2021</c:v>
                </c:pt>
                <c:pt idx="550">
                  <c:v>12/20/2021</c:v>
                </c:pt>
                <c:pt idx="551">
                  <c:v>12/21/2021</c:v>
                </c:pt>
                <c:pt idx="552">
                  <c:v>12/22/2021</c:v>
                </c:pt>
                <c:pt idx="553">
                  <c:v>12/23/2021</c:v>
                </c:pt>
                <c:pt idx="554">
                  <c:v>12/24/2021</c:v>
                </c:pt>
                <c:pt idx="555">
                  <c:v>12/27/2021</c:v>
                </c:pt>
                <c:pt idx="556">
                  <c:v>12/28/2021</c:v>
                </c:pt>
                <c:pt idx="557">
                  <c:v>12/29/2021</c:v>
                </c:pt>
                <c:pt idx="558">
                  <c:v>12/30/2021</c:v>
                </c:pt>
                <c:pt idx="559">
                  <c:v>12/31/2021</c:v>
                </c:pt>
                <c:pt idx="560">
                  <c:v>1/3/2022</c:v>
                </c:pt>
                <c:pt idx="561">
                  <c:v>1/4/2022</c:v>
                </c:pt>
                <c:pt idx="562">
                  <c:v>1/5/2022</c:v>
                </c:pt>
                <c:pt idx="563">
                  <c:v>1/6/2022</c:v>
                </c:pt>
                <c:pt idx="564">
                  <c:v>1/7/2022</c:v>
                </c:pt>
                <c:pt idx="565">
                  <c:v>1/10/2022</c:v>
                </c:pt>
                <c:pt idx="566">
                  <c:v>1/11/2022</c:v>
                </c:pt>
                <c:pt idx="567">
                  <c:v>1/12/2022</c:v>
                </c:pt>
                <c:pt idx="568">
                  <c:v>1/13/2022</c:v>
                </c:pt>
                <c:pt idx="569">
                  <c:v>1/14/2022</c:v>
                </c:pt>
                <c:pt idx="570">
                  <c:v>1/17/2022</c:v>
                </c:pt>
                <c:pt idx="571">
                  <c:v>1/18/2022</c:v>
                </c:pt>
                <c:pt idx="572">
                  <c:v>1/19/2022</c:v>
                </c:pt>
                <c:pt idx="573">
                  <c:v>1/20/2022</c:v>
                </c:pt>
                <c:pt idx="574">
                  <c:v>1/21/2022</c:v>
                </c:pt>
                <c:pt idx="575">
                  <c:v>1/24/2022</c:v>
                </c:pt>
                <c:pt idx="576">
                  <c:v>1/25/2022</c:v>
                </c:pt>
                <c:pt idx="577">
                  <c:v>1/26/2022</c:v>
                </c:pt>
                <c:pt idx="578">
                  <c:v>1/27/2022</c:v>
                </c:pt>
                <c:pt idx="579">
                  <c:v>1/28/2022</c:v>
                </c:pt>
                <c:pt idx="580">
                  <c:v>1/31/2022</c:v>
                </c:pt>
                <c:pt idx="581">
                  <c:v>2/1/2022</c:v>
                </c:pt>
                <c:pt idx="582">
                  <c:v>2/2/2022</c:v>
                </c:pt>
                <c:pt idx="583">
                  <c:v>2/3/2022</c:v>
                </c:pt>
                <c:pt idx="584">
                  <c:v>2/4/2022</c:v>
                </c:pt>
                <c:pt idx="585">
                  <c:v>2/7/2022</c:v>
                </c:pt>
                <c:pt idx="586">
                  <c:v>2/8/2022</c:v>
                </c:pt>
                <c:pt idx="587">
                  <c:v>2/9/2022</c:v>
                </c:pt>
                <c:pt idx="588">
                  <c:v>2/10/2022</c:v>
                </c:pt>
                <c:pt idx="589">
                  <c:v>2/11/2022</c:v>
                </c:pt>
                <c:pt idx="590">
                  <c:v>2/14/2022</c:v>
                </c:pt>
                <c:pt idx="591">
                  <c:v>2/15/2022</c:v>
                </c:pt>
                <c:pt idx="592">
                  <c:v>2/16/2022</c:v>
                </c:pt>
                <c:pt idx="593">
                  <c:v>2/17/2022</c:v>
                </c:pt>
                <c:pt idx="594">
                  <c:v>2/18/2022</c:v>
                </c:pt>
                <c:pt idx="595">
                  <c:v>2/21/2022</c:v>
                </c:pt>
                <c:pt idx="596">
                  <c:v>2/22/2022</c:v>
                </c:pt>
                <c:pt idx="597">
                  <c:v>2/23/2022</c:v>
                </c:pt>
                <c:pt idx="598">
                  <c:v>2/24/2022</c:v>
                </c:pt>
                <c:pt idx="599">
                  <c:v>2/25/2022</c:v>
                </c:pt>
                <c:pt idx="600">
                  <c:v>2/28/2022</c:v>
                </c:pt>
                <c:pt idx="601">
                  <c:v>3/1/2022</c:v>
                </c:pt>
                <c:pt idx="602">
                  <c:v>3/2/2022</c:v>
                </c:pt>
                <c:pt idx="603">
                  <c:v>3/3/2022</c:v>
                </c:pt>
                <c:pt idx="604">
                  <c:v>3/4/2022</c:v>
                </c:pt>
                <c:pt idx="605">
                  <c:v>3/7/2022</c:v>
                </c:pt>
                <c:pt idx="606">
                  <c:v>3/8/2022</c:v>
                </c:pt>
                <c:pt idx="607">
                  <c:v>3/9/2022</c:v>
                </c:pt>
                <c:pt idx="608">
                  <c:v>3/10/2022</c:v>
                </c:pt>
                <c:pt idx="609">
                  <c:v>3/11/2022</c:v>
                </c:pt>
                <c:pt idx="610">
                  <c:v>3/14/2022</c:v>
                </c:pt>
                <c:pt idx="611">
                  <c:v>3/15/2022</c:v>
                </c:pt>
                <c:pt idx="612">
                  <c:v>3/16/2022</c:v>
                </c:pt>
                <c:pt idx="613">
                  <c:v>3/17/2022</c:v>
                </c:pt>
                <c:pt idx="614">
                  <c:v>3/18/2022</c:v>
                </c:pt>
                <c:pt idx="615">
                  <c:v>3/21/2022</c:v>
                </c:pt>
                <c:pt idx="616">
                  <c:v>3/22/2022</c:v>
                </c:pt>
                <c:pt idx="617">
                  <c:v>3/23/2022</c:v>
                </c:pt>
                <c:pt idx="618">
                  <c:v>3/24/2022</c:v>
                </c:pt>
                <c:pt idx="619">
                  <c:v>3/25/2022</c:v>
                </c:pt>
                <c:pt idx="620">
                  <c:v>3/28/2022</c:v>
                </c:pt>
                <c:pt idx="621">
                  <c:v>3/29/2022</c:v>
                </c:pt>
                <c:pt idx="622">
                  <c:v>3/30/2022</c:v>
                </c:pt>
                <c:pt idx="623">
                  <c:v>3/31/2022</c:v>
                </c:pt>
                <c:pt idx="624">
                  <c:v>4/1/2022</c:v>
                </c:pt>
                <c:pt idx="625">
                  <c:v>4/4/2022</c:v>
                </c:pt>
                <c:pt idx="626">
                  <c:v>4/5/2022</c:v>
                </c:pt>
                <c:pt idx="627">
                  <c:v>4/6/2022</c:v>
                </c:pt>
                <c:pt idx="628">
                  <c:v>4/7/2022</c:v>
                </c:pt>
                <c:pt idx="629">
                  <c:v>4/8/2022</c:v>
                </c:pt>
                <c:pt idx="630">
                  <c:v>4/11/2022</c:v>
                </c:pt>
                <c:pt idx="631">
                  <c:v>4/12/2022</c:v>
                </c:pt>
                <c:pt idx="632">
                  <c:v>4/13/2022</c:v>
                </c:pt>
                <c:pt idx="633">
                  <c:v>4/14/2022</c:v>
                </c:pt>
                <c:pt idx="634">
                  <c:v>4/18/2022</c:v>
                </c:pt>
                <c:pt idx="635">
                  <c:v>4/19/2022</c:v>
                </c:pt>
                <c:pt idx="636">
                  <c:v>4/20/2022</c:v>
                </c:pt>
                <c:pt idx="637">
                  <c:v>4/21/2022</c:v>
                </c:pt>
                <c:pt idx="638">
                  <c:v>4/22/2022</c:v>
                </c:pt>
                <c:pt idx="639">
                  <c:v>4/25/2022</c:v>
                </c:pt>
                <c:pt idx="640">
                  <c:v>4/26/2022</c:v>
                </c:pt>
                <c:pt idx="641">
                  <c:v>4/27/2022</c:v>
                </c:pt>
                <c:pt idx="642">
                  <c:v>4/28/2022</c:v>
                </c:pt>
                <c:pt idx="643">
                  <c:v>4/29/2022</c:v>
                </c:pt>
                <c:pt idx="644">
                  <c:v>5/2/2022</c:v>
                </c:pt>
                <c:pt idx="645">
                  <c:v>5/3/2022</c:v>
                </c:pt>
                <c:pt idx="646">
                  <c:v>5/4/2022</c:v>
                </c:pt>
                <c:pt idx="647">
                  <c:v>5/5/2022</c:v>
                </c:pt>
                <c:pt idx="648">
                  <c:v>5/6/2022</c:v>
                </c:pt>
                <c:pt idx="649">
                  <c:v>5/9/2022</c:v>
                </c:pt>
                <c:pt idx="650">
                  <c:v>5/10/2022</c:v>
                </c:pt>
                <c:pt idx="651">
                  <c:v>5/11/2022</c:v>
                </c:pt>
                <c:pt idx="652">
                  <c:v>5/12/2022</c:v>
                </c:pt>
                <c:pt idx="653">
                  <c:v>5/13/2022</c:v>
                </c:pt>
                <c:pt idx="654">
                  <c:v>5/16/2022</c:v>
                </c:pt>
                <c:pt idx="655">
                  <c:v>5/17/2022</c:v>
                </c:pt>
                <c:pt idx="656">
                  <c:v>5/18/2022</c:v>
                </c:pt>
                <c:pt idx="657">
                  <c:v>5/19/2022</c:v>
                </c:pt>
                <c:pt idx="658">
                  <c:v>5/20/2022</c:v>
                </c:pt>
                <c:pt idx="659">
                  <c:v>5/23/2022</c:v>
                </c:pt>
                <c:pt idx="660">
                  <c:v>5/24/2022</c:v>
                </c:pt>
                <c:pt idx="661">
                  <c:v>5/25/2022</c:v>
                </c:pt>
                <c:pt idx="662">
                  <c:v>5/26/2022</c:v>
                </c:pt>
                <c:pt idx="663">
                  <c:v>5/27/2022</c:v>
                </c:pt>
                <c:pt idx="664">
                  <c:v>5/30/2022</c:v>
                </c:pt>
                <c:pt idx="665">
                  <c:v>5/31/2022</c:v>
                </c:pt>
                <c:pt idx="666">
                  <c:v>6/1/2022</c:v>
                </c:pt>
                <c:pt idx="667">
                  <c:v>6/2/2022</c:v>
                </c:pt>
                <c:pt idx="668">
                  <c:v>6/3/2022</c:v>
                </c:pt>
                <c:pt idx="669">
                  <c:v>6/6/2022</c:v>
                </c:pt>
                <c:pt idx="670">
                  <c:v>6/7/2022</c:v>
                </c:pt>
                <c:pt idx="671">
                  <c:v>6/8/2022</c:v>
                </c:pt>
                <c:pt idx="672">
                  <c:v>6/9/2022</c:v>
                </c:pt>
                <c:pt idx="673">
                  <c:v>6/10/2022</c:v>
                </c:pt>
                <c:pt idx="674">
                  <c:v>6/13/2022</c:v>
                </c:pt>
                <c:pt idx="675">
                  <c:v>6/14/2022</c:v>
                </c:pt>
                <c:pt idx="676">
                  <c:v>6/15/2022</c:v>
                </c:pt>
                <c:pt idx="677">
                  <c:v>6/16/2022</c:v>
                </c:pt>
                <c:pt idx="678">
                  <c:v>6/17/2022</c:v>
                </c:pt>
                <c:pt idx="679">
                  <c:v>6/21/2022</c:v>
                </c:pt>
                <c:pt idx="680">
                  <c:v>6/22/2022</c:v>
                </c:pt>
                <c:pt idx="681">
                  <c:v>6/23/2022</c:v>
                </c:pt>
                <c:pt idx="682">
                  <c:v>6/24/2022</c:v>
                </c:pt>
                <c:pt idx="683">
                  <c:v>6/27/2022</c:v>
                </c:pt>
              </c:strCache>
            </c:strRef>
          </c:cat>
          <c:val>
            <c:numRef>
              <c:f>'Gasoline Prices'!$B$4:$B$687</c:f>
              <c:numCache>
                <c:formatCode>"$"#,##0.00</c:formatCode>
                <c:ptCount val="684"/>
                <c:pt idx="0">
                  <c:v>1.5871</c:v>
                </c:pt>
                <c:pt idx="1">
                  <c:v>1.6233</c:v>
                </c:pt>
                <c:pt idx="2">
                  <c:v>1.6388</c:v>
                </c:pt>
                <c:pt idx="3">
                  <c:v>1.5702</c:v>
                </c:pt>
                <c:pt idx="4">
                  <c:v>1.5704</c:v>
                </c:pt>
                <c:pt idx="5">
                  <c:v>1.5842000000000001</c:v>
                </c:pt>
                <c:pt idx="6">
                  <c:v>1.5819000000000001</c:v>
                </c:pt>
                <c:pt idx="7">
                  <c:v>1.5778000000000001</c:v>
                </c:pt>
                <c:pt idx="8">
                  <c:v>1.5637000000000001</c:v>
                </c:pt>
                <c:pt idx="9">
                  <c:v>1.569</c:v>
                </c:pt>
                <c:pt idx="10">
                  <c:v>1.6133</c:v>
                </c:pt>
                <c:pt idx="11">
                  <c:v>1.6258999999999999</c:v>
                </c:pt>
                <c:pt idx="12">
                  <c:v>1.6355999999999999</c:v>
                </c:pt>
                <c:pt idx="13">
                  <c:v>1.6344000000000001</c:v>
                </c:pt>
                <c:pt idx="14">
                  <c:v>1.6415999999999999</c:v>
                </c:pt>
                <c:pt idx="15">
                  <c:v>1.6645000000000001</c:v>
                </c:pt>
                <c:pt idx="16">
                  <c:v>1.5946</c:v>
                </c:pt>
                <c:pt idx="17">
                  <c:v>1.6556999999999999</c:v>
                </c:pt>
                <c:pt idx="18">
                  <c:v>1.6637</c:v>
                </c:pt>
                <c:pt idx="19">
                  <c:v>1.6746000000000001</c:v>
                </c:pt>
                <c:pt idx="20">
                  <c:v>1.6262000000000001</c:v>
                </c:pt>
                <c:pt idx="21">
                  <c:v>1.6355</c:v>
                </c:pt>
                <c:pt idx="22">
                  <c:v>1.6336999999999999</c:v>
                </c:pt>
                <c:pt idx="23">
                  <c:v>1.6099000000000001</c:v>
                </c:pt>
                <c:pt idx="24">
                  <c:v>1.6144000000000001</c:v>
                </c:pt>
                <c:pt idx="25">
                  <c:v>1.6309</c:v>
                </c:pt>
                <c:pt idx="26">
                  <c:v>1.6115999999999999</c:v>
                </c:pt>
                <c:pt idx="27">
                  <c:v>1.6308</c:v>
                </c:pt>
                <c:pt idx="28">
                  <c:v>1.6160000000000001</c:v>
                </c:pt>
                <c:pt idx="29">
                  <c:v>1.6036999999999999</c:v>
                </c:pt>
                <c:pt idx="30">
                  <c:v>1.6563000000000001</c:v>
                </c:pt>
                <c:pt idx="31">
                  <c:v>1.6982999999999999</c:v>
                </c:pt>
                <c:pt idx="32">
                  <c:v>1.6742999999999999</c:v>
                </c:pt>
                <c:pt idx="33">
                  <c:v>1.6715</c:v>
                </c:pt>
                <c:pt idx="34">
                  <c:v>1.6976</c:v>
                </c:pt>
                <c:pt idx="35">
                  <c:v>1.6792</c:v>
                </c:pt>
                <c:pt idx="36">
                  <c:v>1.591</c:v>
                </c:pt>
                <c:pt idx="37">
                  <c:v>1.5732999999999999</c:v>
                </c:pt>
                <c:pt idx="38">
                  <c:v>1.5629</c:v>
                </c:pt>
                <c:pt idx="39">
                  <c:v>1.6042000000000001</c:v>
                </c:pt>
                <c:pt idx="40">
                  <c:v>1.6211</c:v>
                </c:pt>
                <c:pt idx="41">
                  <c:v>1.6474</c:v>
                </c:pt>
                <c:pt idx="42">
                  <c:v>1.6548</c:v>
                </c:pt>
                <c:pt idx="43">
                  <c:v>1.6525000000000001</c:v>
                </c:pt>
                <c:pt idx="44">
                  <c:v>1.6261000000000001</c:v>
                </c:pt>
                <c:pt idx="45">
                  <c:v>1.6283000000000001</c:v>
                </c:pt>
                <c:pt idx="46">
                  <c:v>1.6632</c:v>
                </c:pt>
                <c:pt idx="47">
                  <c:v>1.6677999999999999</c:v>
                </c:pt>
                <c:pt idx="48">
                  <c:v>1.6899</c:v>
                </c:pt>
                <c:pt idx="49">
                  <c:v>1.6904999999999999</c:v>
                </c:pt>
                <c:pt idx="50">
                  <c:v>1.7097</c:v>
                </c:pt>
                <c:pt idx="51">
                  <c:v>1.7072000000000001</c:v>
                </c:pt>
                <c:pt idx="52">
                  <c:v>1.7064999999999999</c:v>
                </c:pt>
                <c:pt idx="53">
                  <c:v>1.7274</c:v>
                </c:pt>
                <c:pt idx="54">
                  <c:v>1.7539</c:v>
                </c:pt>
                <c:pt idx="55">
                  <c:v>1.7446999999999999</c:v>
                </c:pt>
                <c:pt idx="56">
                  <c:v>1.724</c:v>
                </c:pt>
                <c:pt idx="57">
                  <c:v>1.6904999999999999</c:v>
                </c:pt>
                <c:pt idx="58">
                  <c:v>1.7041999999999999</c:v>
                </c:pt>
                <c:pt idx="59">
                  <c:v>1.7487999999999999</c:v>
                </c:pt>
                <c:pt idx="60">
                  <c:v>1.7544</c:v>
                </c:pt>
                <c:pt idx="61">
                  <c:v>1.7222</c:v>
                </c:pt>
                <c:pt idx="62">
                  <c:v>1.6488</c:v>
                </c:pt>
                <c:pt idx="63">
                  <c:v>1.6527000000000001</c:v>
                </c:pt>
                <c:pt idx="64">
                  <c:v>1.6596</c:v>
                </c:pt>
                <c:pt idx="65">
                  <c:v>1.6573</c:v>
                </c:pt>
                <c:pt idx="66">
                  <c:v>1.6641999999999999</c:v>
                </c:pt>
                <c:pt idx="67">
                  <c:v>1.6492</c:v>
                </c:pt>
                <c:pt idx="68">
                  <c:v>1.667</c:v>
                </c:pt>
                <c:pt idx="69">
                  <c:v>1.6549</c:v>
                </c:pt>
                <c:pt idx="70">
                  <c:v>1.6365000000000001</c:v>
                </c:pt>
                <c:pt idx="71">
                  <c:v>1.5933999999999999</c:v>
                </c:pt>
                <c:pt idx="72">
                  <c:v>1.573</c:v>
                </c:pt>
                <c:pt idx="73">
                  <c:v>1.5259</c:v>
                </c:pt>
                <c:pt idx="74">
                  <c:v>1.4930000000000001</c:v>
                </c:pt>
                <c:pt idx="75">
                  <c:v>1.5143</c:v>
                </c:pt>
                <c:pt idx="76">
                  <c:v>1.5407999999999999</c:v>
                </c:pt>
                <c:pt idx="77">
                  <c:v>1.5055000000000001</c:v>
                </c:pt>
                <c:pt idx="78">
                  <c:v>1.5041</c:v>
                </c:pt>
                <c:pt idx="79">
                  <c:v>1.4737</c:v>
                </c:pt>
                <c:pt idx="80">
                  <c:v>1.4432</c:v>
                </c:pt>
                <c:pt idx="81">
                  <c:v>1.4863</c:v>
                </c:pt>
                <c:pt idx="82">
                  <c:v>1.498</c:v>
                </c:pt>
                <c:pt idx="83">
                  <c:v>1.5239</c:v>
                </c:pt>
                <c:pt idx="84">
                  <c:v>1.5213000000000001</c:v>
                </c:pt>
                <c:pt idx="85">
                  <c:v>1.5142</c:v>
                </c:pt>
                <c:pt idx="86">
                  <c:v>1.581</c:v>
                </c:pt>
                <c:pt idx="87">
                  <c:v>1.7226999999999999</c:v>
                </c:pt>
                <c:pt idx="88">
                  <c:v>1.5832999999999999</c:v>
                </c:pt>
                <c:pt idx="89">
                  <c:v>1.6148</c:v>
                </c:pt>
                <c:pt idx="90">
                  <c:v>1.7819</c:v>
                </c:pt>
                <c:pt idx="91">
                  <c:v>1.7845</c:v>
                </c:pt>
                <c:pt idx="92">
                  <c:v>1.7612000000000001</c:v>
                </c:pt>
                <c:pt idx="93">
                  <c:v>1.7132000000000001</c:v>
                </c:pt>
                <c:pt idx="94">
                  <c:v>1.6418999999999999</c:v>
                </c:pt>
                <c:pt idx="95">
                  <c:v>1.5645</c:v>
                </c:pt>
                <c:pt idx="96">
                  <c:v>1.5206</c:v>
                </c:pt>
                <c:pt idx="97">
                  <c:v>1.4827999999999999</c:v>
                </c:pt>
                <c:pt idx="98">
                  <c:v>1.5396000000000001</c:v>
                </c:pt>
                <c:pt idx="99">
                  <c:v>1.5313000000000001</c:v>
                </c:pt>
                <c:pt idx="100">
                  <c:v>1.5555000000000001</c:v>
                </c:pt>
                <c:pt idx="101">
                  <c:v>1.5218</c:v>
                </c:pt>
                <c:pt idx="102">
                  <c:v>1.389</c:v>
                </c:pt>
                <c:pt idx="103">
                  <c:v>1.1369</c:v>
                </c:pt>
                <c:pt idx="104">
                  <c:v>1.1571</c:v>
                </c:pt>
                <c:pt idx="105">
                  <c:v>1.1103000000000001</c:v>
                </c:pt>
                <c:pt idx="106">
                  <c:v>0.91900000000000004</c:v>
                </c:pt>
                <c:pt idx="107">
                  <c:v>0.91349999999999998</c:v>
                </c:pt>
                <c:pt idx="108">
                  <c:v>0.70169999999999999</c:v>
                </c:pt>
                <c:pt idx="109">
                  <c:v>0.71140000000000003</c:v>
                </c:pt>
                <c:pt idx="110">
                  <c:v>0.64590000000000003</c:v>
                </c:pt>
                <c:pt idx="111">
                  <c:v>0.69320000000000004</c:v>
                </c:pt>
                <c:pt idx="112">
                  <c:v>0.60540000000000005</c:v>
                </c:pt>
                <c:pt idx="113">
                  <c:v>0.49469999999999997</c:v>
                </c:pt>
                <c:pt idx="114">
                  <c:v>0.51049999999999995</c:v>
                </c:pt>
                <c:pt idx="115">
                  <c:v>0.60540000000000005</c:v>
                </c:pt>
                <c:pt idx="116">
                  <c:v>0.59799999999999998</c:v>
                </c:pt>
                <c:pt idx="117">
                  <c:v>0.61360000000000003</c:v>
                </c:pt>
                <c:pt idx="118">
                  <c:v>0.61680000000000001</c:v>
                </c:pt>
                <c:pt idx="119">
                  <c:v>0.5927</c:v>
                </c:pt>
                <c:pt idx="120">
                  <c:v>0.54649999999999999</c:v>
                </c:pt>
                <c:pt idx="121">
                  <c:v>0.66279999999999994</c:v>
                </c:pt>
                <c:pt idx="122">
                  <c:v>0.69159999999999999</c:v>
                </c:pt>
                <c:pt idx="123">
                  <c:v>0.7016</c:v>
                </c:pt>
                <c:pt idx="124">
                  <c:v>0.6482</c:v>
                </c:pt>
                <c:pt idx="125">
                  <c:v>0.67800000000000005</c:v>
                </c:pt>
                <c:pt idx="126">
                  <c:v>0.67730000000000001</c:v>
                </c:pt>
                <c:pt idx="127">
                  <c:v>0.70330000000000004</c:v>
                </c:pt>
                <c:pt idx="128">
                  <c:v>0.72</c:v>
                </c:pt>
                <c:pt idx="129">
                  <c:v>0.72040000000000004</c:v>
                </c:pt>
                <c:pt idx="130">
                  <c:v>0.75690000000000002</c:v>
                </c:pt>
                <c:pt idx="131">
                  <c:v>0.76459999999999995</c:v>
                </c:pt>
                <c:pt idx="132">
                  <c:v>0.72550000000000003</c:v>
                </c:pt>
                <c:pt idx="133">
                  <c:v>0.62529999999999997</c:v>
                </c:pt>
                <c:pt idx="134">
                  <c:v>0.6875</c:v>
                </c:pt>
                <c:pt idx="135">
                  <c:v>0.68210000000000004</c:v>
                </c:pt>
                <c:pt idx="136">
                  <c:v>0.70009999999999994</c:v>
                </c:pt>
                <c:pt idx="137">
                  <c:v>0.68489999999999995</c:v>
                </c:pt>
                <c:pt idx="138">
                  <c:v>0.70399999999999996</c:v>
                </c:pt>
                <c:pt idx="139">
                  <c:v>0.72719999999999996</c:v>
                </c:pt>
                <c:pt idx="140">
                  <c:v>0.78369999999999995</c:v>
                </c:pt>
                <c:pt idx="141">
                  <c:v>0.76629999999999998</c:v>
                </c:pt>
                <c:pt idx="142">
                  <c:v>0.82150000000000001</c:v>
                </c:pt>
                <c:pt idx="143">
                  <c:v>0.90129999999999999</c:v>
                </c:pt>
                <c:pt idx="144">
                  <c:v>0.87690000000000001</c:v>
                </c:pt>
                <c:pt idx="145">
                  <c:v>0.93140000000000001</c:v>
                </c:pt>
                <c:pt idx="146">
                  <c:v>0.95220000000000005</c:v>
                </c:pt>
                <c:pt idx="147">
                  <c:v>0.92420000000000002</c:v>
                </c:pt>
                <c:pt idx="148">
                  <c:v>0.93630000000000002</c:v>
                </c:pt>
                <c:pt idx="149">
                  <c:v>0.88180000000000003</c:v>
                </c:pt>
                <c:pt idx="150">
                  <c:v>0.93689999999999996</c:v>
                </c:pt>
                <c:pt idx="151">
                  <c:v>0.98380000000000001</c:v>
                </c:pt>
                <c:pt idx="152">
                  <c:v>1.0426</c:v>
                </c:pt>
                <c:pt idx="153">
                  <c:v>1.0549999999999999</c:v>
                </c:pt>
                <c:pt idx="154">
                  <c:v>1.0438000000000001</c:v>
                </c:pt>
                <c:pt idx="155">
                  <c:v>1.0618000000000001</c:v>
                </c:pt>
                <c:pt idx="156">
                  <c:v>1.0518000000000001</c:v>
                </c:pt>
                <c:pt idx="157">
                  <c:v>1.0648</c:v>
                </c:pt>
                <c:pt idx="158">
                  <c:v>1.0177</c:v>
                </c:pt>
                <c:pt idx="159">
                  <c:v>1.026</c:v>
                </c:pt>
                <c:pt idx="160">
                  <c:v>1.0785</c:v>
                </c:pt>
                <c:pt idx="161">
                  <c:v>1.0667</c:v>
                </c:pt>
                <c:pt idx="162">
                  <c:v>1.1183000000000001</c:v>
                </c:pt>
                <c:pt idx="163">
                  <c:v>1.1193</c:v>
                </c:pt>
                <c:pt idx="164">
                  <c:v>1.149</c:v>
                </c:pt>
                <c:pt idx="165">
                  <c:v>1.2136</c:v>
                </c:pt>
                <c:pt idx="166">
                  <c:v>1.1950000000000001</c:v>
                </c:pt>
                <c:pt idx="167">
                  <c:v>1.2102999999999999</c:v>
                </c:pt>
                <c:pt idx="168">
                  <c:v>1.2099</c:v>
                </c:pt>
                <c:pt idx="169">
                  <c:v>1.1188</c:v>
                </c:pt>
                <c:pt idx="170">
                  <c:v>1.1367</c:v>
                </c:pt>
                <c:pt idx="171">
                  <c:v>1.1732</c:v>
                </c:pt>
                <c:pt idx="172">
                  <c:v>1.2149000000000001</c:v>
                </c:pt>
                <c:pt idx="173">
                  <c:v>1.2219</c:v>
                </c:pt>
                <c:pt idx="174">
                  <c:v>1.2575000000000001</c:v>
                </c:pt>
                <c:pt idx="175">
                  <c:v>1.2709999999999999</c:v>
                </c:pt>
                <c:pt idx="176">
                  <c:v>1.2904</c:v>
                </c:pt>
                <c:pt idx="177">
                  <c:v>1.2983</c:v>
                </c:pt>
                <c:pt idx="178">
                  <c:v>1.1992</c:v>
                </c:pt>
                <c:pt idx="179">
                  <c:v>1.1972</c:v>
                </c:pt>
                <c:pt idx="180">
                  <c:v>1.1569</c:v>
                </c:pt>
                <c:pt idx="181">
                  <c:v>1.1878</c:v>
                </c:pt>
                <c:pt idx="182">
                  <c:v>1.2015</c:v>
                </c:pt>
                <c:pt idx="183">
                  <c:v>1.2169000000000001</c:v>
                </c:pt>
                <c:pt idx="184">
                  <c:v>1.2592000000000001</c:v>
                </c:pt>
                <c:pt idx="185">
                  <c:v>1.2407999999999999</c:v>
                </c:pt>
                <c:pt idx="186">
                  <c:v>1.2749999999999999</c:v>
                </c:pt>
                <c:pt idx="187">
                  <c:v>1.2908999999999999</c:v>
                </c:pt>
                <c:pt idx="188">
                  <c:v>1.2504999999999999</c:v>
                </c:pt>
                <c:pt idx="189">
                  <c:v>1.2830999999999999</c:v>
                </c:pt>
                <c:pt idx="190">
                  <c:v>1.2471000000000001</c:v>
                </c:pt>
                <c:pt idx="191">
                  <c:v>1.2262</c:v>
                </c:pt>
                <c:pt idx="192">
                  <c:v>1.2427999999999999</c:v>
                </c:pt>
                <c:pt idx="193">
                  <c:v>1.2157</c:v>
                </c:pt>
                <c:pt idx="194">
                  <c:v>1.2061999999999999</c:v>
                </c:pt>
                <c:pt idx="195">
                  <c:v>1.2131000000000001</c:v>
                </c:pt>
                <c:pt idx="196">
                  <c:v>1.2604</c:v>
                </c:pt>
                <c:pt idx="197">
                  <c:v>1.2603</c:v>
                </c:pt>
                <c:pt idx="198">
                  <c:v>1.2363</c:v>
                </c:pt>
                <c:pt idx="199">
                  <c:v>1.256</c:v>
                </c:pt>
                <c:pt idx="200">
                  <c:v>1.2446999999999999</c:v>
                </c:pt>
                <c:pt idx="201">
                  <c:v>1.2352000000000001</c:v>
                </c:pt>
                <c:pt idx="202">
                  <c:v>1.2132000000000001</c:v>
                </c:pt>
                <c:pt idx="203">
                  <c:v>1.1908000000000001</c:v>
                </c:pt>
                <c:pt idx="204">
                  <c:v>1.1711</c:v>
                </c:pt>
                <c:pt idx="205">
                  <c:v>1.2131000000000001</c:v>
                </c:pt>
                <c:pt idx="206">
                  <c:v>1.2142999999999999</c:v>
                </c:pt>
                <c:pt idx="207">
                  <c:v>1.2228000000000001</c:v>
                </c:pt>
                <c:pt idx="208">
                  <c:v>1.2281</c:v>
                </c:pt>
                <c:pt idx="209">
                  <c:v>1.2076</c:v>
                </c:pt>
                <c:pt idx="210">
                  <c:v>1.2293000000000001</c:v>
                </c:pt>
                <c:pt idx="211">
                  <c:v>1.2044999999999999</c:v>
                </c:pt>
                <c:pt idx="212">
                  <c:v>1.1858</c:v>
                </c:pt>
                <c:pt idx="213">
                  <c:v>1.1789000000000001</c:v>
                </c:pt>
                <c:pt idx="214">
                  <c:v>1.1879999999999999</c:v>
                </c:pt>
                <c:pt idx="215">
                  <c:v>1.2134</c:v>
                </c:pt>
                <c:pt idx="216">
                  <c:v>1.2249000000000001</c:v>
                </c:pt>
                <c:pt idx="217">
                  <c:v>1.2284999999999999</c:v>
                </c:pt>
                <c:pt idx="218">
                  <c:v>1.2263999999999999</c:v>
                </c:pt>
                <c:pt idx="219">
                  <c:v>1.2130000000000001</c:v>
                </c:pt>
                <c:pt idx="220">
                  <c:v>1.2598</c:v>
                </c:pt>
                <c:pt idx="221">
                  <c:v>1.2685</c:v>
                </c:pt>
                <c:pt idx="222">
                  <c:v>1.2634000000000001</c:v>
                </c:pt>
                <c:pt idx="223">
                  <c:v>1.2181999999999999</c:v>
                </c:pt>
                <c:pt idx="224">
                  <c:v>1.2464999999999999</c:v>
                </c:pt>
                <c:pt idx="225">
                  <c:v>1.2137</c:v>
                </c:pt>
                <c:pt idx="226">
                  <c:v>1.2246999999999999</c:v>
                </c:pt>
                <c:pt idx="227">
                  <c:v>1.202</c:v>
                </c:pt>
                <c:pt idx="228">
                  <c:v>1.2049000000000001</c:v>
                </c:pt>
                <c:pt idx="229">
                  <c:v>1.1772</c:v>
                </c:pt>
                <c:pt idx="230">
                  <c:v>1.1028</c:v>
                </c:pt>
                <c:pt idx="231">
                  <c:v>1.1193</c:v>
                </c:pt>
                <c:pt idx="232">
                  <c:v>1.0976999999999999</c:v>
                </c:pt>
                <c:pt idx="233">
                  <c:v>1.0949</c:v>
                </c:pt>
                <c:pt idx="234">
                  <c:v>1.0922000000000001</c:v>
                </c:pt>
                <c:pt idx="235">
                  <c:v>1.1198999999999999</c:v>
                </c:pt>
                <c:pt idx="236">
                  <c:v>1.1694</c:v>
                </c:pt>
                <c:pt idx="237">
                  <c:v>1.2017</c:v>
                </c:pt>
                <c:pt idx="238">
                  <c:v>1.2097</c:v>
                </c:pt>
                <c:pt idx="239">
                  <c:v>1.1544000000000001</c:v>
                </c:pt>
                <c:pt idx="240">
                  <c:v>1.1437999999999999</c:v>
                </c:pt>
                <c:pt idx="241">
                  <c:v>1.1577999999999999</c:v>
                </c:pt>
                <c:pt idx="242">
                  <c:v>1.1732</c:v>
                </c:pt>
                <c:pt idx="243">
                  <c:v>1.1898</c:v>
                </c:pt>
                <c:pt idx="244">
                  <c:v>1.2132000000000001</c:v>
                </c:pt>
                <c:pt idx="245">
                  <c:v>1.1711</c:v>
                </c:pt>
                <c:pt idx="246">
                  <c:v>1.1816</c:v>
                </c:pt>
                <c:pt idx="247">
                  <c:v>1.1524000000000001</c:v>
                </c:pt>
                <c:pt idx="248">
                  <c:v>1.1234999999999999</c:v>
                </c:pt>
                <c:pt idx="249">
                  <c:v>1.1940999999999999</c:v>
                </c:pt>
                <c:pt idx="250">
                  <c:v>1.2351000000000001</c:v>
                </c:pt>
                <c:pt idx="251">
                  <c:v>1.2009000000000001</c:v>
                </c:pt>
                <c:pt idx="252">
                  <c:v>1.2316</c:v>
                </c:pt>
                <c:pt idx="253">
                  <c:v>1.2032</c:v>
                </c:pt>
                <c:pt idx="254">
                  <c:v>1.1757</c:v>
                </c:pt>
                <c:pt idx="255">
                  <c:v>1.1633</c:v>
                </c:pt>
                <c:pt idx="256">
                  <c:v>1.1795</c:v>
                </c:pt>
                <c:pt idx="257">
                  <c:v>1.1637</c:v>
                </c:pt>
                <c:pt idx="258">
                  <c:v>1.1535</c:v>
                </c:pt>
                <c:pt idx="259">
                  <c:v>1.1485000000000001</c:v>
                </c:pt>
                <c:pt idx="260">
                  <c:v>1.1725000000000001</c:v>
                </c:pt>
                <c:pt idx="261">
                  <c:v>1.1271</c:v>
                </c:pt>
                <c:pt idx="262">
                  <c:v>1.1452</c:v>
                </c:pt>
                <c:pt idx="263">
                  <c:v>1.127</c:v>
                </c:pt>
                <c:pt idx="264">
                  <c:v>1.0969</c:v>
                </c:pt>
                <c:pt idx="265">
                  <c:v>1.1288</c:v>
                </c:pt>
                <c:pt idx="266">
                  <c:v>1.0636000000000001</c:v>
                </c:pt>
                <c:pt idx="267">
                  <c:v>1.028</c:v>
                </c:pt>
                <c:pt idx="268">
                  <c:v>1.0322</c:v>
                </c:pt>
                <c:pt idx="269">
                  <c:v>1.052</c:v>
                </c:pt>
                <c:pt idx="270">
                  <c:v>1.0769</c:v>
                </c:pt>
                <c:pt idx="271">
                  <c:v>1.1081000000000001</c:v>
                </c:pt>
                <c:pt idx="272">
                  <c:v>1.1158999999999999</c:v>
                </c:pt>
                <c:pt idx="273">
                  <c:v>1.0844</c:v>
                </c:pt>
                <c:pt idx="274">
                  <c:v>1.1607000000000001</c:v>
                </c:pt>
                <c:pt idx="275">
                  <c:v>1.1940999999999999</c:v>
                </c:pt>
                <c:pt idx="276">
                  <c:v>1.1758999999999999</c:v>
                </c:pt>
                <c:pt idx="277">
                  <c:v>1.1557999999999999</c:v>
                </c:pt>
                <c:pt idx="278">
                  <c:v>1.125</c:v>
                </c:pt>
                <c:pt idx="279">
                  <c:v>1.147</c:v>
                </c:pt>
                <c:pt idx="280">
                  <c:v>1.1528</c:v>
                </c:pt>
                <c:pt idx="281">
                  <c:v>1.1626000000000001</c:v>
                </c:pt>
                <c:pt idx="282">
                  <c:v>1.1596</c:v>
                </c:pt>
                <c:pt idx="283">
                  <c:v>1.1702999999999999</c:v>
                </c:pt>
                <c:pt idx="284">
                  <c:v>1.1971000000000001</c:v>
                </c:pt>
                <c:pt idx="285">
                  <c:v>1.2509999999999999</c:v>
                </c:pt>
                <c:pt idx="286">
                  <c:v>1.2709999999999999</c:v>
                </c:pt>
                <c:pt idx="287">
                  <c:v>1.266</c:v>
                </c:pt>
                <c:pt idx="288">
                  <c:v>1.2416</c:v>
                </c:pt>
                <c:pt idx="289">
                  <c:v>1.2203999999999999</c:v>
                </c:pt>
                <c:pt idx="290">
                  <c:v>1.2399</c:v>
                </c:pt>
                <c:pt idx="291">
                  <c:v>1.2617</c:v>
                </c:pt>
                <c:pt idx="292">
                  <c:v>1.2685</c:v>
                </c:pt>
                <c:pt idx="293">
                  <c:v>1.2558</c:v>
                </c:pt>
                <c:pt idx="294">
                  <c:v>1.2559</c:v>
                </c:pt>
                <c:pt idx="295">
                  <c:v>1.2759</c:v>
                </c:pt>
                <c:pt idx="296">
                  <c:v>1.3166</c:v>
                </c:pt>
                <c:pt idx="297">
                  <c:v>1.3077000000000001</c:v>
                </c:pt>
                <c:pt idx="298">
                  <c:v>1.3190999999999999</c:v>
                </c:pt>
                <c:pt idx="299">
                  <c:v>1.3268</c:v>
                </c:pt>
                <c:pt idx="300">
                  <c:v>1.3514999999999999</c:v>
                </c:pt>
                <c:pt idx="301">
                  <c:v>1.3816999999999999</c:v>
                </c:pt>
                <c:pt idx="302">
                  <c:v>1.391</c:v>
                </c:pt>
                <c:pt idx="303">
                  <c:v>1.3548</c:v>
                </c:pt>
                <c:pt idx="304">
                  <c:v>1.3354999999999999</c:v>
                </c:pt>
                <c:pt idx="305">
                  <c:v>1.3762000000000001</c:v>
                </c:pt>
                <c:pt idx="306">
                  <c:v>1.3722000000000001</c:v>
                </c:pt>
                <c:pt idx="307">
                  <c:v>1.3607</c:v>
                </c:pt>
                <c:pt idx="308">
                  <c:v>1.3783000000000001</c:v>
                </c:pt>
                <c:pt idx="309">
                  <c:v>1.4013</c:v>
                </c:pt>
                <c:pt idx="310">
                  <c:v>1.4100999999999999</c:v>
                </c:pt>
                <c:pt idx="311">
                  <c:v>1.3729</c:v>
                </c:pt>
                <c:pt idx="312">
                  <c:v>1.4520999999999999</c:v>
                </c:pt>
                <c:pt idx="313">
                  <c:v>1.4750000000000001</c:v>
                </c:pt>
                <c:pt idx="314">
                  <c:v>1.4826999999999999</c:v>
                </c:pt>
                <c:pt idx="315">
                  <c:v>1.5423</c:v>
                </c:pt>
                <c:pt idx="316">
                  <c:v>1.5207999999999999</c:v>
                </c:pt>
                <c:pt idx="317">
                  <c:v>1.5518000000000001</c:v>
                </c:pt>
                <c:pt idx="318">
                  <c:v>1.5467</c:v>
                </c:pt>
                <c:pt idx="319">
                  <c:v>1.5538000000000001</c:v>
                </c:pt>
                <c:pt idx="320">
                  <c:v>1.5277000000000001</c:v>
                </c:pt>
                <c:pt idx="321">
                  <c:v>1.5379</c:v>
                </c:pt>
                <c:pt idx="322">
                  <c:v>1.5437000000000001</c:v>
                </c:pt>
                <c:pt idx="323">
                  <c:v>1.5471999999999999</c:v>
                </c:pt>
                <c:pt idx="324">
                  <c:v>1.5449999999999999</c:v>
                </c:pt>
                <c:pt idx="325">
                  <c:v>1.5579000000000001</c:v>
                </c:pt>
                <c:pt idx="326">
                  <c:v>1.5748</c:v>
                </c:pt>
                <c:pt idx="327">
                  <c:v>1.5716000000000001</c:v>
                </c:pt>
                <c:pt idx="328">
                  <c:v>1.5753999999999999</c:v>
                </c:pt>
                <c:pt idx="329">
                  <c:v>1.5527</c:v>
                </c:pt>
                <c:pt idx="330">
                  <c:v>1.5901000000000001</c:v>
                </c:pt>
                <c:pt idx="331">
                  <c:v>1.6160000000000001</c:v>
                </c:pt>
                <c:pt idx="332">
                  <c:v>1.6486000000000001</c:v>
                </c:pt>
                <c:pt idx="333">
                  <c:v>1.6448</c:v>
                </c:pt>
                <c:pt idx="334">
                  <c:v>1.6493</c:v>
                </c:pt>
                <c:pt idx="335">
                  <c:v>1.6748000000000001</c:v>
                </c:pt>
                <c:pt idx="336">
                  <c:v>1.6736</c:v>
                </c:pt>
                <c:pt idx="337">
                  <c:v>1.7841</c:v>
                </c:pt>
                <c:pt idx="338">
                  <c:v>1.7786</c:v>
                </c:pt>
                <c:pt idx="339">
                  <c:v>1.8139000000000001</c:v>
                </c:pt>
                <c:pt idx="340">
                  <c:v>1.8636999999999999</c:v>
                </c:pt>
                <c:pt idx="341">
                  <c:v>1.8937999999999999</c:v>
                </c:pt>
                <c:pt idx="342">
                  <c:v>1.8872</c:v>
                </c:pt>
                <c:pt idx="343">
                  <c:v>1.8889</c:v>
                </c:pt>
                <c:pt idx="344">
                  <c:v>1.9309000000000001</c:v>
                </c:pt>
                <c:pt idx="345">
                  <c:v>1.9424999999999999</c:v>
                </c:pt>
                <c:pt idx="346">
                  <c:v>1.9777</c:v>
                </c:pt>
                <c:pt idx="347">
                  <c:v>1.9763999999999999</c:v>
                </c:pt>
                <c:pt idx="348">
                  <c:v>1.9504999999999999</c:v>
                </c:pt>
                <c:pt idx="349">
                  <c:v>1.9429000000000001</c:v>
                </c:pt>
                <c:pt idx="350">
                  <c:v>1.9363999999999999</c:v>
                </c:pt>
                <c:pt idx="351">
                  <c:v>1.9518</c:v>
                </c:pt>
                <c:pt idx="352">
                  <c:v>1.9979</c:v>
                </c:pt>
                <c:pt idx="353">
                  <c:v>2.0647000000000002</c:v>
                </c:pt>
                <c:pt idx="354">
                  <c:v>2.0487000000000002</c:v>
                </c:pt>
                <c:pt idx="355">
                  <c:v>2.0501999999999998</c:v>
                </c:pt>
                <c:pt idx="356">
                  <c:v>2.0747</c:v>
                </c:pt>
                <c:pt idx="357">
                  <c:v>2.1273</c:v>
                </c:pt>
                <c:pt idx="358">
                  <c:v>2.1347999999999998</c:v>
                </c:pt>
                <c:pt idx="359">
                  <c:v>2.0994000000000002</c:v>
                </c:pt>
                <c:pt idx="360">
                  <c:v>2.0956999999999999</c:v>
                </c:pt>
                <c:pt idx="361">
                  <c:v>2.0474999999999999</c:v>
                </c:pt>
                <c:pt idx="362">
                  <c:v>1.9407000000000001</c:v>
                </c:pt>
                <c:pt idx="363">
                  <c:v>1.9437</c:v>
                </c:pt>
                <c:pt idx="364">
                  <c:v>1.9583999999999999</c:v>
                </c:pt>
                <c:pt idx="365">
                  <c:v>1.8958999999999999</c:v>
                </c:pt>
                <c:pt idx="366">
                  <c:v>1.9875</c:v>
                </c:pt>
                <c:pt idx="367">
                  <c:v>1.9196</c:v>
                </c:pt>
                <c:pt idx="368">
                  <c:v>1.9709000000000001</c:v>
                </c:pt>
                <c:pt idx="369">
                  <c:v>2.0009000000000001</c:v>
                </c:pt>
                <c:pt idx="370">
                  <c:v>1.9964</c:v>
                </c:pt>
                <c:pt idx="371">
                  <c:v>1.9597</c:v>
                </c:pt>
                <c:pt idx="372">
                  <c:v>2.0223</c:v>
                </c:pt>
                <c:pt idx="373">
                  <c:v>1.9611000000000001</c:v>
                </c:pt>
                <c:pt idx="374">
                  <c:v>1.9662999999999999</c:v>
                </c:pt>
                <c:pt idx="375">
                  <c:v>1.9518</c:v>
                </c:pt>
                <c:pt idx="376">
                  <c:v>1.9593</c:v>
                </c:pt>
                <c:pt idx="377">
                  <c:v>1.9621</c:v>
                </c:pt>
                <c:pt idx="378">
                  <c:v>1.97</c:v>
                </c:pt>
                <c:pt idx="379">
                  <c:v>1.9757</c:v>
                </c:pt>
                <c:pt idx="380">
                  <c:v>2.0409000000000002</c:v>
                </c:pt>
                <c:pt idx="381">
                  <c:v>2.0526</c:v>
                </c:pt>
                <c:pt idx="382">
                  <c:v>2.0426000000000002</c:v>
                </c:pt>
                <c:pt idx="383">
                  <c:v>2.0463</c:v>
                </c:pt>
                <c:pt idx="384">
                  <c:v>2.0209000000000001</c:v>
                </c:pt>
                <c:pt idx="385">
                  <c:v>1.9881</c:v>
                </c:pt>
                <c:pt idx="386">
                  <c:v>1.9811000000000001</c:v>
                </c:pt>
                <c:pt idx="387">
                  <c:v>2.0051000000000001</c:v>
                </c:pt>
                <c:pt idx="388">
                  <c:v>1.9902</c:v>
                </c:pt>
                <c:pt idx="389">
                  <c:v>2.0287999999999999</c:v>
                </c:pt>
                <c:pt idx="390">
                  <c:v>2.0743</c:v>
                </c:pt>
                <c:pt idx="391">
                  <c:v>2.0988000000000002</c:v>
                </c:pt>
                <c:pt idx="392">
                  <c:v>2.0762999999999998</c:v>
                </c:pt>
                <c:pt idx="393">
                  <c:v>2.1015000000000001</c:v>
                </c:pt>
                <c:pt idx="394">
                  <c:v>2.1511999999999998</c:v>
                </c:pt>
                <c:pt idx="395">
                  <c:v>2.1513</c:v>
                </c:pt>
                <c:pt idx="396">
                  <c:v>2.1137000000000001</c:v>
                </c:pt>
                <c:pt idx="397">
                  <c:v>2.1269</c:v>
                </c:pt>
                <c:pt idx="398">
                  <c:v>2.1334</c:v>
                </c:pt>
                <c:pt idx="399">
                  <c:v>2.1398999999999999</c:v>
                </c:pt>
                <c:pt idx="400">
                  <c:v>2.161</c:v>
                </c:pt>
                <c:pt idx="401">
                  <c:v>2.093</c:v>
                </c:pt>
                <c:pt idx="402">
                  <c:v>2.1223999999999998</c:v>
                </c:pt>
                <c:pt idx="403">
                  <c:v>2.1536</c:v>
                </c:pt>
                <c:pt idx="404">
                  <c:v>2.1554000000000002</c:v>
                </c:pt>
                <c:pt idx="405">
                  <c:v>2.0979000000000001</c:v>
                </c:pt>
                <c:pt idx="406">
                  <c:v>2.0461999999999998</c:v>
                </c:pt>
                <c:pt idx="407">
                  <c:v>2.0709</c:v>
                </c:pt>
                <c:pt idx="408">
                  <c:v>2.1217000000000001</c:v>
                </c:pt>
                <c:pt idx="409">
                  <c:v>2.1229</c:v>
                </c:pt>
                <c:pt idx="410">
                  <c:v>2.1511999999999998</c:v>
                </c:pt>
                <c:pt idx="411">
                  <c:v>2.1551999999999998</c:v>
                </c:pt>
                <c:pt idx="412">
                  <c:v>2.1368999999999998</c:v>
                </c:pt>
                <c:pt idx="413">
                  <c:v>2.1703999999999999</c:v>
                </c:pt>
                <c:pt idx="414">
                  <c:v>2.1941000000000002</c:v>
                </c:pt>
                <c:pt idx="415">
                  <c:v>2.2018</c:v>
                </c:pt>
                <c:pt idx="416">
                  <c:v>2.2115</c:v>
                </c:pt>
                <c:pt idx="417">
                  <c:v>2.1930999999999998</c:v>
                </c:pt>
                <c:pt idx="418">
                  <c:v>2.2189999999999999</c:v>
                </c:pt>
                <c:pt idx="419">
                  <c:v>2.2025000000000001</c:v>
                </c:pt>
                <c:pt idx="420">
                  <c:v>2.2122000000000002</c:v>
                </c:pt>
                <c:pt idx="421">
                  <c:v>2.1861000000000002</c:v>
                </c:pt>
                <c:pt idx="422">
                  <c:v>2.173</c:v>
                </c:pt>
                <c:pt idx="423">
                  <c:v>2.1728999999999998</c:v>
                </c:pt>
                <c:pt idx="424">
                  <c:v>2.16</c:v>
                </c:pt>
                <c:pt idx="425">
                  <c:v>2.1387999999999998</c:v>
                </c:pt>
                <c:pt idx="426">
                  <c:v>2.1739999999999999</c:v>
                </c:pt>
                <c:pt idx="427">
                  <c:v>2.2031000000000001</c:v>
                </c:pt>
                <c:pt idx="428">
                  <c:v>2.2301000000000002</c:v>
                </c:pt>
                <c:pt idx="429">
                  <c:v>2.2698999999999998</c:v>
                </c:pt>
                <c:pt idx="430">
                  <c:v>2.2799999999999998</c:v>
                </c:pt>
                <c:pt idx="431">
                  <c:v>2.2612000000000001</c:v>
                </c:pt>
                <c:pt idx="432">
                  <c:v>2.2176999999999998</c:v>
                </c:pt>
                <c:pt idx="433">
                  <c:v>2.2414999999999998</c:v>
                </c:pt>
                <c:pt idx="434">
                  <c:v>2.2418</c:v>
                </c:pt>
                <c:pt idx="435">
                  <c:v>2.2675999999999998</c:v>
                </c:pt>
                <c:pt idx="436">
                  <c:v>2.2997999999999998</c:v>
                </c:pt>
                <c:pt idx="437">
                  <c:v>2.2282000000000002</c:v>
                </c:pt>
                <c:pt idx="438">
                  <c:v>2.206</c:v>
                </c:pt>
                <c:pt idx="439">
                  <c:v>2.2551999999999999</c:v>
                </c:pt>
                <c:pt idx="440">
                  <c:v>2.2919999999999998</c:v>
                </c:pt>
                <c:pt idx="441">
                  <c:v>2.2772000000000001</c:v>
                </c:pt>
                <c:pt idx="442">
                  <c:v>2.3016999999999999</c:v>
                </c:pt>
                <c:pt idx="443">
                  <c:v>2.2722000000000002</c:v>
                </c:pt>
                <c:pt idx="444">
                  <c:v>2.2317999999999998</c:v>
                </c:pt>
                <c:pt idx="445">
                  <c:v>2.2345000000000002</c:v>
                </c:pt>
                <c:pt idx="446">
                  <c:v>2.0903</c:v>
                </c:pt>
                <c:pt idx="447">
                  <c:v>2.1103999999999998</c:v>
                </c:pt>
                <c:pt idx="448">
                  <c:v>2.1941000000000002</c:v>
                </c:pt>
                <c:pt idx="449">
                  <c:v>2.2473999999999998</c:v>
                </c:pt>
                <c:pt idx="450">
                  <c:v>2.2612000000000001</c:v>
                </c:pt>
                <c:pt idx="451">
                  <c:v>2.2753999999999999</c:v>
                </c:pt>
                <c:pt idx="452">
                  <c:v>2.2812999999999999</c:v>
                </c:pt>
                <c:pt idx="453">
                  <c:v>2.282</c:v>
                </c:pt>
                <c:pt idx="454">
                  <c:v>2.3250999999999999</c:v>
                </c:pt>
                <c:pt idx="455">
                  <c:v>2.3347000000000002</c:v>
                </c:pt>
                <c:pt idx="456">
                  <c:v>2.2747000000000002</c:v>
                </c:pt>
                <c:pt idx="457">
                  <c:v>2.2707999999999999</c:v>
                </c:pt>
                <c:pt idx="458">
                  <c:v>2.25</c:v>
                </c:pt>
                <c:pt idx="459">
                  <c:v>2.294</c:v>
                </c:pt>
                <c:pt idx="460">
                  <c:v>2.2568999999999999</c:v>
                </c:pt>
                <c:pt idx="461">
                  <c:v>2.2347999999999999</c:v>
                </c:pt>
                <c:pt idx="462">
                  <c:v>2.2679</c:v>
                </c:pt>
                <c:pt idx="463">
                  <c:v>2.3022</c:v>
                </c:pt>
                <c:pt idx="464">
                  <c:v>2.13</c:v>
                </c:pt>
                <c:pt idx="465">
                  <c:v>2.1128999999999998</c:v>
                </c:pt>
                <c:pt idx="466">
                  <c:v>2.0668000000000002</c:v>
                </c:pt>
                <c:pt idx="467">
                  <c:v>2.0396999999999998</c:v>
                </c:pt>
                <c:pt idx="468">
                  <c:v>2.0162</c:v>
                </c:pt>
                <c:pt idx="469">
                  <c:v>1.9524999999999999</c:v>
                </c:pt>
                <c:pt idx="470">
                  <c:v>1.8902000000000001</c:v>
                </c:pt>
                <c:pt idx="471">
                  <c:v>1.9865999999999999</c:v>
                </c:pt>
                <c:pt idx="472">
                  <c:v>2.0575999999999999</c:v>
                </c:pt>
                <c:pt idx="473">
                  <c:v>2.145</c:v>
                </c:pt>
                <c:pt idx="474">
                  <c:v>2.0922999999999998</c:v>
                </c:pt>
                <c:pt idx="475">
                  <c:v>2.1196000000000002</c:v>
                </c:pt>
                <c:pt idx="476">
                  <c:v>2.1537999999999999</c:v>
                </c:pt>
                <c:pt idx="477">
                  <c:v>2.1419000000000001</c:v>
                </c:pt>
                <c:pt idx="478">
                  <c:v>2.1109</c:v>
                </c:pt>
                <c:pt idx="479">
                  <c:v>2.1635</c:v>
                </c:pt>
                <c:pt idx="480">
                  <c:v>2.1539999999999999</c:v>
                </c:pt>
                <c:pt idx="481">
                  <c:v>2.13</c:v>
                </c:pt>
                <c:pt idx="482">
                  <c:v>2.1320999999999999</c:v>
                </c:pt>
                <c:pt idx="483">
                  <c:v>2.0996999999999999</c:v>
                </c:pt>
                <c:pt idx="484">
                  <c:v>2.1539999999999999</c:v>
                </c:pt>
                <c:pt idx="485">
                  <c:v>2.1608999999999998</c:v>
                </c:pt>
                <c:pt idx="486">
                  <c:v>2.1118999999999999</c:v>
                </c:pt>
                <c:pt idx="487">
                  <c:v>2.1438000000000001</c:v>
                </c:pt>
                <c:pt idx="488">
                  <c:v>2.1269</c:v>
                </c:pt>
                <c:pt idx="489">
                  <c:v>2.1156999999999999</c:v>
                </c:pt>
                <c:pt idx="490">
                  <c:v>2.0602999999999998</c:v>
                </c:pt>
                <c:pt idx="491">
                  <c:v>2.0598000000000001</c:v>
                </c:pt>
                <c:pt idx="492">
                  <c:v>2.0836999999999999</c:v>
                </c:pt>
                <c:pt idx="493">
                  <c:v>2.1261000000000001</c:v>
                </c:pt>
                <c:pt idx="494">
                  <c:v>2.1377000000000002</c:v>
                </c:pt>
                <c:pt idx="495">
                  <c:v>2.17</c:v>
                </c:pt>
                <c:pt idx="496">
                  <c:v>2.1475</c:v>
                </c:pt>
                <c:pt idx="497">
                  <c:v>2.1749999999999998</c:v>
                </c:pt>
                <c:pt idx="498">
                  <c:v>2.194</c:v>
                </c:pt>
                <c:pt idx="499">
                  <c:v>2.25</c:v>
                </c:pt>
                <c:pt idx="500">
                  <c:v>2.3085</c:v>
                </c:pt>
                <c:pt idx="501">
                  <c:v>2.3578999999999999</c:v>
                </c:pt>
                <c:pt idx="502">
                  <c:v>2.3081999999999998</c:v>
                </c:pt>
                <c:pt idx="503">
                  <c:v>2.3344</c:v>
                </c:pt>
                <c:pt idx="504">
                  <c:v>2.3662000000000001</c:v>
                </c:pt>
                <c:pt idx="505">
                  <c:v>2.3778999999999999</c:v>
                </c:pt>
                <c:pt idx="506">
                  <c:v>2.3828999999999998</c:v>
                </c:pt>
                <c:pt idx="507">
                  <c:v>2.4055</c:v>
                </c:pt>
                <c:pt idx="508">
                  <c:v>2.3824000000000001</c:v>
                </c:pt>
                <c:pt idx="509">
                  <c:v>2.4251</c:v>
                </c:pt>
                <c:pt idx="510">
                  <c:v>2.4222999999999999</c:v>
                </c:pt>
                <c:pt idx="511">
                  <c:v>2.4176000000000002</c:v>
                </c:pt>
                <c:pt idx="512">
                  <c:v>2.4468999999999999</c:v>
                </c:pt>
                <c:pt idx="513">
                  <c:v>2.419</c:v>
                </c:pt>
                <c:pt idx="514">
                  <c:v>2.4156</c:v>
                </c:pt>
                <c:pt idx="515">
                  <c:v>2.4426999999999999</c:v>
                </c:pt>
                <c:pt idx="516">
                  <c:v>2.4472</c:v>
                </c:pt>
                <c:pt idx="517">
                  <c:v>2.3792</c:v>
                </c:pt>
                <c:pt idx="518">
                  <c:v>2.3589000000000002</c:v>
                </c:pt>
                <c:pt idx="519">
                  <c:v>2.3696999999999999</c:v>
                </c:pt>
                <c:pt idx="520">
                  <c:v>2.4093</c:v>
                </c:pt>
                <c:pt idx="521">
                  <c:v>2.4500999999999999</c:v>
                </c:pt>
                <c:pt idx="522">
                  <c:v>2.3384999999999998</c:v>
                </c:pt>
                <c:pt idx="523">
                  <c:v>2.2926000000000002</c:v>
                </c:pt>
                <c:pt idx="524">
                  <c:v>2.3209</c:v>
                </c:pt>
                <c:pt idx="525">
                  <c:v>2.3222</c:v>
                </c:pt>
                <c:pt idx="526">
                  <c:v>2.3752</c:v>
                </c:pt>
                <c:pt idx="527">
                  <c:v>2.2646000000000002</c:v>
                </c:pt>
                <c:pt idx="528">
                  <c:v>2.2806000000000002</c:v>
                </c:pt>
                <c:pt idx="529">
                  <c:v>2.2685</c:v>
                </c:pt>
                <c:pt idx="530">
                  <c:v>2.2761999999999998</c:v>
                </c:pt>
                <c:pt idx="531">
                  <c:v>2.2936000000000001</c:v>
                </c:pt>
                <c:pt idx="532">
                  <c:v>2.2305000000000001</c:v>
                </c:pt>
                <c:pt idx="533">
                  <c:v>2.2427000000000001</c:v>
                </c:pt>
                <c:pt idx="534">
                  <c:v>2.1568999999999998</c:v>
                </c:pt>
                <c:pt idx="535">
                  <c:v>2.2033</c:v>
                </c:pt>
                <c:pt idx="536">
                  <c:v>2.2783000000000002</c:v>
                </c:pt>
                <c:pt idx="537">
                  <c:v>2.2658999999999998</c:v>
                </c:pt>
                <c:pt idx="538">
                  <c:v>1.9811000000000001</c:v>
                </c:pt>
                <c:pt idx="539">
                  <c:v>2.0329999999999999</c:v>
                </c:pt>
                <c:pt idx="540">
                  <c:v>1.9400999999999999</c:v>
                </c:pt>
                <c:pt idx="541">
                  <c:v>1.9511000000000001</c:v>
                </c:pt>
                <c:pt idx="542">
                  <c:v>1.9677</c:v>
                </c:pt>
                <c:pt idx="543">
                  <c:v>1.9529000000000001</c:v>
                </c:pt>
                <c:pt idx="544">
                  <c:v>2.0432999999999999</c:v>
                </c:pt>
                <c:pt idx="545">
                  <c:v>2.1</c:v>
                </c:pt>
                <c:pt idx="546">
                  <c:v>2.1484999999999999</c:v>
                </c:pt>
                <c:pt idx="547">
                  <c:v>2.1284000000000001</c:v>
                </c:pt>
                <c:pt idx="548">
                  <c:v>2.1372</c:v>
                </c:pt>
                <c:pt idx="549">
                  <c:v>2.1164999999999998</c:v>
                </c:pt>
                <c:pt idx="550">
                  <c:v>2.1107999999999998</c:v>
                </c:pt>
                <c:pt idx="551">
                  <c:v>2.1122999999999998</c:v>
                </c:pt>
                <c:pt idx="552">
                  <c:v>2.1644000000000001</c:v>
                </c:pt>
                <c:pt idx="553">
                  <c:v>2.1126</c:v>
                </c:pt>
                <c:pt idx="554">
                  <c:v>2.0785999999999998</c:v>
                </c:pt>
                <c:pt idx="555">
                  <c:v>2.1448</c:v>
                </c:pt>
                <c:pt idx="556">
                  <c:v>2.165</c:v>
                </c:pt>
                <c:pt idx="557">
                  <c:v>2.2033</c:v>
                </c:pt>
                <c:pt idx="558">
                  <c:v>2.2303999999999999</c:v>
                </c:pt>
                <c:pt idx="559">
                  <c:v>2.246</c:v>
                </c:pt>
                <c:pt idx="560">
                  <c:v>2.2665999999999999</c:v>
                </c:pt>
                <c:pt idx="561">
                  <c:v>2.2913999999999999</c:v>
                </c:pt>
                <c:pt idx="562">
                  <c:v>2.2246000000000001</c:v>
                </c:pt>
                <c:pt idx="563">
                  <c:v>2.2565</c:v>
                </c:pt>
                <c:pt idx="564">
                  <c:v>2.2763</c:v>
                </c:pt>
                <c:pt idx="565">
                  <c:v>2.2921</c:v>
                </c:pt>
                <c:pt idx="566">
                  <c:v>2.3043</c:v>
                </c:pt>
                <c:pt idx="567">
                  <c:v>2.2989000000000002</c:v>
                </c:pt>
                <c:pt idx="568">
                  <c:v>2.2753999999999999</c:v>
                </c:pt>
                <c:pt idx="569">
                  <c:v>2.3574000000000002</c:v>
                </c:pt>
                <c:pt idx="570">
                  <c:v>2.3908</c:v>
                </c:pt>
                <c:pt idx="571">
                  <c:v>2.3877000000000002</c:v>
                </c:pt>
                <c:pt idx="572">
                  <c:v>2.4237000000000002</c:v>
                </c:pt>
                <c:pt idx="573">
                  <c:v>2.4386999999999999</c:v>
                </c:pt>
                <c:pt idx="574">
                  <c:v>2.4615</c:v>
                </c:pt>
                <c:pt idx="575">
                  <c:v>2.4662000000000002</c:v>
                </c:pt>
                <c:pt idx="576">
                  <c:v>2.4464999999999999</c:v>
                </c:pt>
                <c:pt idx="577">
                  <c:v>2.4020999999999999</c:v>
                </c:pt>
                <c:pt idx="578">
                  <c:v>2.4626000000000001</c:v>
                </c:pt>
                <c:pt idx="579">
                  <c:v>2.5232000000000001</c:v>
                </c:pt>
                <c:pt idx="580">
                  <c:v>2.5209999999999999</c:v>
                </c:pt>
                <c:pt idx="581">
                  <c:v>2.5379</c:v>
                </c:pt>
                <c:pt idx="582">
                  <c:v>2.5543999999999998</c:v>
                </c:pt>
                <c:pt idx="583">
                  <c:v>2.5752000000000002</c:v>
                </c:pt>
                <c:pt idx="584">
                  <c:v>2.6070000000000002</c:v>
                </c:pt>
                <c:pt idx="585">
                  <c:v>2.6427</c:v>
                </c:pt>
                <c:pt idx="586">
                  <c:v>2.6785000000000001</c:v>
                </c:pt>
                <c:pt idx="587">
                  <c:v>2.6852999999999998</c:v>
                </c:pt>
                <c:pt idx="588">
                  <c:v>2.6251000000000002</c:v>
                </c:pt>
                <c:pt idx="589">
                  <c:v>2.6534</c:v>
                </c:pt>
                <c:pt idx="590">
                  <c:v>2.6654</c:v>
                </c:pt>
                <c:pt idx="591">
                  <c:v>2.7385999999999999</c:v>
                </c:pt>
                <c:pt idx="592">
                  <c:v>2.9068000000000001</c:v>
                </c:pt>
                <c:pt idx="593">
                  <c:v>2.8094999999999999</c:v>
                </c:pt>
                <c:pt idx="594">
                  <c:v>2.8283</c:v>
                </c:pt>
                <c:pt idx="595">
                  <c:v>2.7959999999999998</c:v>
                </c:pt>
                <c:pt idx="596">
                  <c:v>2.8119000000000001</c:v>
                </c:pt>
                <c:pt idx="597">
                  <c:v>2.8542999999999998</c:v>
                </c:pt>
                <c:pt idx="598">
                  <c:v>2.8759999999999999</c:v>
                </c:pt>
                <c:pt idx="599">
                  <c:v>2.9165000000000001</c:v>
                </c:pt>
                <c:pt idx="600">
                  <c:v>2.8740999999999999</c:v>
                </c:pt>
                <c:pt idx="601">
                  <c:v>2.9325000000000001</c:v>
                </c:pt>
                <c:pt idx="602">
                  <c:v>3.0886999999999998</c:v>
                </c:pt>
                <c:pt idx="603">
                  <c:v>3.3083</c:v>
                </c:pt>
                <c:pt idx="604">
                  <c:v>3.2844000000000002</c:v>
                </c:pt>
                <c:pt idx="605">
                  <c:v>3.544</c:v>
                </c:pt>
                <c:pt idx="606">
                  <c:v>3.5720999999999998</c:v>
                </c:pt>
                <c:pt idx="607">
                  <c:v>3.6825999999999999</c:v>
                </c:pt>
                <c:pt idx="608">
                  <c:v>3.2938000000000001</c:v>
                </c:pt>
                <c:pt idx="609">
                  <c:v>3.1566999999999998</c:v>
                </c:pt>
                <c:pt idx="610">
                  <c:v>3.3121</c:v>
                </c:pt>
                <c:pt idx="611">
                  <c:v>3.1339000000000001</c:v>
                </c:pt>
                <c:pt idx="612">
                  <c:v>2.9657</c:v>
                </c:pt>
                <c:pt idx="613">
                  <c:v>2.952</c:v>
                </c:pt>
                <c:pt idx="614">
                  <c:v>3.1821999999999999</c:v>
                </c:pt>
                <c:pt idx="615">
                  <c:v>3.2059000000000002</c:v>
                </c:pt>
                <c:pt idx="616">
                  <c:v>3.3378999999999999</c:v>
                </c:pt>
                <c:pt idx="617">
                  <c:v>3.3046000000000002</c:v>
                </c:pt>
                <c:pt idx="618">
                  <c:v>3.4195000000000002</c:v>
                </c:pt>
                <c:pt idx="619">
                  <c:v>3.3689</c:v>
                </c:pt>
                <c:pt idx="620">
                  <c:v>3.4363000000000001</c:v>
                </c:pt>
                <c:pt idx="621">
                  <c:v>3.1962000000000002</c:v>
                </c:pt>
                <c:pt idx="622">
                  <c:v>3.1766999999999999</c:v>
                </c:pt>
                <c:pt idx="623">
                  <c:v>3.2864</c:v>
                </c:pt>
                <c:pt idx="624">
                  <c:v>3.1509</c:v>
                </c:pt>
                <c:pt idx="625">
                  <c:v>3.1535000000000002</c:v>
                </c:pt>
                <c:pt idx="626">
                  <c:v>3.1981000000000002</c:v>
                </c:pt>
                <c:pt idx="627">
                  <c:v>3.1648999999999998</c:v>
                </c:pt>
                <c:pt idx="628">
                  <c:v>3.0461999999999998</c:v>
                </c:pt>
                <c:pt idx="629">
                  <c:v>3.0398000000000001</c:v>
                </c:pt>
                <c:pt idx="630">
                  <c:v>3.1316000000000002</c:v>
                </c:pt>
                <c:pt idx="631">
                  <c:v>3.0030999999999999</c:v>
                </c:pt>
                <c:pt idx="632">
                  <c:v>3.1537999999999999</c:v>
                </c:pt>
                <c:pt idx="633">
                  <c:v>3.2913000000000001</c:v>
                </c:pt>
                <c:pt idx="634">
                  <c:v>3.3814000000000002</c:v>
                </c:pt>
                <c:pt idx="635">
                  <c:v>3.3580000000000001</c:v>
                </c:pt>
                <c:pt idx="636">
                  <c:v>3.2288999999999999</c:v>
                </c:pt>
                <c:pt idx="637">
                  <c:v>3.2618</c:v>
                </c:pt>
                <c:pt idx="638">
                  <c:v>3.3174999999999999</c:v>
                </c:pt>
                <c:pt idx="639">
                  <c:v>3.286</c:v>
                </c:pt>
                <c:pt idx="640">
                  <c:v>3.2206000000000001</c:v>
                </c:pt>
                <c:pt idx="641">
                  <c:v>3.3109999999999999</c:v>
                </c:pt>
                <c:pt idx="642">
                  <c:v>3.4135</c:v>
                </c:pt>
                <c:pt idx="643">
                  <c:v>3.4759000000000002</c:v>
                </c:pt>
                <c:pt idx="644">
                  <c:v>3.4424000000000001</c:v>
                </c:pt>
                <c:pt idx="645">
                  <c:v>3.5101</c:v>
                </c:pt>
                <c:pt idx="646">
                  <c:v>3.5011999999999999</c:v>
                </c:pt>
                <c:pt idx="647">
                  <c:v>3.6522999999999999</c:v>
                </c:pt>
                <c:pt idx="648">
                  <c:v>3.6587000000000001</c:v>
                </c:pt>
                <c:pt idx="649">
                  <c:v>3.7589999999999999</c:v>
                </c:pt>
                <c:pt idx="650">
                  <c:v>3.6419000000000001</c:v>
                </c:pt>
                <c:pt idx="651">
                  <c:v>3.5415000000000001</c:v>
                </c:pt>
                <c:pt idx="652">
                  <c:v>3.6855000000000002</c:v>
                </c:pt>
                <c:pt idx="653">
                  <c:v>3.7917000000000001</c:v>
                </c:pt>
                <c:pt idx="654">
                  <c:v>3.9578000000000002</c:v>
                </c:pt>
                <c:pt idx="655">
                  <c:v>3.8405</c:v>
                </c:pt>
                <c:pt idx="656">
                  <c:v>3.7763</c:v>
                </c:pt>
                <c:pt idx="657">
                  <c:v>3.5912999999999999</c:v>
                </c:pt>
                <c:pt idx="658">
                  <c:v>3.6776</c:v>
                </c:pt>
                <c:pt idx="659">
                  <c:v>3.6897000000000002</c:v>
                </c:pt>
                <c:pt idx="660">
                  <c:v>3.6802000000000001</c:v>
                </c:pt>
                <c:pt idx="661">
                  <c:v>3.6897000000000002</c:v>
                </c:pt>
                <c:pt idx="662">
                  <c:v>3.7252999999999998</c:v>
                </c:pt>
                <c:pt idx="663">
                  <c:v>3.7924000000000002</c:v>
                </c:pt>
                <c:pt idx="664">
                  <c:v>3.9119000000000002</c:v>
                </c:pt>
                <c:pt idx="665">
                  <c:v>3.9161999999999999</c:v>
                </c:pt>
                <c:pt idx="666">
                  <c:v>4.0716000000000001</c:v>
                </c:pt>
                <c:pt idx="667">
                  <c:v>4.1909000000000001</c:v>
                </c:pt>
                <c:pt idx="668">
                  <c:v>4.2522000000000002</c:v>
                </c:pt>
                <c:pt idx="669">
                  <c:v>4.1929999999999996</c:v>
                </c:pt>
                <c:pt idx="670">
                  <c:v>4.1577000000000002</c:v>
                </c:pt>
                <c:pt idx="671">
                  <c:v>4.2218999999999998</c:v>
                </c:pt>
                <c:pt idx="672">
                  <c:v>4.2762000000000002</c:v>
                </c:pt>
                <c:pt idx="673">
                  <c:v>4.1722000000000001</c:v>
                </c:pt>
                <c:pt idx="674">
                  <c:v>4.0353000000000003</c:v>
                </c:pt>
                <c:pt idx="675">
                  <c:v>3.9937999999999998</c:v>
                </c:pt>
                <c:pt idx="676">
                  <c:v>3.8942000000000001</c:v>
                </c:pt>
                <c:pt idx="677">
                  <c:v>3.9558</c:v>
                </c:pt>
                <c:pt idx="678">
                  <c:v>3.7930000000000001</c:v>
                </c:pt>
                <c:pt idx="679">
                  <c:v>3.69</c:v>
                </c:pt>
                <c:pt idx="680">
                  <c:v>3.7298</c:v>
                </c:pt>
                <c:pt idx="681">
                  <c:v>3.661</c:v>
                </c:pt>
                <c:pt idx="682">
                  <c:v>3.72</c:v>
                </c:pt>
                <c:pt idx="683">
                  <c:v>3.73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ECF-431E-B267-91D70DB3DC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6230856"/>
        <c:axId val="406231184"/>
      </c:lineChart>
      <c:catAx>
        <c:axId val="4062308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6231184"/>
        <c:crosses val="autoZero"/>
        <c:auto val="1"/>
        <c:lblAlgn val="ctr"/>
        <c:lblOffset val="100"/>
        <c:noMultiLvlLbl val="0"/>
      </c:catAx>
      <c:valAx>
        <c:axId val="406231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&quot;$&quot;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62308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[Foley_FinalProject_Completed.xlsm]GasPrice at Pump!crudeGasRetail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WholesaleGas to Retail</a:t>
            </a:r>
            <a:r>
              <a:rPr lang="en-US" baseline="0"/>
              <a:t> Comparison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'GasPrice at Pump'!$K$1</c:f>
              <c:strCache>
                <c:ptCount val="1"/>
                <c:pt idx="0">
                  <c:v>WholeSaleGas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'GasPrice at Pump'!$J$2:$J$685</c:f>
              <c:strCache>
                <c:ptCount val="684"/>
                <c:pt idx="0">
                  <c:v>10/31/2019</c:v>
                </c:pt>
                <c:pt idx="1">
                  <c:v>11/1/2019</c:v>
                </c:pt>
                <c:pt idx="2">
                  <c:v>11/4/2019</c:v>
                </c:pt>
                <c:pt idx="3">
                  <c:v>11/5/2019</c:v>
                </c:pt>
                <c:pt idx="4">
                  <c:v>11/6/2019</c:v>
                </c:pt>
                <c:pt idx="5">
                  <c:v>11/7/2019</c:v>
                </c:pt>
                <c:pt idx="6">
                  <c:v>11/8/2019</c:v>
                </c:pt>
                <c:pt idx="7">
                  <c:v>11/11/2019</c:v>
                </c:pt>
                <c:pt idx="8">
                  <c:v>11/12/2019</c:v>
                </c:pt>
                <c:pt idx="9">
                  <c:v>11/13/2019</c:v>
                </c:pt>
                <c:pt idx="10">
                  <c:v>11/14/2019</c:v>
                </c:pt>
                <c:pt idx="11">
                  <c:v>11/15/2019</c:v>
                </c:pt>
                <c:pt idx="12">
                  <c:v>11/18/2019</c:v>
                </c:pt>
                <c:pt idx="13">
                  <c:v>11/19/2019</c:v>
                </c:pt>
                <c:pt idx="14">
                  <c:v>11/20/2019</c:v>
                </c:pt>
                <c:pt idx="15">
                  <c:v>11/21/2019</c:v>
                </c:pt>
                <c:pt idx="16">
                  <c:v>11/22/2019</c:v>
                </c:pt>
                <c:pt idx="17">
                  <c:v>11/25/2019</c:v>
                </c:pt>
                <c:pt idx="18">
                  <c:v>11/26/2019</c:v>
                </c:pt>
                <c:pt idx="19">
                  <c:v>11/27/2019</c:v>
                </c:pt>
                <c:pt idx="20">
                  <c:v>11/28/2019</c:v>
                </c:pt>
                <c:pt idx="21">
                  <c:v>11/29/2019</c:v>
                </c:pt>
                <c:pt idx="22">
                  <c:v>12/2/2019</c:v>
                </c:pt>
                <c:pt idx="23">
                  <c:v>12/3/2019</c:v>
                </c:pt>
                <c:pt idx="24">
                  <c:v>12/4/2019</c:v>
                </c:pt>
                <c:pt idx="25">
                  <c:v>12/5/2019</c:v>
                </c:pt>
                <c:pt idx="26">
                  <c:v>12/6/2019</c:v>
                </c:pt>
                <c:pt idx="27">
                  <c:v>12/9/2019</c:v>
                </c:pt>
                <c:pt idx="28">
                  <c:v>12/10/2019</c:v>
                </c:pt>
                <c:pt idx="29">
                  <c:v>12/11/2019</c:v>
                </c:pt>
                <c:pt idx="30">
                  <c:v>12/12/2019</c:v>
                </c:pt>
                <c:pt idx="31">
                  <c:v>12/13/2019</c:v>
                </c:pt>
                <c:pt idx="32">
                  <c:v>12/16/2019</c:v>
                </c:pt>
                <c:pt idx="33">
                  <c:v>12/17/2019</c:v>
                </c:pt>
                <c:pt idx="34">
                  <c:v>12/18/2019</c:v>
                </c:pt>
                <c:pt idx="35">
                  <c:v>12/19/2019</c:v>
                </c:pt>
                <c:pt idx="36">
                  <c:v>12/20/2019</c:v>
                </c:pt>
                <c:pt idx="37">
                  <c:v>12/23/2019</c:v>
                </c:pt>
                <c:pt idx="38">
                  <c:v>12/24/2019</c:v>
                </c:pt>
                <c:pt idx="39">
                  <c:v>12/26/2019</c:v>
                </c:pt>
                <c:pt idx="40">
                  <c:v>12/27/2019</c:v>
                </c:pt>
                <c:pt idx="41">
                  <c:v>12/30/2019</c:v>
                </c:pt>
                <c:pt idx="42">
                  <c:v>12/31/2019</c:v>
                </c:pt>
                <c:pt idx="43">
                  <c:v>1/2/2020</c:v>
                </c:pt>
                <c:pt idx="44">
                  <c:v>1/3/2020</c:v>
                </c:pt>
                <c:pt idx="45">
                  <c:v>1/6/2020</c:v>
                </c:pt>
                <c:pt idx="46">
                  <c:v>1/7/2020</c:v>
                </c:pt>
                <c:pt idx="47">
                  <c:v>1/8/2020</c:v>
                </c:pt>
                <c:pt idx="48">
                  <c:v>1/9/2020</c:v>
                </c:pt>
                <c:pt idx="49">
                  <c:v>1/10/2020</c:v>
                </c:pt>
                <c:pt idx="50">
                  <c:v>1/13/2020</c:v>
                </c:pt>
                <c:pt idx="51">
                  <c:v>1/14/2020</c:v>
                </c:pt>
                <c:pt idx="52">
                  <c:v>1/15/2020</c:v>
                </c:pt>
                <c:pt idx="53">
                  <c:v>1/16/2020</c:v>
                </c:pt>
                <c:pt idx="54">
                  <c:v>1/17/2020</c:v>
                </c:pt>
                <c:pt idx="55">
                  <c:v>1/20/2020</c:v>
                </c:pt>
                <c:pt idx="56">
                  <c:v>1/21/2020</c:v>
                </c:pt>
                <c:pt idx="57">
                  <c:v>1/22/2020</c:v>
                </c:pt>
                <c:pt idx="58">
                  <c:v>1/23/2020</c:v>
                </c:pt>
                <c:pt idx="59">
                  <c:v>1/24/2020</c:v>
                </c:pt>
                <c:pt idx="60">
                  <c:v>1/27/2020</c:v>
                </c:pt>
                <c:pt idx="61">
                  <c:v>1/28/2020</c:v>
                </c:pt>
                <c:pt idx="62">
                  <c:v>1/29/2020</c:v>
                </c:pt>
                <c:pt idx="63">
                  <c:v>1/30/2020</c:v>
                </c:pt>
                <c:pt idx="64">
                  <c:v>1/31/2020</c:v>
                </c:pt>
                <c:pt idx="65">
                  <c:v>2/3/2020</c:v>
                </c:pt>
                <c:pt idx="66">
                  <c:v>2/4/2020</c:v>
                </c:pt>
                <c:pt idx="67">
                  <c:v>2/5/2020</c:v>
                </c:pt>
                <c:pt idx="68">
                  <c:v>2/6/2020</c:v>
                </c:pt>
                <c:pt idx="69">
                  <c:v>2/7/2020</c:v>
                </c:pt>
                <c:pt idx="70">
                  <c:v>2/10/2020</c:v>
                </c:pt>
                <c:pt idx="71">
                  <c:v>2/11/2020</c:v>
                </c:pt>
                <c:pt idx="72">
                  <c:v>2/12/2020</c:v>
                </c:pt>
                <c:pt idx="73">
                  <c:v>2/13/2020</c:v>
                </c:pt>
                <c:pt idx="74">
                  <c:v>2/14/2020</c:v>
                </c:pt>
                <c:pt idx="75">
                  <c:v>2/17/2020</c:v>
                </c:pt>
                <c:pt idx="76">
                  <c:v>2/18/2020</c:v>
                </c:pt>
                <c:pt idx="77">
                  <c:v>2/19/2020</c:v>
                </c:pt>
                <c:pt idx="78">
                  <c:v>2/20/2020</c:v>
                </c:pt>
                <c:pt idx="79">
                  <c:v>2/21/2020</c:v>
                </c:pt>
                <c:pt idx="80">
                  <c:v>2/24/2020</c:v>
                </c:pt>
                <c:pt idx="81">
                  <c:v>2/25/2020</c:v>
                </c:pt>
                <c:pt idx="82">
                  <c:v>2/26/2020</c:v>
                </c:pt>
                <c:pt idx="83">
                  <c:v>2/27/2020</c:v>
                </c:pt>
                <c:pt idx="84">
                  <c:v>2/28/2020</c:v>
                </c:pt>
                <c:pt idx="85">
                  <c:v>3/2/2020</c:v>
                </c:pt>
                <c:pt idx="86">
                  <c:v>3/3/2020</c:v>
                </c:pt>
                <c:pt idx="87">
                  <c:v>3/4/2020</c:v>
                </c:pt>
                <c:pt idx="88">
                  <c:v>3/5/2020</c:v>
                </c:pt>
                <c:pt idx="89">
                  <c:v>3/6/2020</c:v>
                </c:pt>
                <c:pt idx="90">
                  <c:v>3/9/2020</c:v>
                </c:pt>
                <c:pt idx="91">
                  <c:v>3/10/2020</c:v>
                </c:pt>
                <c:pt idx="92">
                  <c:v>3/11/2020</c:v>
                </c:pt>
                <c:pt idx="93">
                  <c:v>3/12/2020</c:v>
                </c:pt>
                <c:pt idx="94">
                  <c:v>3/13/2020</c:v>
                </c:pt>
                <c:pt idx="95">
                  <c:v>3/16/2020</c:v>
                </c:pt>
                <c:pt idx="96">
                  <c:v>3/17/2020</c:v>
                </c:pt>
                <c:pt idx="97">
                  <c:v>3/18/2020</c:v>
                </c:pt>
                <c:pt idx="98">
                  <c:v>3/19/2020</c:v>
                </c:pt>
                <c:pt idx="99">
                  <c:v>3/20/2020</c:v>
                </c:pt>
                <c:pt idx="100">
                  <c:v>3/23/2020</c:v>
                </c:pt>
                <c:pt idx="101">
                  <c:v>3/24/2020</c:v>
                </c:pt>
                <c:pt idx="102">
                  <c:v>3/25/2020</c:v>
                </c:pt>
                <c:pt idx="103">
                  <c:v>3/26/2020</c:v>
                </c:pt>
                <c:pt idx="104">
                  <c:v>3/27/2020</c:v>
                </c:pt>
                <c:pt idx="105">
                  <c:v>3/30/2020</c:v>
                </c:pt>
                <c:pt idx="106">
                  <c:v>3/31/2020</c:v>
                </c:pt>
                <c:pt idx="107">
                  <c:v>4/1/2020</c:v>
                </c:pt>
                <c:pt idx="108">
                  <c:v>4/2/2020</c:v>
                </c:pt>
                <c:pt idx="109">
                  <c:v>4/3/2020</c:v>
                </c:pt>
                <c:pt idx="110">
                  <c:v>4/6/2020</c:v>
                </c:pt>
                <c:pt idx="111">
                  <c:v>4/7/2020</c:v>
                </c:pt>
                <c:pt idx="112">
                  <c:v>4/8/2020</c:v>
                </c:pt>
                <c:pt idx="113">
                  <c:v>4/9/2020</c:v>
                </c:pt>
                <c:pt idx="114">
                  <c:v>4/13/2020</c:v>
                </c:pt>
                <c:pt idx="115">
                  <c:v>4/14/2020</c:v>
                </c:pt>
                <c:pt idx="116">
                  <c:v>4/15/2020</c:v>
                </c:pt>
                <c:pt idx="117">
                  <c:v>4/16/2020</c:v>
                </c:pt>
                <c:pt idx="118">
                  <c:v>4/17/2020</c:v>
                </c:pt>
                <c:pt idx="119">
                  <c:v>4/20/2020</c:v>
                </c:pt>
                <c:pt idx="120">
                  <c:v>4/21/2020</c:v>
                </c:pt>
                <c:pt idx="121">
                  <c:v>4/22/2020</c:v>
                </c:pt>
                <c:pt idx="122">
                  <c:v>4/23/2020</c:v>
                </c:pt>
                <c:pt idx="123">
                  <c:v>4/24/2020</c:v>
                </c:pt>
                <c:pt idx="124">
                  <c:v>4/27/2020</c:v>
                </c:pt>
                <c:pt idx="125">
                  <c:v>4/28/2020</c:v>
                </c:pt>
                <c:pt idx="126">
                  <c:v>4/29/2020</c:v>
                </c:pt>
                <c:pt idx="127">
                  <c:v>4/30/2020</c:v>
                </c:pt>
                <c:pt idx="128">
                  <c:v>5/1/2020</c:v>
                </c:pt>
                <c:pt idx="129">
                  <c:v>5/4/2020</c:v>
                </c:pt>
                <c:pt idx="130">
                  <c:v>5/5/2020</c:v>
                </c:pt>
                <c:pt idx="131">
                  <c:v>5/6/2020</c:v>
                </c:pt>
                <c:pt idx="132">
                  <c:v>5/7/2020</c:v>
                </c:pt>
                <c:pt idx="133">
                  <c:v>5/8/2020</c:v>
                </c:pt>
                <c:pt idx="134">
                  <c:v>5/11/2020</c:v>
                </c:pt>
                <c:pt idx="135">
                  <c:v>5/12/2020</c:v>
                </c:pt>
                <c:pt idx="136">
                  <c:v>5/13/2020</c:v>
                </c:pt>
                <c:pt idx="137">
                  <c:v>5/14/2020</c:v>
                </c:pt>
                <c:pt idx="138">
                  <c:v>5/15/2020</c:v>
                </c:pt>
                <c:pt idx="139">
                  <c:v>5/18/2020</c:v>
                </c:pt>
                <c:pt idx="140">
                  <c:v>5/19/2020</c:v>
                </c:pt>
                <c:pt idx="141">
                  <c:v>5/20/2020</c:v>
                </c:pt>
                <c:pt idx="142">
                  <c:v>5/21/2020</c:v>
                </c:pt>
                <c:pt idx="143">
                  <c:v>5/22/2020</c:v>
                </c:pt>
                <c:pt idx="144">
                  <c:v>5/26/2020</c:v>
                </c:pt>
                <c:pt idx="145">
                  <c:v>5/27/2020</c:v>
                </c:pt>
                <c:pt idx="146">
                  <c:v>5/28/2020</c:v>
                </c:pt>
                <c:pt idx="147">
                  <c:v>5/29/2020</c:v>
                </c:pt>
                <c:pt idx="148">
                  <c:v>6/1/2020</c:v>
                </c:pt>
                <c:pt idx="149">
                  <c:v>6/2/2020</c:v>
                </c:pt>
                <c:pt idx="150">
                  <c:v>6/3/2020</c:v>
                </c:pt>
                <c:pt idx="151">
                  <c:v>6/4/2020</c:v>
                </c:pt>
                <c:pt idx="152">
                  <c:v>6/5/2020</c:v>
                </c:pt>
                <c:pt idx="153">
                  <c:v>6/8/2020</c:v>
                </c:pt>
                <c:pt idx="154">
                  <c:v>6/9/2020</c:v>
                </c:pt>
                <c:pt idx="155">
                  <c:v>6/10/2020</c:v>
                </c:pt>
                <c:pt idx="156">
                  <c:v>6/11/2020</c:v>
                </c:pt>
                <c:pt idx="157">
                  <c:v>6/12/2020</c:v>
                </c:pt>
                <c:pt idx="158">
                  <c:v>6/15/2020</c:v>
                </c:pt>
                <c:pt idx="159">
                  <c:v>6/16/2020</c:v>
                </c:pt>
                <c:pt idx="160">
                  <c:v>6/17/2020</c:v>
                </c:pt>
                <c:pt idx="161">
                  <c:v>6/18/2020</c:v>
                </c:pt>
                <c:pt idx="162">
                  <c:v>6/19/2020</c:v>
                </c:pt>
                <c:pt idx="163">
                  <c:v>6/22/2020</c:v>
                </c:pt>
                <c:pt idx="164">
                  <c:v>6/23/2020</c:v>
                </c:pt>
                <c:pt idx="165">
                  <c:v>6/24/2020</c:v>
                </c:pt>
                <c:pt idx="166">
                  <c:v>6/25/2020</c:v>
                </c:pt>
                <c:pt idx="167">
                  <c:v>6/26/2020</c:v>
                </c:pt>
                <c:pt idx="168">
                  <c:v>6/29/2020</c:v>
                </c:pt>
                <c:pt idx="169">
                  <c:v>6/30/2020</c:v>
                </c:pt>
                <c:pt idx="170">
                  <c:v>7/1/2020</c:v>
                </c:pt>
                <c:pt idx="171">
                  <c:v>7/2/2020</c:v>
                </c:pt>
                <c:pt idx="172">
                  <c:v>7/3/2020</c:v>
                </c:pt>
                <c:pt idx="173">
                  <c:v>7/6/2020</c:v>
                </c:pt>
                <c:pt idx="174">
                  <c:v>7/7/2020</c:v>
                </c:pt>
                <c:pt idx="175">
                  <c:v>7/8/2020</c:v>
                </c:pt>
                <c:pt idx="176">
                  <c:v>7/9/2020</c:v>
                </c:pt>
                <c:pt idx="177">
                  <c:v>7/10/2020</c:v>
                </c:pt>
                <c:pt idx="178">
                  <c:v>7/13/2020</c:v>
                </c:pt>
                <c:pt idx="179">
                  <c:v>7/14/2020</c:v>
                </c:pt>
                <c:pt idx="180">
                  <c:v>7/15/2020</c:v>
                </c:pt>
                <c:pt idx="181">
                  <c:v>7/16/2020</c:v>
                </c:pt>
                <c:pt idx="182">
                  <c:v>7/17/2020</c:v>
                </c:pt>
                <c:pt idx="183">
                  <c:v>7/20/2020</c:v>
                </c:pt>
                <c:pt idx="184">
                  <c:v>7/21/2020</c:v>
                </c:pt>
                <c:pt idx="185">
                  <c:v>7/22/2020</c:v>
                </c:pt>
                <c:pt idx="186">
                  <c:v>7/23/2020</c:v>
                </c:pt>
                <c:pt idx="187">
                  <c:v>7/24/2020</c:v>
                </c:pt>
                <c:pt idx="188">
                  <c:v>7/27/2020</c:v>
                </c:pt>
                <c:pt idx="189">
                  <c:v>7/28/2020</c:v>
                </c:pt>
                <c:pt idx="190">
                  <c:v>7/29/2020</c:v>
                </c:pt>
                <c:pt idx="191">
                  <c:v>7/30/2020</c:v>
                </c:pt>
                <c:pt idx="192">
                  <c:v>7/31/2020</c:v>
                </c:pt>
                <c:pt idx="193">
                  <c:v>8/3/2020</c:v>
                </c:pt>
                <c:pt idx="194">
                  <c:v>8/4/2020</c:v>
                </c:pt>
                <c:pt idx="195">
                  <c:v>8/5/2020</c:v>
                </c:pt>
                <c:pt idx="196">
                  <c:v>8/6/2020</c:v>
                </c:pt>
                <c:pt idx="197">
                  <c:v>8/7/2020</c:v>
                </c:pt>
                <c:pt idx="198">
                  <c:v>8/10/2020</c:v>
                </c:pt>
                <c:pt idx="199">
                  <c:v>8/11/2020</c:v>
                </c:pt>
                <c:pt idx="200">
                  <c:v>8/12/2020</c:v>
                </c:pt>
                <c:pt idx="201">
                  <c:v>8/13/2020</c:v>
                </c:pt>
                <c:pt idx="202">
                  <c:v>8/14/2020</c:v>
                </c:pt>
                <c:pt idx="203">
                  <c:v>8/17/2020</c:v>
                </c:pt>
                <c:pt idx="204">
                  <c:v>8/18/2020</c:v>
                </c:pt>
                <c:pt idx="205">
                  <c:v>8/19/2020</c:v>
                </c:pt>
                <c:pt idx="206">
                  <c:v>8/20/2020</c:v>
                </c:pt>
                <c:pt idx="207">
                  <c:v>8/21/2020</c:v>
                </c:pt>
                <c:pt idx="208">
                  <c:v>8/24/2020</c:v>
                </c:pt>
                <c:pt idx="209">
                  <c:v>8/25/2020</c:v>
                </c:pt>
                <c:pt idx="210">
                  <c:v>8/26/2020</c:v>
                </c:pt>
                <c:pt idx="211">
                  <c:v>8/27/2020</c:v>
                </c:pt>
                <c:pt idx="212">
                  <c:v>8/28/2020</c:v>
                </c:pt>
                <c:pt idx="213">
                  <c:v>8/31/2020</c:v>
                </c:pt>
                <c:pt idx="214">
                  <c:v>9/1/2020</c:v>
                </c:pt>
                <c:pt idx="215">
                  <c:v>9/2/2020</c:v>
                </c:pt>
                <c:pt idx="216">
                  <c:v>9/3/2020</c:v>
                </c:pt>
                <c:pt idx="217">
                  <c:v>9/4/2020</c:v>
                </c:pt>
                <c:pt idx="218">
                  <c:v>9/7/2020</c:v>
                </c:pt>
                <c:pt idx="219">
                  <c:v>9/8/2020</c:v>
                </c:pt>
                <c:pt idx="220">
                  <c:v>9/9/2020</c:v>
                </c:pt>
                <c:pt idx="221">
                  <c:v>9/10/2020</c:v>
                </c:pt>
                <c:pt idx="222">
                  <c:v>9/11/2020</c:v>
                </c:pt>
                <c:pt idx="223">
                  <c:v>9/14/2020</c:v>
                </c:pt>
                <c:pt idx="224">
                  <c:v>9/15/2020</c:v>
                </c:pt>
                <c:pt idx="225">
                  <c:v>9/16/2020</c:v>
                </c:pt>
                <c:pt idx="226">
                  <c:v>9/17/2020</c:v>
                </c:pt>
                <c:pt idx="227">
                  <c:v>9/18/2020</c:v>
                </c:pt>
                <c:pt idx="228">
                  <c:v>9/21/2020</c:v>
                </c:pt>
                <c:pt idx="229">
                  <c:v>9/22/2020</c:v>
                </c:pt>
                <c:pt idx="230">
                  <c:v>9/23/2020</c:v>
                </c:pt>
                <c:pt idx="231">
                  <c:v>9/24/2020</c:v>
                </c:pt>
                <c:pt idx="232">
                  <c:v>9/25/2020</c:v>
                </c:pt>
                <c:pt idx="233">
                  <c:v>9/28/2020</c:v>
                </c:pt>
                <c:pt idx="234">
                  <c:v>9/29/2020</c:v>
                </c:pt>
                <c:pt idx="235">
                  <c:v>9/30/2020</c:v>
                </c:pt>
                <c:pt idx="236">
                  <c:v>10/1/2020</c:v>
                </c:pt>
                <c:pt idx="237">
                  <c:v>10/2/2020</c:v>
                </c:pt>
                <c:pt idx="238">
                  <c:v>10/5/2020</c:v>
                </c:pt>
                <c:pt idx="239">
                  <c:v>10/6/2020</c:v>
                </c:pt>
                <c:pt idx="240">
                  <c:v>10/7/2020</c:v>
                </c:pt>
                <c:pt idx="241">
                  <c:v>10/8/2020</c:v>
                </c:pt>
                <c:pt idx="242">
                  <c:v>10/9/2020</c:v>
                </c:pt>
                <c:pt idx="243">
                  <c:v>10/12/2020</c:v>
                </c:pt>
                <c:pt idx="244">
                  <c:v>10/13/2020</c:v>
                </c:pt>
                <c:pt idx="245">
                  <c:v>10/14/2020</c:v>
                </c:pt>
                <c:pt idx="246">
                  <c:v>10/15/2020</c:v>
                </c:pt>
                <c:pt idx="247">
                  <c:v>10/16/2020</c:v>
                </c:pt>
                <c:pt idx="248">
                  <c:v>10/19/2020</c:v>
                </c:pt>
                <c:pt idx="249">
                  <c:v>10/20/2020</c:v>
                </c:pt>
                <c:pt idx="250">
                  <c:v>10/21/2020</c:v>
                </c:pt>
                <c:pt idx="251">
                  <c:v>10/22/2020</c:v>
                </c:pt>
                <c:pt idx="252">
                  <c:v>10/23/2020</c:v>
                </c:pt>
                <c:pt idx="253">
                  <c:v>10/26/2020</c:v>
                </c:pt>
                <c:pt idx="254">
                  <c:v>10/27/2020</c:v>
                </c:pt>
                <c:pt idx="255">
                  <c:v>10/28/2020</c:v>
                </c:pt>
                <c:pt idx="256">
                  <c:v>10/29/2020</c:v>
                </c:pt>
                <c:pt idx="257">
                  <c:v>10/30/2020</c:v>
                </c:pt>
                <c:pt idx="258">
                  <c:v>11/2/2020</c:v>
                </c:pt>
                <c:pt idx="259">
                  <c:v>11/3/2020</c:v>
                </c:pt>
                <c:pt idx="260">
                  <c:v>11/4/2020</c:v>
                </c:pt>
                <c:pt idx="261">
                  <c:v>11/5/2020</c:v>
                </c:pt>
                <c:pt idx="262">
                  <c:v>11/6/2020</c:v>
                </c:pt>
                <c:pt idx="263">
                  <c:v>11/9/2020</c:v>
                </c:pt>
                <c:pt idx="264">
                  <c:v>11/10/2020</c:v>
                </c:pt>
                <c:pt idx="265">
                  <c:v>11/11/2020</c:v>
                </c:pt>
                <c:pt idx="266">
                  <c:v>11/12/2020</c:v>
                </c:pt>
                <c:pt idx="267">
                  <c:v>11/13/2020</c:v>
                </c:pt>
                <c:pt idx="268">
                  <c:v>11/16/2020</c:v>
                </c:pt>
                <c:pt idx="269">
                  <c:v>11/17/2020</c:v>
                </c:pt>
                <c:pt idx="270">
                  <c:v>11/18/2020</c:v>
                </c:pt>
                <c:pt idx="271">
                  <c:v>11/19/2020</c:v>
                </c:pt>
                <c:pt idx="272">
                  <c:v>11/20/2020</c:v>
                </c:pt>
                <c:pt idx="273">
                  <c:v>11/23/2020</c:v>
                </c:pt>
                <c:pt idx="274">
                  <c:v>11/24/2020</c:v>
                </c:pt>
                <c:pt idx="275">
                  <c:v>11/25/2020</c:v>
                </c:pt>
                <c:pt idx="276">
                  <c:v>11/26/2020</c:v>
                </c:pt>
                <c:pt idx="277">
                  <c:v>11/27/2020</c:v>
                </c:pt>
                <c:pt idx="278">
                  <c:v>11/30/2020</c:v>
                </c:pt>
                <c:pt idx="279">
                  <c:v>12/1/2020</c:v>
                </c:pt>
                <c:pt idx="280">
                  <c:v>12/2/2020</c:v>
                </c:pt>
                <c:pt idx="281">
                  <c:v>12/3/2020</c:v>
                </c:pt>
                <c:pt idx="282">
                  <c:v>12/4/2020</c:v>
                </c:pt>
                <c:pt idx="283">
                  <c:v>12/7/2020</c:v>
                </c:pt>
                <c:pt idx="284">
                  <c:v>12/8/2020</c:v>
                </c:pt>
                <c:pt idx="285">
                  <c:v>12/9/2020</c:v>
                </c:pt>
                <c:pt idx="286">
                  <c:v>12/10/2020</c:v>
                </c:pt>
                <c:pt idx="287">
                  <c:v>12/11/2020</c:v>
                </c:pt>
                <c:pt idx="288">
                  <c:v>12/14/2020</c:v>
                </c:pt>
                <c:pt idx="289">
                  <c:v>12/15/2020</c:v>
                </c:pt>
                <c:pt idx="290">
                  <c:v>12/16/2020</c:v>
                </c:pt>
                <c:pt idx="291">
                  <c:v>12/17/2020</c:v>
                </c:pt>
                <c:pt idx="292">
                  <c:v>12/18/2020</c:v>
                </c:pt>
                <c:pt idx="293">
                  <c:v>12/21/2020</c:v>
                </c:pt>
                <c:pt idx="294">
                  <c:v>12/22/2020</c:v>
                </c:pt>
                <c:pt idx="295">
                  <c:v>12/23/2020</c:v>
                </c:pt>
                <c:pt idx="296">
                  <c:v>12/24/2020</c:v>
                </c:pt>
                <c:pt idx="297">
                  <c:v>12/28/2020</c:v>
                </c:pt>
                <c:pt idx="298">
                  <c:v>12/29/2020</c:v>
                </c:pt>
                <c:pt idx="299">
                  <c:v>12/30/2020</c:v>
                </c:pt>
                <c:pt idx="300">
                  <c:v>12/31/2020</c:v>
                </c:pt>
                <c:pt idx="301">
                  <c:v>1/4/2021</c:v>
                </c:pt>
                <c:pt idx="302">
                  <c:v>1/5/2021</c:v>
                </c:pt>
                <c:pt idx="303">
                  <c:v>1/6/2021</c:v>
                </c:pt>
                <c:pt idx="304">
                  <c:v>1/7/2021</c:v>
                </c:pt>
                <c:pt idx="305">
                  <c:v>1/8/2021</c:v>
                </c:pt>
                <c:pt idx="306">
                  <c:v>1/11/2021</c:v>
                </c:pt>
                <c:pt idx="307">
                  <c:v>1/12/2021</c:v>
                </c:pt>
                <c:pt idx="308">
                  <c:v>1/13/2021</c:v>
                </c:pt>
                <c:pt idx="309">
                  <c:v>1/14/2021</c:v>
                </c:pt>
                <c:pt idx="310">
                  <c:v>1/15/2021</c:v>
                </c:pt>
                <c:pt idx="311">
                  <c:v>1/18/2021</c:v>
                </c:pt>
                <c:pt idx="312">
                  <c:v>1/19/2021</c:v>
                </c:pt>
                <c:pt idx="313">
                  <c:v>1/20/2021</c:v>
                </c:pt>
                <c:pt idx="314">
                  <c:v>1/21/2021</c:v>
                </c:pt>
                <c:pt idx="315">
                  <c:v>1/22/2021</c:v>
                </c:pt>
                <c:pt idx="316">
                  <c:v>1/25/2021</c:v>
                </c:pt>
                <c:pt idx="317">
                  <c:v>1/26/2021</c:v>
                </c:pt>
                <c:pt idx="318">
                  <c:v>1/27/2021</c:v>
                </c:pt>
                <c:pt idx="319">
                  <c:v>1/28/2021</c:v>
                </c:pt>
                <c:pt idx="320">
                  <c:v>1/29/2021</c:v>
                </c:pt>
                <c:pt idx="321">
                  <c:v>2/1/2021</c:v>
                </c:pt>
                <c:pt idx="322">
                  <c:v>2/2/2021</c:v>
                </c:pt>
                <c:pt idx="323">
                  <c:v>2/3/2021</c:v>
                </c:pt>
                <c:pt idx="324">
                  <c:v>2/4/2021</c:v>
                </c:pt>
                <c:pt idx="325">
                  <c:v>2/5/2021</c:v>
                </c:pt>
                <c:pt idx="326">
                  <c:v>2/8/2021</c:v>
                </c:pt>
                <c:pt idx="327">
                  <c:v>2/9/2021</c:v>
                </c:pt>
                <c:pt idx="328">
                  <c:v>2/10/2021</c:v>
                </c:pt>
                <c:pt idx="329">
                  <c:v>2/11/2021</c:v>
                </c:pt>
                <c:pt idx="330">
                  <c:v>2/12/2021</c:v>
                </c:pt>
                <c:pt idx="331">
                  <c:v>2/15/2021</c:v>
                </c:pt>
                <c:pt idx="332">
                  <c:v>2/16/2021</c:v>
                </c:pt>
                <c:pt idx="333">
                  <c:v>2/17/2021</c:v>
                </c:pt>
                <c:pt idx="334">
                  <c:v>2/18/2021</c:v>
                </c:pt>
                <c:pt idx="335">
                  <c:v>2/19/2021</c:v>
                </c:pt>
                <c:pt idx="336">
                  <c:v>2/22/2021</c:v>
                </c:pt>
                <c:pt idx="337">
                  <c:v>2/23/2021</c:v>
                </c:pt>
                <c:pt idx="338">
                  <c:v>2/24/2021</c:v>
                </c:pt>
                <c:pt idx="339">
                  <c:v>2/25/2021</c:v>
                </c:pt>
                <c:pt idx="340">
                  <c:v>2/26/2021</c:v>
                </c:pt>
                <c:pt idx="341">
                  <c:v>3/1/2021</c:v>
                </c:pt>
                <c:pt idx="342">
                  <c:v>3/2/2021</c:v>
                </c:pt>
                <c:pt idx="343">
                  <c:v>3/3/2021</c:v>
                </c:pt>
                <c:pt idx="344">
                  <c:v>3/4/2021</c:v>
                </c:pt>
                <c:pt idx="345">
                  <c:v>3/5/2021</c:v>
                </c:pt>
                <c:pt idx="346">
                  <c:v>3/8/2021</c:v>
                </c:pt>
                <c:pt idx="347">
                  <c:v>3/9/2021</c:v>
                </c:pt>
                <c:pt idx="348">
                  <c:v>3/10/2021</c:v>
                </c:pt>
                <c:pt idx="349">
                  <c:v>3/11/2021</c:v>
                </c:pt>
                <c:pt idx="350">
                  <c:v>3/12/2021</c:v>
                </c:pt>
                <c:pt idx="351">
                  <c:v>3/15/2021</c:v>
                </c:pt>
                <c:pt idx="352">
                  <c:v>3/16/2021</c:v>
                </c:pt>
                <c:pt idx="353">
                  <c:v>3/17/2021</c:v>
                </c:pt>
                <c:pt idx="354">
                  <c:v>3/18/2021</c:v>
                </c:pt>
                <c:pt idx="355">
                  <c:v>3/19/2021</c:v>
                </c:pt>
                <c:pt idx="356">
                  <c:v>3/22/2021</c:v>
                </c:pt>
                <c:pt idx="357">
                  <c:v>3/23/2021</c:v>
                </c:pt>
                <c:pt idx="358">
                  <c:v>3/24/2021</c:v>
                </c:pt>
                <c:pt idx="359">
                  <c:v>3/25/2021</c:v>
                </c:pt>
                <c:pt idx="360">
                  <c:v>3/26/2021</c:v>
                </c:pt>
                <c:pt idx="361">
                  <c:v>3/29/2021</c:v>
                </c:pt>
                <c:pt idx="362">
                  <c:v>3/30/2021</c:v>
                </c:pt>
                <c:pt idx="363">
                  <c:v>3/31/2021</c:v>
                </c:pt>
                <c:pt idx="364">
                  <c:v>4/1/2021</c:v>
                </c:pt>
                <c:pt idx="365">
                  <c:v>4/5/2021</c:v>
                </c:pt>
                <c:pt idx="366">
                  <c:v>4/6/2021</c:v>
                </c:pt>
                <c:pt idx="367">
                  <c:v>4/7/2021</c:v>
                </c:pt>
                <c:pt idx="368">
                  <c:v>4/8/2021</c:v>
                </c:pt>
                <c:pt idx="369">
                  <c:v>4/9/2021</c:v>
                </c:pt>
                <c:pt idx="370">
                  <c:v>4/12/2021</c:v>
                </c:pt>
                <c:pt idx="371">
                  <c:v>4/13/2021</c:v>
                </c:pt>
                <c:pt idx="372">
                  <c:v>4/14/2021</c:v>
                </c:pt>
                <c:pt idx="373">
                  <c:v>4/15/2021</c:v>
                </c:pt>
                <c:pt idx="374">
                  <c:v>4/16/2021</c:v>
                </c:pt>
                <c:pt idx="375">
                  <c:v>4/19/2021</c:v>
                </c:pt>
                <c:pt idx="376">
                  <c:v>4/20/2021</c:v>
                </c:pt>
                <c:pt idx="377">
                  <c:v>4/21/2021</c:v>
                </c:pt>
                <c:pt idx="378">
                  <c:v>4/22/2021</c:v>
                </c:pt>
                <c:pt idx="379">
                  <c:v>4/23/2021</c:v>
                </c:pt>
                <c:pt idx="380">
                  <c:v>4/26/2021</c:v>
                </c:pt>
                <c:pt idx="381">
                  <c:v>4/27/2021</c:v>
                </c:pt>
                <c:pt idx="382">
                  <c:v>4/28/2021</c:v>
                </c:pt>
                <c:pt idx="383">
                  <c:v>4/29/2021</c:v>
                </c:pt>
                <c:pt idx="384">
                  <c:v>4/30/2021</c:v>
                </c:pt>
                <c:pt idx="385">
                  <c:v>5/3/2021</c:v>
                </c:pt>
                <c:pt idx="386">
                  <c:v>5/4/2021</c:v>
                </c:pt>
                <c:pt idx="387">
                  <c:v>5/5/2021</c:v>
                </c:pt>
                <c:pt idx="388">
                  <c:v>5/6/2021</c:v>
                </c:pt>
                <c:pt idx="389">
                  <c:v>5/7/2021</c:v>
                </c:pt>
                <c:pt idx="390">
                  <c:v>5/10/2021</c:v>
                </c:pt>
                <c:pt idx="391">
                  <c:v>5/11/2021</c:v>
                </c:pt>
                <c:pt idx="392">
                  <c:v>5/12/2021</c:v>
                </c:pt>
                <c:pt idx="393">
                  <c:v>5/13/2021</c:v>
                </c:pt>
                <c:pt idx="394">
                  <c:v>5/14/2021</c:v>
                </c:pt>
                <c:pt idx="395">
                  <c:v>5/17/2021</c:v>
                </c:pt>
                <c:pt idx="396">
                  <c:v>5/18/2021</c:v>
                </c:pt>
                <c:pt idx="397">
                  <c:v>5/19/2021</c:v>
                </c:pt>
                <c:pt idx="398">
                  <c:v>5/20/2021</c:v>
                </c:pt>
                <c:pt idx="399">
                  <c:v>5/21/2021</c:v>
                </c:pt>
                <c:pt idx="400">
                  <c:v>5/24/2021</c:v>
                </c:pt>
                <c:pt idx="401">
                  <c:v>5/25/2021</c:v>
                </c:pt>
                <c:pt idx="402">
                  <c:v>5/26/2021</c:v>
                </c:pt>
                <c:pt idx="403">
                  <c:v>5/27/2021</c:v>
                </c:pt>
                <c:pt idx="404">
                  <c:v>5/28/2021</c:v>
                </c:pt>
                <c:pt idx="405">
                  <c:v>5/31/2021</c:v>
                </c:pt>
                <c:pt idx="406">
                  <c:v>6/1/2021</c:v>
                </c:pt>
                <c:pt idx="407">
                  <c:v>6/2/2021</c:v>
                </c:pt>
                <c:pt idx="408">
                  <c:v>6/3/2021</c:v>
                </c:pt>
                <c:pt idx="409">
                  <c:v>6/4/2021</c:v>
                </c:pt>
                <c:pt idx="410">
                  <c:v>6/7/2021</c:v>
                </c:pt>
                <c:pt idx="411">
                  <c:v>6/8/2021</c:v>
                </c:pt>
                <c:pt idx="412">
                  <c:v>6/9/2021</c:v>
                </c:pt>
                <c:pt idx="413">
                  <c:v>6/10/2021</c:v>
                </c:pt>
                <c:pt idx="414">
                  <c:v>6/11/2021</c:v>
                </c:pt>
                <c:pt idx="415">
                  <c:v>6/14/2021</c:v>
                </c:pt>
                <c:pt idx="416">
                  <c:v>6/15/2021</c:v>
                </c:pt>
                <c:pt idx="417">
                  <c:v>6/16/2021</c:v>
                </c:pt>
                <c:pt idx="418">
                  <c:v>6/17/2021</c:v>
                </c:pt>
                <c:pt idx="419">
                  <c:v>6/18/2021</c:v>
                </c:pt>
                <c:pt idx="420">
                  <c:v>6/21/2021</c:v>
                </c:pt>
                <c:pt idx="421">
                  <c:v>6/22/2021</c:v>
                </c:pt>
                <c:pt idx="422">
                  <c:v>6/23/2021</c:v>
                </c:pt>
                <c:pt idx="423">
                  <c:v>6/24/2021</c:v>
                </c:pt>
                <c:pt idx="424">
                  <c:v>6/25/2021</c:v>
                </c:pt>
                <c:pt idx="425">
                  <c:v>6/28/2021</c:v>
                </c:pt>
                <c:pt idx="426">
                  <c:v>6/29/2021</c:v>
                </c:pt>
                <c:pt idx="427">
                  <c:v>6/30/2021</c:v>
                </c:pt>
                <c:pt idx="428">
                  <c:v>7/1/2021</c:v>
                </c:pt>
                <c:pt idx="429">
                  <c:v>7/2/2021</c:v>
                </c:pt>
                <c:pt idx="430">
                  <c:v>7/5/2021</c:v>
                </c:pt>
                <c:pt idx="431">
                  <c:v>7/6/2021</c:v>
                </c:pt>
                <c:pt idx="432">
                  <c:v>7/7/2021</c:v>
                </c:pt>
                <c:pt idx="433">
                  <c:v>7/8/2021</c:v>
                </c:pt>
                <c:pt idx="434">
                  <c:v>7/9/2021</c:v>
                </c:pt>
                <c:pt idx="435">
                  <c:v>7/12/2021</c:v>
                </c:pt>
                <c:pt idx="436">
                  <c:v>7/13/2021</c:v>
                </c:pt>
                <c:pt idx="437">
                  <c:v>7/14/2021</c:v>
                </c:pt>
                <c:pt idx="438">
                  <c:v>7/15/2021</c:v>
                </c:pt>
                <c:pt idx="439">
                  <c:v>7/16/2021</c:v>
                </c:pt>
                <c:pt idx="440">
                  <c:v>7/19/2021</c:v>
                </c:pt>
                <c:pt idx="441">
                  <c:v>7/20/2021</c:v>
                </c:pt>
                <c:pt idx="442">
                  <c:v>7/21/2021</c:v>
                </c:pt>
                <c:pt idx="443">
                  <c:v>7/22/2021</c:v>
                </c:pt>
                <c:pt idx="444">
                  <c:v>7/23/2021</c:v>
                </c:pt>
                <c:pt idx="445">
                  <c:v>7/26/2021</c:v>
                </c:pt>
                <c:pt idx="446">
                  <c:v>7/27/2021</c:v>
                </c:pt>
                <c:pt idx="447">
                  <c:v>7/28/2021</c:v>
                </c:pt>
                <c:pt idx="448">
                  <c:v>7/29/2021</c:v>
                </c:pt>
                <c:pt idx="449">
                  <c:v>7/30/2021</c:v>
                </c:pt>
                <c:pt idx="450">
                  <c:v>8/2/2021</c:v>
                </c:pt>
                <c:pt idx="451">
                  <c:v>8/3/2021</c:v>
                </c:pt>
                <c:pt idx="452">
                  <c:v>8/4/2021</c:v>
                </c:pt>
                <c:pt idx="453">
                  <c:v>8/5/2021</c:v>
                </c:pt>
                <c:pt idx="454">
                  <c:v>8/6/2021</c:v>
                </c:pt>
                <c:pt idx="455">
                  <c:v>8/9/2021</c:v>
                </c:pt>
                <c:pt idx="456">
                  <c:v>8/10/2021</c:v>
                </c:pt>
                <c:pt idx="457">
                  <c:v>8/11/2021</c:v>
                </c:pt>
                <c:pt idx="458">
                  <c:v>8/12/2021</c:v>
                </c:pt>
                <c:pt idx="459">
                  <c:v>8/13/2021</c:v>
                </c:pt>
                <c:pt idx="460">
                  <c:v>8/16/2021</c:v>
                </c:pt>
                <c:pt idx="461">
                  <c:v>8/17/2021</c:v>
                </c:pt>
                <c:pt idx="462">
                  <c:v>8/18/2021</c:v>
                </c:pt>
                <c:pt idx="463">
                  <c:v>8/19/2021</c:v>
                </c:pt>
                <c:pt idx="464">
                  <c:v>8/20/2021</c:v>
                </c:pt>
                <c:pt idx="465">
                  <c:v>8/23/2021</c:v>
                </c:pt>
                <c:pt idx="466">
                  <c:v>8/24/2021</c:v>
                </c:pt>
                <c:pt idx="467">
                  <c:v>8/25/2021</c:v>
                </c:pt>
                <c:pt idx="468">
                  <c:v>8/26/2021</c:v>
                </c:pt>
                <c:pt idx="469">
                  <c:v>8/27/2021</c:v>
                </c:pt>
                <c:pt idx="470">
                  <c:v>8/30/2021</c:v>
                </c:pt>
                <c:pt idx="471">
                  <c:v>8/31/2021</c:v>
                </c:pt>
                <c:pt idx="472">
                  <c:v>9/1/2021</c:v>
                </c:pt>
                <c:pt idx="473">
                  <c:v>9/2/2021</c:v>
                </c:pt>
                <c:pt idx="474">
                  <c:v>9/3/2021</c:v>
                </c:pt>
                <c:pt idx="475">
                  <c:v>9/6/2021</c:v>
                </c:pt>
                <c:pt idx="476">
                  <c:v>9/7/2021</c:v>
                </c:pt>
                <c:pt idx="477">
                  <c:v>9/8/2021</c:v>
                </c:pt>
                <c:pt idx="478">
                  <c:v>9/9/2021</c:v>
                </c:pt>
                <c:pt idx="479">
                  <c:v>9/10/2021</c:v>
                </c:pt>
                <c:pt idx="480">
                  <c:v>9/13/2021</c:v>
                </c:pt>
                <c:pt idx="481">
                  <c:v>9/14/2021</c:v>
                </c:pt>
                <c:pt idx="482">
                  <c:v>9/15/2021</c:v>
                </c:pt>
                <c:pt idx="483">
                  <c:v>9/16/2021</c:v>
                </c:pt>
                <c:pt idx="484">
                  <c:v>9/17/2021</c:v>
                </c:pt>
                <c:pt idx="485">
                  <c:v>9/20/2021</c:v>
                </c:pt>
                <c:pt idx="486">
                  <c:v>9/21/2021</c:v>
                </c:pt>
                <c:pt idx="487">
                  <c:v>9/22/2021</c:v>
                </c:pt>
                <c:pt idx="488">
                  <c:v>9/23/2021</c:v>
                </c:pt>
                <c:pt idx="489">
                  <c:v>9/24/2021</c:v>
                </c:pt>
                <c:pt idx="490">
                  <c:v>9/27/2021</c:v>
                </c:pt>
                <c:pt idx="491">
                  <c:v>9/28/2021</c:v>
                </c:pt>
                <c:pt idx="492">
                  <c:v>9/29/2021</c:v>
                </c:pt>
                <c:pt idx="493">
                  <c:v>9/30/2021</c:v>
                </c:pt>
                <c:pt idx="494">
                  <c:v>10/1/2021</c:v>
                </c:pt>
                <c:pt idx="495">
                  <c:v>10/4/2021</c:v>
                </c:pt>
                <c:pt idx="496">
                  <c:v>10/5/2021</c:v>
                </c:pt>
                <c:pt idx="497">
                  <c:v>10/6/2021</c:v>
                </c:pt>
                <c:pt idx="498">
                  <c:v>10/7/2021</c:v>
                </c:pt>
                <c:pt idx="499">
                  <c:v>10/8/2021</c:v>
                </c:pt>
                <c:pt idx="500">
                  <c:v>10/11/2021</c:v>
                </c:pt>
                <c:pt idx="501">
                  <c:v>10/12/2021</c:v>
                </c:pt>
                <c:pt idx="502">
                  <c:v>10/13/2021</c:v>
                </c:pt>
                <c:pt idx="503">
                  <c:v>10/14/2021</c:v>
                </c:pt>
                <c:pt idx="504">
                  <c:v>10/15/2021</c:v>
                </c:pt>
                <c:pt idx="505">
                  <c:v>10/18/2021</c:v>
                </c:pt>
                <c:pt idx="506">
                  <c:v>10/19/2021</c:v>
                </c:pt>
                <c:pt idx="507">
                  <c:v>10/20/2021</c:v>
                </c:pt>
                <c:pt idx="508">
                  <c:v>10/21/2021</c:v>
                </c:pt>
                <c:pt idx="509">
                  <c:v>10/22/2021</c:v>
                </c:pt>
                <c:pt idx="510">
                  <c:v>10/25/2021</c:v>
                </c:pt>
                <c:pt idx="511">
                  <c:v>10/26/2021</c:v>
                </c:pt>
                <c:pt idx="512">
                  <c:v>10/27/2021</c:v>
                </c:pt>
                <c:pt idx="513">
                  <c:v>10/28/2021</c:v>
                </c:pt>
                <c:pt idx="514">
                  <c:v>10/29/2021</c:v>
                </c:pt>
                <c:pt idx="515">
                  <c:v>11/1/2021</c:v>
                </c:pt>
                <c:pt idx="516">
                  <c:v>11/2/2021</c:v>
                </c:pt>
                <c:pt idx="517">
                  <c:v>11/3/2021</c:v>
                </c:pt>
                <c:pt idx="518">
                  <c:v>11/4/2021</c:v>
                </c:pt>
                <c:pt idx="519">
                  <c:v>11/5/2021</c:v>
                </c:pt>
                <c:pt idx="520">
                  <c:v>11/8/2021</c:v>
                </c:pt>
                <c:pt idx="521">
                  <c:v>11/9/2021</c:v>
                </c:pt>
                <c:pt idx="522">
                  <c:v>11/10/2021</c:v>
                </c:pt>
                <c:pt idx="523">
                  <c:v>11/11/2021</c:v>
                </c:pt>
                <c:pt idx="524">
                  <c:v>11/12/2021</c:v>
                </c:pt>
                <c:pt idx="525">
                  <c:v>11/15/2021</c:v>
                </c:pt>
                <c:pt idx="526">
                  <c:v>11/16/2021</c:v>
                </c:pt>
                <c:pt idx="527">
                  <c:v>11/17/2021</c:v>
                </c:pt>
                <c:pt idx="528">
                  <c:v>11/18/2021</c:v>
                </c:pt>
                <c:pt idx="529">
                  <c:v>11/19/2021</c:v>
                </c:pt>
                <c:pt idx="530">
                  <c:v>11/22/2021</c:v>
                </c:pt>
                <c:pt idx="531">
                  <c:v>11/23/2021</c:v>
                </c:pt>
                <c:pt idx="532">
                  <c:v>11/24/2021</c:v>
                </c:pt>
                <c:pt idx="533">
                  <c:v>11/25/2021</c:v>
                </c:pt>
                <c:pt idx="534">
                  <c:v>11/26/2021</c:v>
                </c:pt>
                <c:pt idx="535">
                  <c:v>11/29/2021</c:v>
                </c:pt>
                <c:pt idx="536">
                  <c:v>11/30/2021</c:v>
                </c:pt>
                <c:pt idx="537">
                  <c:v>12/1/2021</c:v>
                </c:pt>
                <c:pt idx="538">
                  <c:v>12/2/2021</c:v>
                </c:pt>
                <c:pt idx="539">
                  <c:v>12/3/2021</c:v>
                </c:pt>
                <c:pt idx="540">
                  <c:v>12/6/2021</c:v>
                </c:pt>
                <c:pt idx="541">
                  <c:v>12/7/2021</c:v>
                </c:pt>
                <c:pt idx="542">
                  <c:v>12/8/2021</c:v>
                </c:pt>
                <c:pt idx="543">
                  <c:v>12/9/2021</c:v>
                </c:pt>
                <c:pt idx="544">
                  <c:v>12/10/2021</c:v>
                </c:pt>
                <c:pt idx="545">
                  <c:v>12/13/2021</c:v>
                </c:pt>
                <c:pt idx="546">
                  <c:v>12/14/2021</c:v>
                </c:pt>
                <c:pt idx="547">
                  <c:v>12/15/2021</c:v>
                </c:pt>
                <c:pt idx="548">
                  <c:v>12/16/2021</c:v>
                </c:pt>
                <c:pt idx="549">
                  <c:v>12/17/2021</c:v>
                </c:pt>
                <c:pt idx="550">
                  <c:v>12/20/2021</c:v>
                </c:pt>
                <c:pt idx="551">
                  <c:v>12/21/2021</c:v>
                </c:pt>
                <c:pt idx="552">
                  <c:v>12/22/2021</c:v>
                </c:pt>
                <c:pt idx="553">
                  <c:v>12/23/2021</c:v>
                </c:pt>
                <c:pt idx="554">
                  <c:v>12/24/2021</c:v>
                </c:pt>
                <c:pt idx="555">
                  <c:v>12/27/2021</c:v>
                </c:pt>
                <c:pt idx="556">
                  <c:v>12/28/2021</c:v>
                </c:pt>
                <c:pt idx="557">
                  <c:v>12/29/2021</c:v>
                </c:pt>
                <c:pt idx="558">
                  <c:v>12/30/2021</c:v>
                </c:pt>
                <c:pt idx="559">
                  <c:v>12/31/2021</c:v>
                </c:pt>
                <c:pt idx="560">
                  <c:v>1/3/2022</c:v>
                </c:pt>
                <c:pt idx="561">
                  <c:v>1/4/2022</c:v>
                </c:pt>
                <c:pt idx="562">
                  <c:v>1/5/2022</c:v>
                </c:pt>
                <c:pt idx="563">
                  <c:v>1/6/2022</c:v>
                </c:pt>
                <c:pt idx="564">
                  <c:v>1/7/2022</c:v>
                </c:pt>
                <c:pt idx="565">
                  <c:v>1/10/2022</c:v>
                </c:pt>
                <c:pt idx="566">
                  <c:v>1/11/2022</c:v>
                </c:pt>
                <c:pt idx="567">
                  <c:v>1/12/2022</c:v>
                </c:pt>
                <c:pt idx="568">
                  <c:v>1/13/2022</c:v>
                </c:pt>
                <c:pt idx="569">
                  <c:v>1/14/2022</c:v>
                </c:pt>
                <c:pt idx="570">
                  <c:v>1/17/2022</c:v>
                </c:pt>
                <c:pt idx="571">
                  <c:v>1/18/2022</c:v>
                </c:pt>
                <c:pt idx="572">
                  <c:v>1/19/2022</c:v>
                </c:pt>
                <c:pt idx="573">
                  <c:v>1/20/2022</c:v>
                </c:pt>
                <c:pt idx="574">
                  <c:v>1/21/2022</c:v>
                </c:pt>
                <c:pt idx="575">
                  <c:v>1/24/2022</c:v>
                </c:pt>
                <c:pt idx="576">
                  <c:v>1/25/2022</c:v>
                </c:pt>
                <c:pt idx="577">
                  <c:v>1/26/2022</c:v>
                </c:pt>
                <c:pt idx="578">
                  <c:v>1/27/2022</c:v>
                </c:pt>
                <c:pt idx="579">
                  <c:v>1/28/2022</c:v>
                </c:pt>
                <c:pt idx="580">
                  <c:v>1/31/2022</c:v>
                </c:pt>
                <c:pt idx="581">
                  <c:v>2/1/2022</c:v>
                </c:pt>
                <c:pt idx="582">
                  <c:v>2/2/2022</c:v>
                </c:pt>
                <c:pt idx="583">
                  <c:v>2/3/2022</c:v>
                </c:pt>
                <c:pt idx="584">
                  <c:v>2/4/2022</c:v>
                </c:pt>
                <c:pt idx="585">
                  <c:v>2/7/2022</c:v>
                </c:pt>
                <c:pt idx="586">
                  <c:v>2/8/2022</c:v>
                </c:pt>
                <c:pt idx="587">
                  <c:v>2/9/2022</c:v>
                </c:pt>
                <c:pt idx="588">
                  <c:v>2/10/2022</c:v>
                </c:pt>
                <c:pt idx="589">
                  <c:v>2/11/2022</c:v>
                </c:pt>
                <c:pt idx="590">
                  <c:v>2/14/2022</c:v>
                </c:pt>
                <c:pt idx="591">
                  <c:v>2/15/2022</c:v>
                </c:pt>
                <c:pt idx="592">
                  <c:v>2/16/2022</c:v>
                </c:pt>
                <c:pt idx="593">
                  <c:v>2/17/2022</c:v>
                </c:pt>
                <c:pt idx="594">
                  <c:v>2/18/2022</c:v>
                </c:pt>
                <c:pt idx="595">
                  <c:v>2/21/2022</c:v>
                </c:pt>
                <c:pt idx="596">
                  <c:v>2/22/2022</c:v>
                </c:pt>
                <c:pt idx="597">
                  <c:v>2/23/2022</c:v>
                </c:pt>
                <c:pt idx="598">
                  <c:v>2/24/2022</c:v>
                </c:pt>
                <c:pt idx="599">
                  <c:v>2/25/2022</c:v>
                </c:pt>
                <c:pt idx="600">
                  <c:v>2/28/2022</c:v>
                </c:pt>
                <c:pt idx="601">
                  <c:v>3/1/2022</c:v>
                </c:pt>
                <c:pt idx="602">
                  <c:v>3/2/2022</c:v>
                </c:pt>
                <c:pt idx="603">
                  <c:v>3/3/2022</c:v>
                </c:pt>
                <c:pt idx="604">
                  <c:v>3/4/2022</c:v>
                </c:pt>
                <c:pt idx="605">
                  <c:v>3/7/2022</c:v>
                </c:pt>
                <c:pt idx="606">
                  <c:v>3/8/2022</c:v>
                </c:pt>
                <c:pt idx="607">
                  <c:v>3/9/2022</c:v>
                </c:pt>
                <c:pt idx="608">
                  <c:v>3/10/2022</c:v>
                </c:pt>
                <c:pt idx="609">
                  <c:v>3/11/2022</c:v>
                </c:pt>
                <c:pt idx="610">
                  <c:v>3/14/2022</c:v>
                </c:pt>
                <c:pt idx="611">
                  <c:v>3/15/2022</c:v>
                </c:pt>
                <c:pt idx="612">
                  <c:v>3/16/2022</c:v>
                </c:pt>
                <c:pt idx="613">
                  <c:v>3/17/2022</c:v>
                </c:pt>
                <c:pt idx="614">
                  <c:v>3/18/2022</c:v>
                </c:pt>
                <c:pt idx="615">
                  <c:v>3/21/2022</c:v>
                </c:pt>
                <c:pt idx="616">
                  <c:v>3/22/2022</c:v>
                </c:pt>
                <c:pt idx="617">
                  <c:v>3/23/2022</c:v>
                </c:pt>
                <c:pt idx="618">
                  <c:v>3/24/2022</c:v>
                </c:pt>
                <c:pt idx="619">
                  <c:v>3/25/2022</c:v>
                </c:pt>
                <c:pt idx="620">
                  <c:v>3/28/2022</c:v>
                </c:pt>
                <c:pt idx="621">
                  <c:v>3/29/2022</c:v>
                </c:pt>
                <c:pt idx="622">
                  <c:v>3/30/2022</c:v>
                </c:pt>
                <c:pt idx="623">
                  <c:v>3/31/2022</c:v>
                </c:pt>
                <c:pt idx="624">
                  <c:v>4/1/2022</c:v>
                </c:pt>
                <c:pt idx="625">
                  <c:v>4/4/2022</c:v>
                </c:pt>
                <c:pt idx="626">
                  <c:v>4/5/2022</c:v>
                </c:pt>
                <c:pt idx="627">
                  <c:v>4/6/2022</c:v>
                </c:pt>
                <c:pt idx="628">
                  <c:v>4/7/2022</c:v>
                </c:pt>
                <c:pt idx="629">
                  <c:v>4/8/2022</c:v>
                </c:pt>
                <c:pt idx="630">
                  <c:v>4/11/2022</c:v>
                </c:pt>
                <c:pt idx="631">
                  <c:v>4/12/2022</c:v>
                </c:pt>
                <c:pt idx="632">
                  <c:v>4/13/2022</c:v>
                </c:pt>
                <c:pt idx="633">
                  <c:v>4/14/2022</c:v>
                </c:pt>
                <c:pt idx="634">
                  <c:v>4/18/2022</c:v>
                </c:pt>
                <c:pt idx="635">
                  <c:v>4/19/2022</c:v>
                </c:pt>
                <c:pt idx="636">
                  <c:v>4/20/2022</c:v>
                </c:pt>
                <c:pt idx="637">
                  <c:v>4/21/2022</c:v>
                </c:pt>
                <c:pt idx="638">
                  <c:v>4/22/2022</c:v>
                </c:pt>
                <c:pt idx="639">
                  <c:v>4/25/2022</c:v>
                </c:pt>
                <c:pt idx="640">
                  <c:v>4/26/2022</c:v>
                </c:pt>
                <c:pt idx="641">
                  <c:v>4/27/2022</c:v>
                </c:pt>
                <c:pt idx="642">
                  <c:v>4/28/2022</c:v>
                </c:pt>
                <c:pt idx="643">
                  <c:v>4/29/2022</c:v>
                </c:pt>
                <c:pt idx="644">
                  <c:v>5/2/2022</c:v>
                </c:pt>
                <c:pt idx="645">
                  <c:v>5/3/2022</c:v>
                </c:pt>
                <c:pt idx="646">
                  <c:v>5/4/2022</c:v>
                </c:pt>
                <c:pt idx="647">
                  <c:v>5/5/2022</c:v>
                </c:pt>
                <c:pt idx="648">
                  <c:v>5/6/2022</c:v>
                </c:pt>
                <c:pt idx="649">
                  <c:v>5/9/2022</c:v>
                </c:pt>
                <c:pt idx="650">
                  <c:v>5/10/2022</c:v>
                </c:pt>
                <c:pt idx="651">
                  <c:v>5/11/2022</c:v>
                </c:pt>
                <c:pt idx="652">
                  <c:v>5/12/2022</c:v>
                </c:pt>
                <c:pt idx="653">
                  <c:v>5/13/2022</c:v>
                </c:pt>
                <c:pt idx="654">
                  <c:v>5/16/2022</c:v>
                </c:pt>
                <c:pt idx="655">
                  <c:v>5/17/2022</c:v>
                </c:pt>
                <c:pt idx="656">
                  <c:v>5/18/2022</c:v>
                </c:pt>
                <c:pt idx="657">
                  <c:v>5/19/2022</c:v>
                </c:pt>
                <c:pt idx="658">
                  <c:v>5/20/2022</c:v>
                </c:pt>
                <c:pt idx="659">
                  <c:v>5/23/2022</c:v>
                </c:pt>
                <c:pt idx="660">
                  <c:v>5/24/2022</c:v>
                </c:pt>
                <c:pt idx="661">
                  <c:v>5/25/2022</c:v>
                </c:pt>
                <c:pt idx="662">
                  <c:v>5/26/2022</c:v>
                </c:pt>
                <c:pt idx="663">
                  <c:v>5/27/2022</c:v>
                </c:pt>
                <c:pt idx="664">
                  <c:v>5/30/2022</c:v>
                </c:pt>
                <c:pt idx="665">
                  <c:v>5/31/2022</c:v>
                </c:pt>
                <c:pt idx="666">
                  <c:v>6/1/2022</c:v>
                </c:pt>
                <c:pt idx="667">
                  <c:v>6/2/2022</c:v>
                </c:pt>
                <c:pt idx="668">
                  <c:v>6/3/2022</c:v>
                </c:pt>
                <c:pt idx="669">
                  <c:v>6/6/2022</c:v>
                </c:pt>
                <c:pt idx="670">
                  <c:v>6/7/2022</c:v>
                </c:pt>
                <c:pt idx="671">
                  <c:v>6/8/2022</c:v>
                </c:pt>
                <c:pt idx="672">
                  <c:v>6/9/2022</c:v>
                </c:pt>
                <c:pt idx="673">
                  <c:v>6/10/2022</c:v>
                </c:pt>
                <c:pt idx="674">
                  <c:v>6/13/2022</c:v>
                </c:pt>
                <c:pt idx="675">
                  <c:v>6/14/2022</c:v>
                </c:pt>
                <c:pt idx="676">
                  <c:v>6/15/2022</c:v>
                </c:pt>
                <c:pt idx="677">
                  <c:v>6/16/2022</c:v>
                </c:pt>
                <c:pt idx="678">
                  <c:v>6/17/2022</c:v>
                </c:pt>
                <c:pt idx="679">
                  <c:v>6/21/2022</c:v>
                </c:pt>
                <c:pt idx="680">
                  <c:v>6/22/2022</c:v>
                </c:pt>
                <c:pt idx="681">
                  <c:v>6/23/2022</c:v>
                </c:pt>
                <c:pt idx="682">
                  <c:v>6/24/2022</c:v>
                </c:pt>
                <c:pt idx="683">
                  <c:v>6/27/2022</c:v>
                </c:pt>
              </c:strCache>
            </c:strRef>
          </c:cat>
          <c:val>
            <c:numRef>
              <c:f>'GasPrice at Pump'!$K$2:$K$685</c:f>
              <c:numCache>
                <c:formatCode>"$"#,##0.00</c:formatCode>
                <c:ptCount val="684"/>
                <c:pt idx="0">
                  <c:v>1.5871</c:v>
                </c:pt>
                <c:pt idx="1">
                  <c:v>1.6233</c:v>
                </c:pt>
                <c:pt idx="2">
                  <c:v>1.6388</c:v>
                </c:pt>
                <c:pt idx="3">
                  <c:v>1.5702</c:v>
                </c:pt>
                <c:pt idx="4">
                  <c:v>1.5704</c:v>
                </c:pt>
                <c:pt idx="5">
                  <c:v>1.5842000000000001</c:v>
                </c:pt>
                <c:pt idx="6">
                  <c:v>1.5819000000000001</c:v>
                </c:pt>
                <c:pt idx="7">
                  <c:v>1.5778000000000001</c:v>
                </c:pt>
                <c:pt idx="8">
                  <c:v>1.5637000000000001</c:v>
                </c:pt>
                <c:pt idx="9">
                  <c:v>1.569</c:v>
                </c:pt>
                <c:pt idx="10">
                  <c:v>1.6133</c:v>
                </c:pt>
                <c:pt idx="11">
                  <c:v>1.6258999999999999</c:v>
                </c:pt>
                <c:pt idx="12">
                  <c:v>1.6355999999999999</c:v>
                </c:pt>
                <c:pt idx="13">
                  <c:v>1.6344000000000001</c:v>
                </c:pt>
                <c:pt idx="14">
                  <c:v>1.6415999999999999</c:v>
                </c:pt>
                <c:pt idx="15">
                  <c:v>1.6645000000000001</c:v>
                </c:pt>
                <c:pt idx="16">
                  <c:v>1.5946</c:v>
                </c:pt>
                <c:pt idx="17">
                  <c:v>1.6556999999999999</c:v>
                </c:pt>
                <c:pt idx="18">
                  <c:v>1.6637</c:v>
                </c:pt>
                <c:pt idx="19">
                  <c:v>1.6746000000000001</c:v>
                </c:pt>
                <c:pt idx="20">
                  <c:v>1.6262000000000001</c:v>
                </c:pt>
                <c:pt idx="21">
                  <c:v>1.6355</c:v>
                </c:pt>
                <c:pt idx="22">
                  <c:v>1.6336999999999999</c:v>
                </c:pt>
                <c:pt idx="23">
                  <c:v>1.6099000000000001</c:v>
                </c:pt>
                <c:pt idx="24">
                  <c:v>1.6144000000000001</c:v>
                </c:pt>
                <c:pt idx="25">
                  <c:v>1.6309</c:v>
                </c:pt>
                <c:pt idx="26">
                  <c:v>1.6115999999999999</c:v>
                </c:pt>
                <c:pt idx="27">
                  <c:v>1.6308</c:v>
                </c:pt>
                <c:pt idx="28">
                  <c:v>1.6160000000000001</c:v>
                </c:pt>
                <c:pt idx="29">
                  <c:v>1.6036999999999999</c:v>
                </c:pt>
                <c:pt idx="30">
                  <c:v>1.6563000000000001</c:v>
                </c:pt>
                <c:pt idx="31">
                  <c:v>1.6982999999999999</c:v>
                </c:pt>
                <c:pt idx="32">
                  <c:v>1.6742999999999999</c:v>
                </c:pt>
                <c:pt idx="33">
                  <c:v>1.6715</c:v>
                </c:pt>
                <c:pt idx="34">
                  <c:v>1.6976</c:v>
                </c:pt>
                <c:pt idx="35">
                  <c:v>1.6792</c:v>
                </c:pt>
                <c:pt idx="36">
                  <c:v>1.591</c:v>
                </c:pt>
                <c:pt idx="37">
                  <c:v>1.5732999999999999</c:v>
                </c:pt>
                <c:pt idx="38">
                  <c:v>1.5629</c:v>
                </c:pt>
                <c:pt idx="39">
                  <c:v>1.6042000000000001</c:v>
                </c:pt>
                <c:pt idx="40">
                  <c:v>1.6211</c:v>
                </c:pt>
                <c:pt idx="41">
                  <c:v>1.6474</c:v>
                </c:pt>
                <c:pt idx="42">
                  <c:v>1.6548</c:v>
                </c:pt>
                <c:pt idx="43">
                  <c:v>1.6525000000000001</c:v>
                </c:pt>
                <c:pt idx="44">
                  <c:v>1.6261000000000001</c:v>
                </c:pt>
                <c:pt idx="45">
                  <c:v>1.6283000000000001</c:v>
                </c:pt>
                <c:pt idx="46">
                  <c:v>1.6632</c:v>
                </c:pt>
                <c:pt idx="47">
                  <c:v>1.6677999999999999</c:v>
                </c:pt>
                <c:pt idx="48">
                  <c:v>1.6899</c:v>
                </c:pt>
                <c:pt idx="49">
                  <c:v>1.6904999999999999</c:v>
                </c:pt>
                <c:pt idx="50">
                  <c:v>1.7097</c:v>
                </c:pt>
                <c:pt idx="51">
                  <c:v>1.7072000000000001</c:v>
                </c:pt>
                <c:pt idx="52">
                  <c:v>1.7064999999999999</c:v>
                </c:pt>
                <c:pt idx="53">
                  <c:v>1.7274</c:v>
                </c:pt>
                <c:pt idx="54">
                  <c:v>1.7539</c:v>
                </c:pt>
                <c:pt idx="55">
                  <c:v>1.7446999999999999</c:v>
                </c:pt>
                <c:pt idx="56">
                  <c:v>1.724</c:v>
                </c:pt>
                <c:pt idx="57">
                  <c:v>1.6904999999999999</c:v>
                </c:pt>
                <c:pt idx="58">
                  <c:v>1.7041999999999999</c:v>
                </c:pt>
                <c:pt idx="59">
                  <c:v>1.7487999999999999</c:v>
                </c:pt>
                <c:pt idx="60">
                  <c:v>1.7544</c:v>
                </c:pt>
                <c:pt idx="61">
                  <c:v>1.7222</c:v>
                </c:pt>
                <c:pt idx="62">
                  <c:v>1.6488</c:v>
                </c:pt>
                <c:pt idx="63">
                  <c:v>1.6527000000000001</c:v>
                </c:pt>
                <c:pt idx="64">
                  <c:v>1.6596</c:v>
                </c:pt>
                <c:pt idx="65">
                  <c:v>1.6573</c:v>
                </c:pt>
                <c:pt idx="66">
                  <c:v>1.6641999999999999</c:v>
                </c:pt>
                <c:pt idx="67">
                  <c:v>1.6492</c:v>
                </c:pt>
                <c:pt idx="68">
                  <c:v>1.667</c:v>
                </c:pt>
                <c:pt idx="69">
                  <c:v>1.6549</c:v>
                </c:pt>
                <c:pt idx="70">
                  <c:v>1.6365000000000001</c:v>
                </c:pt>
                <c:pt idx="71">
                  <c:v>1.5933999999999999</c:v>
                </c:pt>
                <c:pt idx="72">
                  <c:v>1.573</c:v>
                </c:pt>
                <c:pt idx="73">
                  <c:v>1.5259</c:v>
                </c:pt>
                <c:pt idx="74">
                  <c:v>1.4930000000000001</c:v>
                </c:pt>
                <c:pt idx="75">
                  <c:v>1.5143</c:v>
                </c:pt>
                <c:pt idx="76">
                  <c:v>1.5407999999999999</c:v>
                </c:pt>
                <c:pt idx="77">
                  <c:v>1.5055000000000001</c:v>
                </c:pt>
                <c:pt idx="78">
                  <c:v>1.5041</c:v>
                </c:pt>
                <c:pt idx="79">
                  <c:v>1.4737</c:v>
                </c:pt>
                <c:pt idx="80">
                  <c:v>1.4432</c:v>
                </c:pt>
                <c:pt idx="81">
                  <c:v>1.4863</c:v>
                </c:pt>
                <c:pt idx="82">
                  <c:v>1.498</c:v>
                </c:pt>
                <c:pt idx="83">
                  <c:v>1.5239</c:v>
                </c:pt>
                <c:pt idx="84">
                  <c:v>1.5213000000000001</c:v>
                </c:pt>
                <c:pt idx="85">
                  <c:v>1.5142</c:v>
                </c:pt>
                <c:pt idx="86">
                  <c:v>1.581</c:v>
                </c:pt>
                <c:pt idx="87">
                  <c:v>1.7226999999999999</c:v>
                </c:pt>
                <c:pt idx="88">
                  <c:v>1.5832999999999999</c:v>
                </c:pt>
                <c:pt idx="89">
                  <c:v>1.6148</c:v>
                </c:pt>
                <c:pt idx="90">
                  <c:v>1.7819</c:v>
                </c:pt>
                <c:pt idx="91">
                  <c:v>1.7845</c:v>
                </c:pt>
                <c:pt idx="92">
                  <c:v>1.7612000000000001</c:v>
                </c:pt>
                <c:pt idx="93">
                  <c:v>1.7132000000000001</c:v>
                </c:pt>
                <c:pt idx="94">
                  <c:v>1.6418999999999999</c:v>
                </c:pt>
                <c:pt idx="95">
                  <c:v>1.5645</c:v>
                </c:pt>
                <c:pt idx="96">
                  <c:v>1.5206</c:v>
                </c:pt>
                <c:pt idx="97">
                  <c:v>1.4827999999999999</c:v>
                </c:pt>
                <c:pt idx="98">
                  <c:v>1.5396000000000001</c:v>
                </c:pt>
                <c:pt idx="99">
                  <c:v>1.5313000000000001</c:v>
                </c:pt>
                <c:pt idx="100">
                  <c:v>1.5555000000000001</c:v>
                </c:pt>
                <c:pt idx="101">
                  <c:v>1.5218</c:v>
                </c:pt>
                <c:pt idx="102">
                  <c:v>1.389</c:v>
                </c:pt>
                <c:pt idx="103">
                  <c:v>1.1369</c:v>
                </c:pt>
                <c:pt idx="104">
                  <c:v>1.1571</c:v>
                </c:pt>
                <c:pt idx="105">
                  <c:v>1.1103000000000001</c:v>
                </c:pt>
                <c:pt idx="106">
                  <c:v>0.91900000000000004</c:v>
                </c:pt>
                <c:pt idx="107">
                  <c:v>0.91349999999999998</c:v>
                </c:pt>
                <c:pt idx="108">
                  <c:v>0.70169999999999999</c:v>
                </c:pt>
                <c:pt idx="109">
                  <c:v>0.71140000000000003</c:v>
                </c:pt>
                <c:pt idx="110">
                  <c:v>0.64590000000000003</c:v>
                </c:pt>
                <c:pt idx="111">
                  <c:v>0.69320000000000004</c:v>
                </c:pt>
                <c:pt idx="112">
                  <c:v>0.60540000000000005</c:v>
                </c:pt>
                <c:pt idx="113">
                  <c:v>0.49469999999999997</c:v>
                </c:pt>
                <c:pt idx="114">
                  <c:v>0.51049999999999995</c:v>
                </c:pt>
                <c:pt idx="115">
                  <c:v>0.60540000000000005</c:v>
                </c:pt>
                <c:pt idx="116">
                  <c:v>0.59799999999999998</c:v>
                </c:pt>
                <c:pt idx="117">
                  <c:v>0.61360000000000003</c:v>
                </c:pt>
                <c:pt idx="118">
                  <c:v>0.61680000000000001</c:v>
                </c:pt>
                <c:pt idx="119">
                  <c:v>0.5927</c:v>
                </c:pt>
                <c:pt idx="120">
                  <c:v>0.54649999999999999</c:v>
                </c:pt>
                <c:pt idx="121">
                  <c:v>0.66279999999999994</c:v>
                </c:pt>
                <c:pt idx="122">
                  <c:v>0.69159999999999999</c:v>
                </c:pt>
                <c:pt idx="123">
                  <c:v>0.7016</c:v>
                </c:pt>
                <c:pt idx="124">
                  <c:v>0.6482</c:v>
                </c:pt>
                <c:pt idx="125">
                  <c:v>0.67800000000000005</c:v>
                </c:pt>
                <c:pt idx="126">
                  <c:v>0.67730000000000001</c:v>
                </c:pt>
                <c:pt idx="127">
                  <c:v>0.70330000000000004</c:v>
                </c:pt>
                <c:pt idx="128">
                  <c:v>0.72</c:v>
                </c:pt>
                <c:pt idx="129">
                  <c:v>0.72040000000000004</c:v>
                </c:pt>
                <c:pt idx="130">
                  <c:v>0.75690000000000002</c:v>
                </c:pt>
                <c:pt idx="131">
                  <c:v>0.76459999999999995</c:v>
                </c:pt>
                <c:pt idx="132">
                  <c:v>0.72550000000000003</c:v>
                </c:pt>
                <c:pt idx="133">
                  <c:v>0.62529999999999997</c:v>
                </c:pt>
                <c:pt idx="134">
                  <c:v>0.6875</c:v>
                </c:pt>
                <c:pt idx="135">
                  <c:v>0.68210000000000004</c:v>
                </c:pt>
                <c:pt idx="136">
                  <c:v>0.70009999999999994</c:v>
                </c:pt>
                <c:pt idx="137">
                  <c:v>0.68489999999999995</c:v>
                </c:pt>
                <c:pt idx="138">
                  <c:v>0.70399999999999996</c:v>
                </c:pt>
                <c:pt idx="139">
                  <c:v>0.72719999999999996</c:v>
                </c:pt>
                <c:pt idx="140">
                  <c:v>0.78369999999999995</c:v>
                </c:pt>
                <c:pt idx="141">
                  <c:v>0.76629999999999998</c:v>
                </c:pt>
                <c:pt idx="142">
                  <c:v>0.82150000000000001</c:v>
                </c:pt>
                <c:pt idx="143">
                  <c:v>0.90129999999999999</c:v>
                </c:pt>
                <c:pt idx="144">
                  <c:v>0.87690000000000001</c:v>
                </c:pt>
                <c:pt idx="145">
                  <c:v>0.93140000000000001</c:v>
                </c:pt>
                <c:pt idx="146">
                  <c:v>0.95220000000000005</c:v>
                </c:pt>
                <c:pt idx="147">
                  <c:v>0.92420000000000002</c:v>
                </c:pt>
                <c:pt idx="148">
                  <c:v>0.93630000000000002</c:v>
                </c:pt>
                <c:pt idx="149">
                  <c:v>0.88180000000000003</c:v>
                </c:pt>
                <c:pt idx="150">
                  <c:v>0.93689999999999996</c:v>
                </c:pt>
                <c:pt idx="151">
                  <c:v>0.98380000000000001</c:v>
                </c:pt>
                <c:pt idx="152">
                  <c:v>1.0426</c:v>
                </c:pt>
                <c:pt idx="153">
                  <c:v>1.0549999999999999</c:v>
                </c:pt>
                <c:pt idx="154">
                  <c:v>1.0438000000000001</c:v>
                </c:pt>
                <c:pt idx="155">
                  <c:v>1.0618000000000001</c:v>
                </c:pt>
                <c:pt idx="156">
                  <c:v>1.0518000000000001</c:v>
                </c:pt>
                <c:pt idx="157">
                  <c:v>1.0648</c:v>
                </c:pt>
                <c:pt idx="158">
                  <c:v>1.0177</c:v>
                </c:pt>
                <c:pt idx="159">
                  <c:v>1.026</c:v>
                </c:pt>
                <c:pt idx="160">
                  <c:v>1.0785</c:v>
                </c:pt>
                <c:pt idx="161">
                  <c:v>1.0667</c:v>
                </c:pt>
                <c:pt idx="162">
                  <c:v>1.1183000000000001</c:v>
                </c:pt>
                <c:pt idx="163">
                  <c:v>1.1193</c:v>
                </c:pt>
                <c:pt idx="164">
                  <c:v>1.149</c:v>
                </c:pt>
                <c:pt idx="165">
                  <c:v>1.2136</c:v>
                </c:pt>
                <c:pt idx="166">
                  <c:v>1.1950000000000001</c:v>
                </c:pt>
                <c:pt idx="167">
                  <c:v>1.2102999999999999</c:v>
                </c:pt>
                <c:pt idx="168">
                  <c:v>1.2099</c:v>
                </c:pt>
                <c:pt idx="169">
                  <c:v>1.1188</c:v>
                </c:pt>
                <c:pt idx="170">
                  <c:v>1.1367</c:v>
                </c:pt>
                <c:pt idx="171">
                  <c:v>1.1732</c:v>
                </c:pt>
                <c:pt idx="172">
                  <c:v>1.2149000000000001</c:v>
                </c:pt>
                <c:pt idx="173">
                  <c:v>1.2219</c:v>
                </c:pt>
                <c:pt idx="174">
                  <c:v>1.2575000000000001</c:v>
                </c:pt>
                <c:pt idx="175">
                  <c:v>1.2709999999999999</c:v>
                </c:pt>
                <c:pt idx="176">
                  <c:v>1.2904</c:v>
                </c:pt>
                <c:pt idx="177">
                  <c:v>1.2983</c:v>
                </c:pt>
                <c:pt idx="178">
                  <c:v>1.1992</c:v>
                </c:pt>
                <c:pt idx="179">
                  <c:v>1.1972</c:v>
                </c:pt>
                <c:pt idx="180">
                  <c:v>1.1569</c:v>
                </c:pt>
                <c:pt idx="181">
                  <c:v>1.1878</c:v>
                </c:pt>
                <c:pt idx="182">
                  <c:v>1.2015</c:v>
                </c:pt>
                <c:pt idx="183">
                  <c:v>1.2169000000000001</c:v>
                </c:pt>
                <c:pt idx="184">
                  <c:v>1.2592000000000001</c:v>
                </c:pt>
                <c:pt idx="185">
                  <c:v>1.2407999999999999</c:v>
                </c:pt>
                <c:pt idx="186">
                  <c:v>1.2749999999999999</c:v>
                </c:pt>
                <c:pt idx="187">
                  <c:v>1.2908999999999999</c:v>
                </c:pt>
                <c:pt idx="188">
                  <c:v>1.2504999999999999</c:v>
                </c:pt>
                <c:pt idx="189">
                  <c:v>1.2830999999999999</c:v>
                </c:pt>
                <c:pt idx="190">
                  <c:v>1.2471000000000001</c:v>
                </c:pt>
                <c:pt idx="191">
                  <c:v>1.2262</c:v>
                </c:pt>
                <c:pt idx="192">
                  <c:v>1.2427999999999999</c:v>
                </c:pt>
                <c:pt idx="193">
                  <c:v>1.2157</c:v>
                </c:pt>
                <c:pt idx="194">
                  <c:v>1.2061999999999999</c:v>
                </c:pt>
                <c:pt idx="195">
                  <c:v>1.2131000000000001</c:v>
                </c:pt>
                <c:pt idx="196">
                  <c:v>1.2604</c:v>
                </c:pt>
                <c:pt idx="197">
                  <c:v>1.2603</c:v>
                </c:pt>
                <c:pt idx="198">
                  <c:v>1.2363</c:v>
                </c:pt>
                <c:pt idx="199">
                  <c:v>1.256</c:v>
                </c:pt>
                <c:pt idx="200">
                  <c:v>1.2446999999999999</c:v>
                </c:pt>
                <c:pt idx="201">
                  <c:v>1.2352000000000001</c:v>
                </c:pt>
                <c:pt idx="202">
                  <c:v>1.2132000000000001</c:v>
                </c:pt>
                <c:pt idx="203">
                  <c:v>1.1908000000000001</c:v>
                </c:pt>
                <c:pt idx="204">
                  <c:v>1.1711</c:v>
                </c:pt>
                <c:pt idx="205">
                  <c:v>1.2131000000000001</c:v>
                </c:pt>
                <c:pt idx="206">
                  <c:v>1.2142999999999999</c:v>
                </c:pt>
                <c:pt idx="207">
                  <c:v>1.2228000000000001</c:v>
                </c:pt>
                <c:pt idx="208">
                  <c:v>1.2281</c:v>
                </c:pt>
                <c:pt idx="209">
                  <c:v>1.2076</c:v>
                </c:pt>
                <c:pt idx="210">
                  <c:v>1.2293000000000001</c:v>
                </c:pt>
                <c:pt idx="211">
                  <c:v>1.2044999999999999</c:v>
                </c:pt>
                <c:pt idx="212">
                  <c:v>1.1858</c:v>
                </c:pt>
                <c:pt idx="213">
                  <c:v>1.1789000000000001</c:v>
                </c:pt>
                <c:pt idx="214">
                  <c:v>1.1879999999999999</c:v>
                </c:pt>
                <c:pt idx="215">
                  <c:v>1.2134</c:v>
                </c:pt>
                <c:pt idx="216">
                  <c:v>1.2249000000000001</c:v>
                </c:pt>
                <c:pt idx="217">
                  <c:v>1.2284999999999999</c:v>
                </c:pt>
                <c:pt idx="218">
                  <c:v>1.2263999999999999</c:v>
                </c:pt>
                <c:pt idx="219">
                  <c:v>1.2130000000000001</c:v>
                </c:pt>
                <c:pt idx="220">
                  <c:v>1.2598</c:v>
                </c:pt>
                <c:pt idx="221">
                  <c:v>1.2685</c:v>
                </c:pt>
                <c:pt idx="222">
                  <c:v>1.2634000000000001</c:v>
                </c:pt>
                <c:pt idx="223">
                  <c:v>1.2181999999999999</c:v>
                </c:pt>
                <c:pt idx="224">
                  <c:v>1.2464999999999999</c:v>
                </c:pt>
                <c:pt idx="225">
                  <c:v>1.2137</c:v>
                </c:pt>
                <c:pt idx="226">
                  <c:v>1.2246999999999999</c:v>
                </c:pt>
                <c:pt idx="227">
                  <c:v>1.202</c:v>
                </c:pt>
                <c:pt idx="228">
                  <c:v>1.2049000000000001</c:v>
                </c:pt>
                <c:pt idx="229">
                  <c:v>1.1772</c:v>
                </c:pt>
                <c:pt idx="230">
                  <c:v>1.1028</c:v>
                </c:pt>
                <c:pt idx="231">
                  <c:v>1.1193</c:v>
                </c:pt>
                <c:pt idx="232">
                  <c:v>1.0976999999999999</c:v>
                </c:pt>
                <c:pt idx="233">
                  <c:v>1.0949</c:v>
                </c:pt>
                <c:pt idx="234">
                  <c:v>1.0922000000000001</c:v>
                </c:pt>
                <c:pt idx="235">
                  <c:v>1.1198999999999999</c:v>
                </c:pt>
                <c:pt idx="236">
                  <c:v>1.1694</c:v>
                </c:pt>
                <c:pt idx="237">
                  <c:v>1.2017</c:v>
                </c:pt>
                <c:pt idx="238">
                  <c:v>1.2097</c:v>
                </c:pt>
                <c:pt idx="239">
                  <c:v>1.1544000000000001</c:v>
                </c:pt>
                <c:pt idx="240">
                  <c:v>1.1437999999999999</c:v>
                </c:pt>
                <c:pt idx="241">
                  <c:v>1.1577999999999999</c:v>
                </c:pt>
                <c:pt idx="242">
                  <c:v>1.1732</c:v>
                </c:pt>
                <c:pt idx="243">
                  <c:v>1.1898</c:v>
                </c:pt>
                <c:pt idx="244">
                  <c:v>1.2132000000000001</c:v>
                </c:pt>
                <c:pt idx="245">
                  <c:v>1.1711</c:v>
                </c:pt>
                <c:pt idx="246">
                  <c:v>1.1816</c:v>
                </c:pt>
                <c:pt idx="247">
                  <c:v>1.1524000000000001</c:v>
                </c:pt>
                <c:pt idx="248">
                  <c:v>1.1234999999999999</c:v>
                </c:pt>
                <c:pt idx="249">
                  <c:v>1.1940999999999999</c:v>
                </c:pt>
                <c:pt idx="250">
                  <c:v>1.2351000000000001</c:v>
                </c:pt>
                <c:pt idx="251">
                  <c:v>1.2009000000000001</c:v>
                </c:pt>
                <c:pt idx="252">
                  <c:v>1.2316</c:v>
                </c:pt>
                <c:pt idx="253">
                  <c:v>1.2032</c:v>
                </c:pt>
                <c:pt idx="254">
                  <c:v>1.1757</c:v>
                </c:pt>
                <c:pt idx="255">
                  <c:v>1.1633</c:v>
                </c:pt>
                <c:pt idx="256">
                  <c:v>1.1795</c:v>
                </c:pt>
                <c:pt idx="257">
                  <c:v>1.1637</c:v>
                </c:pt>
                <c:pt idx="258">
                  <c:v>1.1535</c:v>
                </c:pt>
                <c:pt idx="259">
                  <c:v>1.1485000000000001</c:v>
                </c:pt>
                <c:pt idx="260">
                  <c:v>1.1725000000000001</c:v>
                </c:pt>
                <c:pt idx="261">
                  <c:v>1.1271</c:v>
                </c:pt>
                <c:pt idx="262">
                  <c:v>1.1452</c:v>
                </c:pt>
                <c:pt idx="263">
                  <c:v>1.127</c:v>
                </c:pt>
                <c:pt idx="264">
                  <c:v>1.0969</c:v>
                </c:pt>
                <c:pt idx="265">
                  <c:v>1.1288</c:v>
                </c:pt>
                <c:pt idx="266">
                  <c:v>1.0636000000000001</c:v>
                </c:pt>
                <c:pt idx="267">
                  <c:v>1.028</c:v>
                </c:pt>
                <c:pt idx="268">
                  <c:v>1.0322</c:v>
                </c:pt>
                <c:pt idx="269">
                  <c:v>1.052</c:v>
                </c:pt>
                <c:pt idx="270">
                  <c:v>1.0769</c:v>
                </c:pt>
                <c:pt idx="271">
                  <c:v>1.1081000000000001</c:v>
                </c:pt>
                <c:pt idx="272">
                  <c:v>1.1158999999999999</c:v>
                </c:pt>
                <c:pt idx="273">
                  <c:v>1.0844</c:v>
                </c:pt>
                <c:pt idx="274">
                  <c:v>1.1607000000000001</c:v>
                </c:pt>
                <c:pt idx="275">
                  <c:v>1.1940999999999999</c:v>
                </c:pt>
                <c:pt idx="276">
                  <c:v>1.1758999999999999</c:v>
                </c:pt>
                <c:pt idx="277">
                  <c:v>1.1557999999999999</c:v>
                </c:pt>
                <c:pt idx="278">
                  <c:v>1.125</c:v>
                </c:pt>
                <c:pt idx="279">
                  <c:v>1.147</c:v>
                </c:pt>
                <c:pt idx="280">
                  <c:v>1.1528</c:v>
                </c:pt>
                <c:pt idx="281">
                  <c:v>1.1626000000000001</c:v>
                </c:pt>
                <c:pt idx="282">
                  <c:v>1.1596</c:v>
                </c:pt>
                <c:pt idx="283">
                  <c:v>1.1702999999999999</c:v>
                </c:pt>
                <c:pt idx="284">
                  <c:v>1.1971000000000001</c:v>
                </c:pt>
                <c:pt idx="285">
                  <c:v>1.2509999999999999</c:v>
                </c:pt>
                <c:pt idx="286">
                  <c:v>1.2709999999999999</c:v>
                </c:pt>
                <c:pt idx="287">
                  <c:v>1.266</c:v>
                </c:pt>
                <c:pt idx="288">
                  <c:v>1.2416</c:v>
                </c:pt>
                <c:pt idx="289">
                  <c:v>1.2203999999999999</c:v>
                </c:pt>
                <c:pt idx="290">
                  <c:v>1.2399</c:v>
                </c:pt>
                <c:pt idx="291">
                  <c:v>1.2617</c:v>
                </c:pt>
                <c:pt idx="292">
                  <c:v>1.2685</c:v>
                </c:pt>
                <c:pt idx="293">
                  <c:v>1.2558</c:v>
                </c:pt>
                <c:pt idx="294">
                  <c:v>1.2559</c:v>
                </c:pt>
                <c:pt idx="295">
                  <c:v>1.2759</c:v>
                </c:pt>
                <c:pt idx="296">
                  <c:v>1.3166</c:v>
                </c:pt>
                <c:pt idx="297">
                  <c:v>1.3077000000000001</c:v>
                </c:pt>
                <c:pt idx="298">
                  <c:v>1.3190999999999999</c:v>
                </c:pt>
                <c:pt idx="299">
                  <c:v>1.3268</c:v>
                </c:pt>
                <c:pt idx="300">
                  <c:v>1.3514999999999999</c:v>
                </c:pt>
                <c:pt idx="301">
                  <c:v>1.3816999999999999</c:v>
                </c:pt>
                <c:pt idx="302">
                  <c:v>1.391</c:v>
                </c:pt>
                <c:pt idx="303">
                  <c:v>1.3548</c:v>
                </c:pt>
                <c:pt idx="304">
                  <c:v>1.3354999999999999</c:v>
                </c:pt>
                <c:pt idx="305">
                  <c:v>1.3762000000000001</c:v>
                </c:pt>
                <c:pt idx="306">
                  <c:v>1.3722000000000001</c:v>
                </c:pt>
                <c:pt idx="307">
                  <c:v>1.3607</c:v>
                </c:pt>
                <c:pt idx="308">
                  <c:v>1.3783000000000001</c:v>
                </c:pt>
                <c:pt idx="309">
                  <c:v>1.4013</c:v>
                </c:pt>
                <c:pt idx="310">
                  <c:v>1.4100999999999999</c:v>
                </c:pt>
                <c:pt idx="311">
                  <c:v>1.3729</c:v>
                </c:pt>
                <c:pt idx="312">
                  <c:v>1.4520999999999999</c:v>
                </c:pt>
                <c:pt idx="313">
                  <c:v>1.4750000000000001</c:v>
                </c:pt>
                <c:pt idx="314">
                  <c:v>1.4826999999999999</c:v>
                </c:pt>
                <c:pt idx="315">
                  <c:v>1.5423</c:v>
                </c:pt>
                <c:pt idx="316">
                  <c:v>1.5207999999999999</c:v>
                </c:pt>
                <c:pt idx="317">
                  <c:v>1.5518000000000001</c:v>
                </c:pt>
                <c:pt idx="318">
                  <c:v>1.5467</c:v>
                </c:pt>
                <c:pt idx="319">
                  <c:v>1.5538000000000001</c:v>
                </c:pt>
                <c:pt idx="320">
                  <c:v>1.5277000000000001</c:v>
                </c:pt>
                <c:pt idx="321">
                  <c:v>1.5379</c:v>
                </c:pt>
                <c:pt idx="322">
                  <c:v>1.5437000000000001</c:v>
                </c:pt>
                <c:pt idx="323">
                  <c:v>1.5471999999999999</c:v>
                </c:pt>
                <c:pt idx="324">
                  <c:v>1.5449999999999999</c:v>
                </c:pt>
                <c:pt idx="325">
                  <c:v>1.5579000000000001</c:v>
                </c:pt>
                <c:pt idx="326">
                  <c:v>1.5748</c:v>
                </c:pt>
                <c:pt idx="327">
                  <c:v>1.5716000000000001</c:v>
                </c:pt>
                <c:pt idx="328">
                  <c:v>1.5753999999999999</c:v>
                </c:pt>
                <c:pt idx="329">
                  <c:v>1.5527</c:v>
                </c:pt>
                <c:pt idx="330">
                  <c:v>1.5901000000000001</c:v>
                </c:pt>
                <c:pt idx="331">
                  <c:v>1.6160000000000001</c:v>
                </c:pt>
                <c:pt idx="332">
                  <c:v>1.6486000000000001</c:v>
                </c:pt>
                <c:pt idx="333">
                  <c:v>1.6448</c:v>
                </c:pt>
                <c:pt idx="334">
                  <c:v>1.6493</c:v>
                </c:pt>
                <c:pt idx="335">
                  <c:v>1.6748000000000001</c:v>
                </c:pt>
                <c:pt idx="336">
                  <c:v>1.6736</c:v>
                </c:pt>
                <c:pt idx="337">
                  <c:v>1.7841</c:v>
                </c:pt>
                <c:pt idx="338">
                  <c:v>1.7786</c:v>
                </c:pt>
                <c:pt idx="339">
                  <c:v>1.8139000000000001</c:v>
                </c:pt>
                <c:pt idx="340">
                  <c:v>1.8636999999999999</c:v>
                </c:pt>
                <c:pt idx="341">
                  <c:v>1.8937999999999999</c:v>
                </c:pt>
                <c:pt idx="342">
                  <c:v>1.8872</c:v>
                </c:pt>
                <c:pt idx="343">
                  <c:v>1.8889</c:v>
                </c:pt>
                <c:pt idx="344">
                  <c:v>1.9309000000000001</c:v>
                </c:pt>
                <c:pt idx="345">
                  <c:v>1.9424999999999999</c:v>
                </c:pt>
                <c:pt idx="346">
                  <c:v>1.9777</c:v>
                </c:pt>
                <c:pt idx="347">
                  <c:v>1.9763999999999999</c:v>
                </c:pt>
                <c:pt idx="348">
                  <c:v>1.9504999999999999</c:v>
                </c:pt>
                <c:pt idx="349">
                  <c:v>1.9429000000000001</c:v>
                </c:pt>
                <c:pt idx="350">
                  <c:v>1.9363999999999999</c:v>
                </c:pt>
                <c:pt idx="351">
                  <c:v>1.9518</c:v>
                </c:pt>
                <c:pt idx="352">
                  <c:v>1.9979</c:v>
                </c:pt>
                <c:pt idx="353">
                  <c:v>2.0647000000000002</c:v>
                </c:pt>
                <c:pt idx="354">
                  <c:v>2.0487000000000002</c:v>
                </c:pt>
                <c:pt idx="355">
                  <c:v>2.0501999999999998</c:v>
                </c:pt>
                <c:pt idx="356">
                  <c:v>2.0747</c:v>
                </c:pt>
                <c:pt idx="357">
                  <c:v>2.1273</c:v>
                </c:pt>
                <c:pt idx="358">
                  <c:v>2.1347999999999998</c:v>
                </c:pt>
                <c:pt idx="359">
                  <c:v>2.0994000000000002</c:v>
                </c:pt>
                <c:pt idx="360">
                  <c:v>2.0956999999999999</c:v>
                </c:pt>
                <c:pt idx="361">
                  <c:v>2.0474999999999999</c:v>
                </c:pt>
                <c:pt idx="362">
                  <c:v>1.9407000000000001</c:v>
                </c:pt>
                <c:pt idx="363">
                  <c:v>1.9437</c:v>
                </c:pt>
                <c:pt idx="364">
                  <c:v>1.9583999999999999</c:v>
                </c:pt>
                <c:pt idx="365">
                  <c:v>1.8958999999999999</c:v>
                </c:pt>
                <c:pt idx="366">
                  <c:v>1.9875</c:v>
                </c:pt>
                <c:pt idx="367">
                  <c:v>1.9196</c:v>
                </c:pt>
                <c:pt idx="368">
                  <c:v>1.9709000000000001</c:v>
                </c:pt>
                <c:pt idx="369">
                  <c:v>2.0009000000000001</c:v>
                </c:pt>
                <c:pt idx="370">
                  <c:v>1.9964</c:v>
                </c:pt>
                <c:pt idx="371">
                  <c:v>1.9597</c:v>
                </c:pt>
                <c:pt idx="372">
                  <c:v>2.0223</c:v>
                </c:pt>
                <c:pt idx="373">
                  <c:v>1.9611000000000001</c:v>
                </c:pt>
                <c:pt idx="374">
                  <c:v>1.9662999999999999</c:v>
                </c:pt>
                <c:pt idx="375">
                  <c:v>1.9518</c:v>
                </c:pt>
                <c:pt idx="376">
                  <c:v>1.9593</c:v>
                </c:pt>
                <c:pt idx="377">
                  <c:v>1.9621</c:v>
                </c:pt>
                <c:pt idx="378">
                  <c:v>1.97</c:v>
                </c:pt>
                <c:pt idx="379">
                  <c:v>1.9757</c:v>
                </c:pt>
                <c:pt idx="380">
                  <c:v>2.0409000000000002</c:v>
                </c:pt>
                <c:pt idx="381">
                  <c:v>2.0526</c:v>
                </c:pt>
                <c:pt idx="382">
                  <c:v>2.0426000000000002</c:v>
                </c:pt>
                <c:pt idx="383">
                  <c:v>2.0463</c:v>
                </c:pt>
                <c:pt idx="384">
                  <c:v>2.0209000000000001</c:v>
                </c:pt>
                <c:pt idx="385">
                  <c:v>1.9881</c:v>
                </c:pt>
                <c:pt idx="386">
                  <c:v>1.9811000000000001</c:v>
                </c:pt>
                <c:pt idx="387">
                  <c:v>2.0051000000000001</c:v>
                </c:pt>
                <c:pt idx="388">
                  <c:v>1.9902</c:v>
                </c:pt>
                <c:pt idx="389">
                  <c:v>2.0287999999999999</c:v>
                </c:pt>
                <c:pt idx="390">
                  <c:v>2.0743</c:v>
                </c:pt>
                <c:pt idx="391">
                  <c:v>2.0988000000000002</c:v>
                </c:pt>
                <c:pt idx="392">
                  <c:v>2.0762999999999998</c:v>
                </c:pt>
                <c:pt idx="393">
                  <c:v>2.1015000000000001</c:v>
                </c:pt>
                <c:pt idx="394">
                  <c:v>2.1511999999999998</c:v>
                </c:pt>
                <c:pt idx="395">
                  <c:v>2.1513</c:v>
                </c:pt>
                <c:pt idx="396">
                  <c:v>2.1137000000000001</c:v>
                </c:pt>
                <c:pt idx="397">
                  <c:v>2.1269</c:v>
                </c:pt>
                <c:pt idx="398">
                  <c:v>2.1334</c:v>
                </c:pt>
                <c:pt idx="399">
                  <c:v>2.1398999999999999</c:v>
                </c:pt>
                <c:pt idx="400">
                  <c:v>2.161</c:v>
                </c:pt>
                <c:pt idx="401">
                  <c:v>2.093</c:v>
                </c:pt>
                <c:pt idx="402">
                  <c:v>2.1223999999999998</c:v>
                </c:pt>
                <c:pt idx="403">
                  <c:v>2.1536</c:v>
                </c:pt>
                <c:pt idx="404">
                  <c:v>2.1554000000000002</c:v>
                </c:pt>
                <c:pt idx="405">
                  <c:v>2.0979000000000001</c:v>
                </c:pt>
                <c:pt idx="406">
                  <c:v>2.0461999999999998</c:v>
                </c:pt>
                <c:pt idx="407">
                  <c:v>2.0709</c:v>
                </c:pt>
                <c:pt idx="408">
                  <c:v>2.1217000000000001</c:v>
                </c:pt>
                <c:pt idx="409">
                  <c:v>2.1229</c:v>
                </c:pt>
                <c:pt idx="410">
                  <c:v>2.1511999999999998</c:v>
                </c:pt>
                <c:pt idx="411">
                  <c:v>2.1551999999999998</c:v>
                </c:pt>
                <c:pt idx="412">
                  <c:v>2.1368999999999998</c:v>
                </c:pt>
                <c:pt idx="413">
                  <c:v>2.1703999999999999</c:v>
                </c:pt>
                <c:pt idx="414">
                  <c:v>2.1941000000000002</c:v>
                </c:pt>
                <c:pt idx="415">
                  <c:v>2.2018</c:v>
                </c:pt>
                <c:pt idx="416">
                  <c:v>2.2115</c:v>
                </c:pt>
                <c:pt idx="417">
                  <c:v>2.1930999999999998</c:v>
                </c:pt>
                <c:pt idx="418">
                  <c:v>2.2189999999999999</c:v>
                </c:pt>
                <c:pt idx="419">
                  <c:v>2.2025000000000001</c:v>
                </c:pt>
                <c:pt idx="420">
                  <c:v>2.2122000000000002</c:v>
                </c:pt>
                <c:pt idx="421">
                  <c:v>2.1861000000000002</c:v>
                </c:pt>
                <c:pt idx="422">
                  <c:v>2.173</c:v>
                </c:pt>
                <c:pt idx="423">
                  <c:v>2.1728999999999998</c:v>
                </c:pt>
                <c:pt idx="424">
                  <c:v>2.16</c:v>
                </c:pt>
                <c:pt idx="425">
                  <c:v>2.1387999999999998</c:v>
                </c:pt>
                <c:pt idx="426">
                  <c:v>2.1739999999999999</c:v>
                </c:pt>
                <c:pt idx="427">
                  <c:v>2.2031000000000001</c:v>
                </c:pt>
                <c:pt idx="428">
                  <c:v>2.2301000000000002</c:v>
                </c:pt>
                <c:pt idx="429">
                  <c:v>2.2698999999999998</c:v>
                </c:pt>
                <c:pt idx="430">
                  <c:v>2.2799999999999998</c:v>
                </c:pt>
                <c:pt idx="431">
                  <c:v>2.2612000000000001</c:v>
                </c:pt>
                <c:pt idx="432">
                  <c:v>2.2176999999999998</c:v>
                </c:pt>
                <c:pt idx="433">
                  <c:v>2.2414999999999998</c:v>
                </c:pt>
                <c:pt idx="434">
                  <c:v>2.2418</c:v>
                </c:pt>
                <c:pt idx="435">
                  <c:v>2.2675999999999998</c:v>
                </c:pt>
                <c:pt idx="436">
                  <c:v>2.2997999999999998</c:v>
                </c:pt>
                <c:pt idx="437">
                  <c:v>2.2282000000000002</c:v>
                </c:pt>
                <c:pt idx="438">
                  <c:v>2.206</c:v>
                </c:pt>
                <c:pt idx="439">
                  <c:v>2.2551999999999999</c:v>
                </c:pt>
                <c:pt idx="440">
                  <c:v>2.2919999999999998</c:v>
                </c:pt>
                <c:pt idx="441">
                  <c:v>2.2772000000000001</c:v>
                </c:pt>
                <c:pt idx="442">
                  <c:v>2.3016999999999999</c:v>
                </c:pt>
                <c:pt idx="443">
                  <c:v>2.2722000000000002</c:v>
                </c:pt>
                <c:pt idx="444">
                  <c:v>2.2317999999999998</c:v>
                </c:pt>
                <c:pt idx="445">
                  <c:v>2.2345000000000002</c:v>
                </c:pt>
                <c:pt idx="446">
                  <c:v>2.0903</c:v>
                </c:pt>
                <c:pt idx="447">
                  <c:v>2.1103999999999998</c:v>
                </c:pt>
                <c:pt idx="448">
                  <c:v>2.1941000000000002</c:v>
                </c:pt>
                <c:pt idx="449">
                  <c:v>2.2473999999999998</c:v>
                </c:pt>
                <c:pt idx="450">
                  <c:v>2.2612000000000001</c:v>
                </c:pt>
                <c:pt idx="451">
                  <c:v>2.2753999999999999</c:v>
                </c:pt>
                <c:pt idx="452">
                  <c:v>2.2812999999999999</c:v>
                </c:pt>
                <c:pt idx="453">
                  <c:v>2.282</c:v>
                </c:pt>
                <c:pt idx="454">
                  <c:v>2.3250999999999999</c:v>
                </c:pt>
                <c:pt idx="455">
                  <c:v>2.3347000000000002</c:v>
                </c:pt>
                <c:pt idx="456">
                  <c:v>2.2747000000000002</c:v>
                </c:pt>
                <c:pt idx="457">
                  <c:v>2.2707999999999999</c:v>
                </c:pt>
                <c:pt idx="458">
                  <c:v>2.25</c:v>
                </c:pt>
                <c:pt idx="459">
                  <c:v>2.294</c:v>
                </c:pt>
                <c:pt idx="460">
                  <c:v>2.2568999999999999</c:v>
                </c:pt>
                <c:pt idx="461">
                  <c:v>2.2347999999999999</c:v>
                </c:pt>
                <c:pt idx="462">
                  <c:v>2.2679</c:v>
                </c:pt>
                <c:pt idx="463">
                  <c:v>2.3022</c:v>
                </c:pt>
                <c:pt idx="464">
                  <c:v>2.13</c:v>
                </c:pt>
                <c:pt idx="465">
                  <c:v>2.1128999999999998</c:v>
                </c:pt>
                <c:pt idx="466">
                  <c:v>2.0668000000000002</c:v>
                </c:pt>
                <c:pt idx="467">
                  <c:v>2.0396999999999998</c:v>
                </c:pt>
                <c:pt idx="468">
                  <c:v>2.0162</c:v>
                </c:pt>
                <c:pt idx="469">
                  <c:v>1.9524999999999999</c:v>
                </c:pt>
                <c:pt idx="470">
                  <c:v>1.8902000000000001</c:v>
                </c:pt>
                <c:pt idx="471">
                  <c:v>1.9865999999999999</c:v>
                </c:pt>
                <c:pt idx="472">
                  <c:v>2.0575999999999999</c:v>
                </c:pt>
                <c:pt idx="473">
                  <c:v>2.145</c:v>
                </c:pt>
                <c:pt idx="474">
                  <c:v>2.0922999999999998</c:v>
                </c:pt>
                <c:pt idx="475">
                  <c:v>2.1196000000000002</c:v>
                </c:pt>
                <c:pt idx="476">
                  <c:v>2.1537999999999999</c:v>
                </c:pt>
                <c:pt idx="477">
                  <c:v>2.1419000000000001</c:v>
                </c:pt>
                <c:pt idx="478">
                  <c:v>2.1109</c:v>
                </c:pt>
                <c:pt idx="479">
                  <c:v>2.1635</c:v>
                </c:pt>
                <c:pt idx="480">
                  <c:v>2.1539999999999999</c:v>
                </c:pt>
                <c:pt idx="481">
                  <c:v>2.13</c:v>
                </c:pt>
                <c:pt idx="482">
                  <c:v>2.1320999999999999</c:v>
                </c:pt>
                <c:pt idx="483">
                  <c:v>2.0996999999999999</c:v>
                </c:pt>
                <c:pt idx="484">
                  <c:v>2.1539999999999999</c:v>
                </c:pt>
                <c:pt idx="485">
                  <c:v>2.1608999999999998</c:v>
                </c:pt>
                <c:pt idx="486">
                  <c:v>2.1118999999999999</c:v>
                </c:pt>
                <c:pt idx="487">
                  <c:v>2.1438000000000001</c:v>
                </c:pt>
                <c:pt idx="488">
                  <c:v>2.1269</c:v>
                </c:pt>
                <c:pt idx="489">
                  <c:v>2.1156999999999999</c:v>
                </c:pt>
                <c:pt idx="490">
                  <c:v>2.0602999999999998</c:v>
                </c:pt>
                <c:pt idx="491">
                  <c:v>2.0598000000000001</c:v>
                </c:pt>
                <c:pt idx="492">
                  <c:v>2.0836999999999999</c:v>
                </c:pt>
                <c:pt idx="493">
                  <c:v>2.1261000000000001</c:v>
                </c:pt>
                <c:pt idx="494">
                  <c:v>2.1377000000000002</c:v>
                </c:pt>
                <c:pt idx="495">
                  <c:v>2.17</c:v>
                </c:pt>
                <c:pt idx="496">
                  <c:v>2.1475</c:v>
                </c:pt>
                <c:pt idx="497">
                  <c:v>2.1749999999999998</c:v>
                </c:pt>
                <c:pt idx="498">
                  <c:v>2.194</c:v>
                </c:pt>
                <c:pt idx="499">
                  <c:v>2.25</c:v>
                </c:pt>
                <c:pt idx="500">
                  <c:v>2.3085</c:v>
                </c:pt>
                <c:pt idx="501">
                  <c:v>2.3578999999999999</c:v>
                </c:pt>
                <c:pt idx="502">
                  <c:v>2.3081999999999998</c:v>
                </c:pt>
                <c:pt idx="503">
                  <c:v>2.3344</c:v>
                </c:pt>
                <c:pt idx="504">
                  <c:v>2.3662000000000001</c:v>
                </c:pt>
                <c:pt idx="505">
                  <c:v>2.3778999999999999</c:v>
                </c:pt>
                <c:pt idx="506">
                  <c:v>2.3828999999999998</c:v>
                </c:pt>
                <c:pt idx="507">
                  <c:v>2.4055</c:v>
                </c:pt>
                <c:pt idx="508">
                  <c:v>2.3824000000000001</c:v>
                </c:pt>
                <c:pt idx="509">
                  <c:v>2.4251</c:v>
                </c:pt>
                <c:pt idx="510">
                  <c:v>2.4222999999999999</c:v>
                </c:pt>
                <c:pt idx="511">
                  <c:v>2.4176000000000002</c:v>
                </c:pt>
                <c:pt idx="512">
                  <c:v>2.4468999999999999</c:v>
                </c:pt>
                <c:pt idx="513">
                  <c:v>2.419</c:v>
                </c:pt>
                <c:pt idx="514">
                  <c:v>2.4156</c:v>
                </c:pt>
                <c:pt idx="515">
                  <c:v>2.4426999999999999</c:v>
                </c:pt>
                <c:pt idx="516">
                  <c:v>2.4472</c:v>
                </c:pt>
                <c:pt idx="517">
                  <c:v>2.3792</c:v>
                </c:pt>
                <c:pt idx="518">
                  <c:v>2.3589000000000002</c:v>
                </c:pt>
                <c:pt idx="519">
                  <c:v>2.3696999999999999</c:v>
                </c:pt>
                <c:pt idx="520">
                  <c:v>2.4093</c:v>
                </c:pt>
                <c:pt idx="521">
                  <c:v>2.4500999999999999</c:v>
                </c:pt>
                <c:pt idx="522">
                  <c:v>2.3384999999999998</c:v>
                </c:pt>
                <c:pt idx="523">
                  <c:v>2.2926000000000002</c:v>
                </c:pt>
                <c:pt idx="524">
                  <c:v>2.3209</c:v>
                </c:pt>
                <c:pt idx="525">
                  <c:v>2.3222</c:v>
                </c:pt>
                <c:pt idx="526">
                  <c:v>2.3752</c:v>
                </c:pt>
                <c:pt idx="527">
                  <c:v>2.2646000000000002</c:v>
                </c:pt>
                <c:pt idx="528">
                  <c:v>2.2806000000000002</c:v>
                </c:pt>
                <c:pt idx="529">
                  <c:v>2.2685</c:v>
                </c:pt>
                <c:pt idx="530">
                  <c:v>2.2761999999999998</c:v>
                </c:pt>
                <c:pt idx="531">
                  <c:v>2.2936000000000001</c:v>
                </c:pt>
                <c:pt idx="532">
                  <c:v>2.2305000000000001</c:v>
                </c:pt>
                <c:pt idx="533">
                  <c:v>2.2427000000000001</c:v>
                </c:pt>
                <c:pt idx="534">
                  <c:v>2.1568999999999998</c:v>
                </c:pt>
                <c:pt idx="535">
                  <c:v>2.2033</c:v>
                </c:pt>
                <c:pt idx="536">
                  <c:v>2.2783000000000002</c:v>
                </c:pt>
                <c:pt idx="537">
                  <c:v>2.2658999999999998</c:v>
                </c:pt>
                <c:pt idx="538">
                  <c:v>1.9811000000000001</c:v>
                </c:pt>
                <c:pt idx="539">
                  <c:v>2.0329999999999999</c:v>
                </c:pt>
                <c:pt idx="540">
                  <c:v>1.9400999999999999</c:v>
                </c:pt>
                <c:pt idx="541">
                  <c:v>1.9511000000000001</c:v>
                </c:pt>
                <c:pt idx="542">
                  <c:v>1.9677</c:v>
                </c:pt>
                <c:pt idx="543">
                  <c:v>1.9529000000000001</c:v>
                </c:pt>
                <c:pt idx="544">
                  <c:v>2.0432999999999999</c:v>
                </c:pt>
                <c:pt idx="545">
                  <c:v>2.1</c:v>
                </c:pt>
                <c:pt idx="546">
                  <c:v>2.1484999999999999</c:v>
                </c:pt>
                <c:pt idx="547">
                  <c:v>2.1284000000000001</c:v>
                </c:pt>
                <c:pt idx="548">
                  <c:v>2.1372</c:v>
                </c:pt>
                <c:pt idx="549">
                  <c:v>2.1164999999999998</c:v>
                </c:pt>
                <c:pt idx="550">
                  <c:v>2.1107999999999998</c:v>
                </c:pt>
                <c:pt idx="551">
                  <c:v>2.1122999999999998</c:v>
                </c:pt>
                <c:pt idx="552">
                  <c:v>2.1644000000000001</c:v>
                </c:pt>
                <c:pt idx="553">
                  <c:v>2.1126</c:v>
                </c:pt>
                <c:pt idx="554">
                  <c:v>2.0785999999999998</c:v>
                </c:pt>
                <c:pt idx="555">
                  <c:v>2.1448</c:v>
                </c:pt>
                <c:pt idx="556">
                  <c:v>2.165</c:v>
                </c:pt>
                <c:pt idx="557">
                  <c:v>2.2033</c:v>
                </c:pt>
                <c:pt idx="558">
                  <c:v>2.2303999999999999</c:v>
                </c:pt>
                <c:pt idx="559">
                  <c:v>2.246</c:v>
                </c:pt>
                <c:pt idx="560">
                  <c:v>2.2665999999999999</c:v>
                </c:pt>
                <c:pt idx="561">
                  <c:v>2.2913999999999999</c:v>
                </c:pt>
                <c:pt idx="562">
                  <c:v>2.2246000000000001</c:v>
                </c:pt>
                <c:pt idx="563">
                  <c:v>2.2565</c:v>
                </c:pt>
                <c:pt idx="564">
                  <c:v>2.2763</c:v>
                </c:pt>
                <c:pt idx="565">
                  <c:v>2.2921</c:v>
                </c:pt>
                <c:pt idx="566">
                  <c:v>2.3043</c:v>
                </c:pt>
                <c:pt idx="567">
                  <c:v>2.2989000000000002</c:v>
                </c:pt>
                <c:pt idx="568">
                  <c:v>2.2753999999999999</c:v>
                </c:pt>
                <c:pt idx="569">
                  <c:v>2.3574000000000002</c:v>
                </c:pt>
                <c:pt idx="570">
                  <c:v>2.3908</c:v>
                </c:pt>
                <c:pt idx="571">
                  <c:v>2.3877000000000002</c:v>
                </c:pt>
                <c:pt idx="572">
                  <c:v>2.4237000000000002</c:v>
                </c:pt>
                <c:pt idx="573">
                  <c:v>2.4386999999999999</c:v>
                </c:pt>
                <c:pt idx="574">
                  <c:v>2.4615</c:v>
                </c:pt>
                <c:pt idx="575">
                  <c:v>2.4662000000000002</c:v>
                </c:pt>
                <c:pt idx="576">
                  <c:v>2.4464999999999999</c:v>
                </c:pt>
                <c:pt idx="577">
                  <c:v>2.4020999999999999</c:v>
                </c:pt>
                <c:pt idx="578">
                  <c:v>2.4626000000000001</c:v>
                </c:pt>
                <c:pt idx="579">
                  <c:v>2.5232000000000001</c:v>
                </c:pt>
                <c:pt idx="580">
                  <c:v>2.5209999999999999</c:v>
                </c:pt>
                <c:pt idx="581">
                  <c:v>2.5379</c:v>
                </c:pt>
                <c:pt idx="582">
                  <c:v>2.5543999999999998</c:v>
                </c:pt>
                <c:pt idx="583">
                  <c:v>2.5752000000000002</c:v>
                </c:pt>
                <c:pt idx="584">
                  <c:v>2.6070000000000002</c:v>
                </c:pt>
                <c:pt idx="585">
                  <c:v>2.6427</c:v>
                </c:pt>
                <c:pt idx="586">
                  <c:v>2.6785000000000001</c:v>
                </c:pt>
                <c:pt idx="587">
                  <c:v>2.6852999999999998</c:v>
                </c:pt>
                <c:pt idx="588">
                  <c:v>2.6251000000000002</c:v>
                </c:pt>
                <c:pt idx="589">
                  <c:v>2.6534</c:v>
                </c:pt>
                <c:pt idx="590">
                  <c:v>2.6654</c:v>
                </c:pt>
                <c:pt idx="591">
                  <c:v>2.7385999999999999</c:v>
                </c:pt>
                <c:pt idx="592">
                  <c:v>2.9068000000000001</c:v>
                </c:pt>
                <c:pt idx="593">
                  <c:v>2.8094999999999999</c:v>
                </c:pt>
                <c:pt idx="594">
                  <c:v>2.8283</c:v>
                </c:pt>
                <c:pt idx="595">
                  <c:v>2.7959999999999998</c:v>
                </c:pt>
                <c:pt idx="596">
                  <c:v>2.8119000000000001</c:v>
                </c:pt>
                <c:pt idx="597">
                  <c:v>2.8542999999999998</c:v>
                </c:pt>
                <c:pt idx="598">
                  <c:v>2.8759999999999999</c:v>
                </c:pt>
                <c:pt idx="599">
                  <c:v>2.9165000000000001</c:v>
                </c:pt>
                <c:pt idx="600">
                  <c:v>2.8740999999999999</c:v>
                </c:pt>
                <c:pt idx="601">
                  <c:v>2.9325000000000001</c:v>
                </c:pt>
                <c:pt idx="602">
                  <c:v>3.0886999999999998</c:v>
                </c:pt>
                <c:pt idx="603">
                  <c:v>3.3083</c:v>
                </c:pt>
                <c:pt idx="604">
                  <c:v>3.2844000000000002</c:v>
                </c:pt>
                <c:pt idx="605">
                  <c:v>3.544</c:v>
                </c:pt>
                <c:pt idx="606">
                  <c:v>3.5720999999999998</c:v>
                </c:pt>
                <c:pt idx="607">
                  <c:v>3.6825999999999999</c:v>
                </c:pt>
                <c:pt idx="608">
                  <c:v>3.2938000000000001</c:v>
                </c:pt>
                <c:pt idx="609">
                  <c:v>3.1566999999999998</c:v>
                </c:pt>
                <c:pt idx="610">
                  <c:v>3.3121</c:v>
                </c:pt>
                <c:pt idx="611">
                  <c:v>3.1339000000000001</c:v>
                </c:pt>
                <c:pt idx="612">
                  <c:v>2.9657</c:v>
                </c:pt>
                <c:pt idx="613">
                  <c:v>2.952</c:v>
                </c:pt>
                <c:pt idx="614">
                  <c:v>3.1821999999999999</c:v>
                </c:pt>
                <c:pt idx="615">
                  <c:v>3.2059000000000002</c:v>
                </c:pt>
                <c:pt idx="616">
                  <c:v>3.3378999999999999</c:v>
                </c:pt>
                <c:pt idx="617">
                  <c:v>3.3046000000000002</c:v>
                </c:pt>
                <c:pt idx="618">
                  <c:v>3.4195000000000002</c:v>
                </c:pt>
                <c:pt idx="619">
                  <c:v>3.3689</c:v>
                </c:pt>
                <c:pt idx="620">
                  <c:v>3.4363000000000001</c:v>
                </c:pt>
                <c:pt idx="621">
                  <c:v>3.1962000000000002</c:v>
                </c:pt>
                <c:pt idx="622">
                  <c:v>3.1766999999999999</c:v>
                </c:pt>
                <c:pt idx="623">
                  <c:v>3.2864</c:v>
                </c:pt>
                <c:pt idx="624">
                  <c:v>3.1509</c:v>
                </c:pt>
                <c:pt idx="625">
                  <c:v>3.1535000000000002</c:v>
                </c:pt>
                <c:pt idx="626">
                  <c:v>3.1981000000000002</c:v>
                </c:pt>
                <c:pt idx="627">
                  <c:v>3.1648999999999998</c:v>
                </c:pt>
                <c:pt idx="628">
                  <c:v>3.0461999999999998</c:v>
                </c:pt>
                <c:pt idx="629">
                  <c:v>3.0398000000000001</c:v>
                </c:pt>
                <c:pt idx="630">
                  <c:v>3.1316000000000002</c:v>
                </c:pt>
                <c:pt idx="631">
                  <c:v>3.0030999999999999</c:v>
                </c:pt>
                <c:pt idx="632">
                  <c:v>3.1537999999999999</c:v>
                </c:pt>
                <c:pt idx="633">
                  <c:v>3.2913000000000001</c:v>
                </c:pt>
                <c:pt idx="634">
                  <c:v>3.3814000000000002</c:v>
                </c:pt>
                <c:pt idx="635">
                  <c:v>3.3580000000000001</c:v>
                </c:pt>
                <c:pt idx="636">
                  <c:v>3.2288999999999999</c:v>
                </c:pt>
                <c:pt idx="637">
                  <c:v>3.2618</c:v>
                </c:pt>
                <c:pt idx="638">
                  <c:v>3.3174999999999999</c:v>
                </c:pt>
                <c:pt idx="639">
                  <c:v>3.286</c:v>
                </c:pt>
                <c:pt idx="640">
                  <c:v>3.2206000000000001</c:v>
                </c:pt>
                <c:pt idx="641">
                  <c:v>3.3109999999999999</c:v>
                </c:pt>
                <c:pt idx="642">
                  <c:v>3.4135</c:v>
                </c:pt>
                <c:pt idx="643">
                  <c:v>3.4759000000000002</c:v>
                </c:pt>
                <c:pt idx="644">
                  <c:v>3.4424000000000001</c:v>
                </c:pt>
                <c:pt idx="645">
                  <c:v>3.5101</c:v>
                </c:pt>
                <c:pt idx="646">
                  <c:v>3.5011999999999999</c:v>
                </c:pt>
                <c:pt idx="647">
                  <c:v>3.6522999999999999</c:v>
                </c:pt>
                <c:pt idx="648">
                  <c:v>3.6587000000000001</c:v>
                </c:pt>
                <c:pt idx="649">
                  <c:v>3.7589999999999999</c:v>
                </c:pt>
                <c:pt idx="650">
                  <c:v>3.6419000000000001</c:v>
                </c:pt>
                <c:pt idx="651">
                  <c:v>3.5415000000000001</c:v>
                </c:pt>
                <c:pt idx="652">
                  <c:v>3.6855000000000002</c:v>
                </c:pt>
                <c:pt idx="653">
                  <c:v>3.7917000000000001</c:v>
                </c:pt>
                <c:pt idx="654">
                  <c:v>3.9578000000000002</c:v>
                </c:pt>
                <c:pt idx="655">
                  <c:v>3.8405</c:v>
                </c:pt>
                <c:pt idx="656">
                  <c:v>3.7763</c:v>
                </c:pt>
                <c:pt idx="657">
                  <c:v>3.5912999999999999</c:v>
                </c:pt>
                <c:pt idx="658">
                  <c:v>3.6776</c:v>
                </c:pt>
                <c:pt idx="659">
                  <c:v>3.6897000000000002</c:v>
                </c:pt>
                <c:pt idx="660">
                  <c:v>3.6802000000000001</c:v>
                </c:pt>
                <c:pt idx="661">
                  <c:v>3.6897000000000002</c:v>
                </c:pt>
                <c:pt idx="662">
                  <c:v>3.7252999999999998</c:v>
                </c:pt>
                <c:pt idx="663">
                  <c:v>3.7924000000000002</c:v>
                </c:pt>
                <c:pt idx="664">
                  <c:v>3.9119000000000002</c:v>
                </c:pt>
                <c:pt idx="665">
                  <c:v>3.9161999999999999</c:v>
                </c:pt>
                <c:pt idx="666">
                  <c:v>4.0716000000000001</c:v>
                </c:pt>
                <c:pt idx="667">
                  <c:v>4.1909000000000001</c:v>
                </c:pt>
                <c:pt idx="668">
                  <c:v>4.2522000000000002</c:v>
                </c:pt>
                <c:pt idx="669">
                  <c:v>4.1929999999999996</c:v>
                </c:pt>
                <c:pt idx="670">
                  <c:v>4.1577000000000002</c:v>
                </c:pt>
                <c:pt idx="671">
                  <c:v>4.2218999999999998</c:v>
                </c:pt>
                <c:pt idx="672">
                  <c:v>4.2762000000000002</c:v>
                </c:pt>
                <c:pt idx="673">
                  <c:v>4.1722000000000001</c:v>
                </c:pt>
                <c:pt idx="674">
                  <c:v>4.0353000000000003</c:v>
                </c:pt>
                <c:pt idx="675">
                  <c:v>3.9937999999999998</c:v>
                </c:pt>
                <c:pt idx="676">
                  <c:v>3.8942000000000001</c:v>
                </c:pt>
                <c:pt idx="677">
                  <c:v>3.9558</c:v>
                </c:pt>
                <c:pt idx="678">
                  <c:v>3.7930000000000001</c:v>
                </c:pt>
                <c:pt idx="679">
                  <c:v>3.69</c:v>
                </c:pt>
                <c:pt idx="680">
                  <c:v>3.7298</c:v>
                </c:pt>
                <c:pt idx="681">
                  <c:v>3.661</c:v>
                </c:pt>
                <c:pt idx="682">
                  <c:v>3.72</c:v>
                </c:pt>
                <c:pt idx="683">
                  <c:v>3.73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1D9-46F9-B7DA-261F1CD19D3B}"/>
            </c:ext>
          </c:extLst>
        </c:ser>
        <c:ser>
          <c:idx val="1"/>
          <c:order val="1"/>
          <c:tx>
            <c:strRef>
              <c:f>'GasPrice at Pump'!$L$1</c:f>
              <c:strCache>
                <c:ptCount val="1"/>
                <c:pt idx="0">
                  <c:v>RetailGas</c:v>
                </c:pt>
              </c:strCache>
            </c:strRef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2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'GasPrice at Pump'!$J$2:$J$685</c:f>
              <c:strCache>
                <c:ptCount val="684"/>
                <c:pt idx="0">
                  <c:v>10/31/2019</c:v>
                </c:pt>
                <c:pt idx="1">
                  <c:v>11/1/2019</c:v>
                </c:pt>
                <c:pt idx="2">
                  <c:v>11/4/2019</c:v>
                </c:pt>
                <c:pt idx="3">
                  <c:v>11/5/2019</c:v>
                </c:pt>
                <c:pt idx="4">
                  <c:v>11/6/2019</c:v>
                </c:pt>
                <c:pt idx="5">
                  <c:v>11/7/2019</c:v>
                </c:pt>
                <c:pt idx="6">
                  <c:v>11/8/2019</c:v>
                </c:pt>
                <c:pt idx="7">
                  <c:v>11/11/2019</c:v>
                </c:pt>
                <c:pt idx="8">
                  <c:v>11/12/2019</c:v>
                </c:pt>
                <c:pt idx="9">
                  <c:v>11/13/2019</c:v>
                </c:pt>
                <c:pt idx="10">
                  <c:v>11/14/2019</c:v>
                </c:pt>
                <c:pt idx="11">
                  <c:v>11/15/2019</c:v>
                </c:pt>
                <c:pt idx="12">
                  <c:v>11/18/2019</c:v>
                </c:pt>
                <c:pt idx="13">
                  <c:v>11/19/2019</c:v>
                </c:pt>
                <c:pt idx="14">
                  <c:v>11/20/2019</c:v>
                </c:pt>
                <c:pt idx="15">
                  <c:v>11/21/2019</c:v>
                </c:pt>
                <c:pt idx="16">
                  <c:v>11/22/2019</c:v>
                </c:pt>
                <c:pt idx="17">
                  <c:v>11/25/2019</c:v>
                </c:pt>
                <c:pt idx="18">
                  <c:v>11/26/2019</c:v>
                </c:pt>
                <c:pt idx="19">
                  <c:v>11/27/2019</c:v>
                </c:pt>
                <c:pt idx="20">
                  <c:v>11/28/2019</c:v>
                </c:pt>
                <c:pt idx="21">
                  <c:v>11/29/2019</c:v>
                </c:pt>
                <c:pt idx="22">
                  <c:v>12/2/2019</c:v>
                </c:pt>
                <c:pt idx="23">
                  <c:v>12/3/2019</c:v>
                </c:pt>
                <c:pt idx="24">
                  <c:v>12/4/2019</c:v>
                </c:pt>
                <c:pt idx="25">
                  <c:v>12/5/2019</c:v>
                </c:pt>
                <c:pt idx="26">
                  <c:v>12/6/2019</c:v>
                </c:pt>
                <c:pt idx="27">
                  <c:v>12/9/2019</c:v>
                </c:pt>
                <c:pt idx="28">
                  <c:v>12/10/2019</c:v>
                </c:pt>
                <c:pt idx="29">
                  <c:v>12/11/2019</c:v>
                </c:pt>
                <c:pt idx="30">
                  <c:v>12/12/2019</c:v>
                </c:pt>
                <c:pt idx="31">
                  <c:v>12/13/2019</c:v>
                </c:pt>
                <c:pt idx="32">
                  <c:v>12/16/2019</c:v>
                </c:pt>
                <c:pt idx="33">
                  <c:v>12/17/2019</c:v>
                </c:pt>
                <c:pt idx="34">
                  <c:v>12/18/2019</c:v>
                </c:pt>
                <c:pt idx="35">
                  <c:v>12/19/2019</c:v>
                </c:pt>
                <c:pt idx="36">
                  <c:v>12/20/2019</c:v>
                </c:pt>
                <c:pt idx="37">
                  <c:v>12/23/2019</c:v>
                </c:pt>
                <c:pt idx="38">
                  <c:v>12/24/2019</c:v>
                </c:pt>
                <c:pt idx="39">
                  <c:v>12/26/2019</c:v>
                </c:pt>
                <c:pt idx="40">
                  <c:v>12/27/2019</c:v>
                </c:pt>
                <c:pt idx="41">
                  <c:v>12/30/2019</c:v>
                </c:pt>
                <c:pt idx="42">
                  <c:v>12/31/2019</c:v>
                </c:pt>
                <c:pt idx="43">
                  <c:v>1/2/2020</c:v>
                </c:pt>
                <c:pt idx="44">
                  <c:v>1/3/2020</c:v>
                </c:pt>
                <c:pt idx="45">
                  <c:v>1/6/2020</c:v>
                </c:pt>
                <c:pt idx="46">
                  <c:v>1/7/2020</c:v>
                </c:pt>
                <c:pt idx="47">
                  <c:v>1/8/2020</c:v>
                </c:pt>
                <c:pt idx="48">
                  <c:v>1/9/2020</c:v>
                </c:pt>
                <c:pt idx="49">
                  <c:v>1/10/2020</c:v>
                </c:pt>
                <c:pt idx="50">
                  <c:v>1/13/2020</c:v>
                </c:pt>
                <c:pt idx="51">
                  <c:v>1/14/2020</c:v>
                </c:pt>
                <c:pt idx="52">
                  <c:v>1/15/2020</c:v>
                </c:pt>
                <c:pt idx="53">
                  <c:v>1/16/2020</c:v>
                </c:pt>
                <c:pt idx="54">
                  <c:v>1/17/2020</c:v>
                </c:pt>
                <c:pt idx="55">
                  <c:v>1/20/2020</c:v>
                </c:pt>
                <c:pt idx="56">
                  <c:v>1/21/2020</c:v>
                </c:pt>
                <c:pt idx="57">
                  <c:v>1/22/2020</c:v>
                </c:pt>
                <c:pt idx="58">
                  <c:v>1/23/2020</c:v>
                </c:pt>
                <c:pt idx="59">
                  <c:v>1/24/2020</c:v>
                </c:pt>
                <c:pt idx="60">
                  <c:v>1/27/2020</c:v>
                </c:pt>
                <c:pt idx="61">
                  <c:v>1/28/2020</c:v>
                </c:pt>
                <c:pt idx="62">
                  <c:v>1/29/2020</c:v>
                </c:pt>
                <c:pt idx="63">
                  <c:v>1/30/2020</c:v>
                </c:pt>
                <c:pt idx="64">
                  <c:v>1/31/2020</c:v>
                </c:pt>
                <c:pt idx="65">
                  <c:v>2/3/2020</c:v>
                </c:pt>
                <c:pt idx="66">
                  <c:v>2/4/2020</c:v>
                </c:pt>
                <c:pt idx="67">
                  <c:v>2/5/2020</c:v>
                </c:pt>
                <c:pt idx="68">
                  <c:v>2/6/2020</c:v>
                </c:pt>
                <c:pt idx="69">
                  <c:v>2/7/2020</c:v>
                </c:pt>
                <c:pt idx="70">
                  <c:v>2/10/2020</c:v>
                </c:pt>
                <c:pt idx="71">
                  <c:v>2/11/2020</c:v>
                </c:pt>
                <c:pt idx="72">
                  <c:v>2/12/2020</c:v>
                </c:pt>
                <c:pt idx="73">
                  <c:v>2/13/2020</c:v>
                </c:pt>
                <c:pt idx="74">
                  <c:v>2/14/2020</c:v>
                </c:pt>
                <c:pt idx="75">
                  <c:v>2/17/2020</c:v>
                </c:pt>
                <c:pt idx="76">
                  <c:v>2/18/2020</c:v>
                </c:pt>
                <c:pt idx="77">
                  <c:v>2/19/2020</c:v>
                </c:pt>
                <c:pt idx="78">
                  <c:v>2/20/2020</c:v>
                </c:pt>
                <c:pt idx="79">
                  <c:v>2/21/2020</c:v>
                </c:pt>
                <c:pt idx="80">
                  <c:v>2/24/2020</c:v>
                </c:pt>
                <c:pt idx="81">
                  <c:v>2/25/2020</c:v>
                </c:pt>
                <c:pt idx="82">
                  <c:v>2/26/2020</c:v>
                </c:pt>
                <c:pt idx="83">
                  <c:v>2/27/2020</c:v>
                </c:pt>
                <c:pt idx="84">
                  <c:v>2/28/2020</c:v>
                </c:pt>
                <c:pt idx="85">
                  <c:v>3/2/2020</c:v>
                </c:pt>
                <c:pt idx="86">
                  <c:v>3/3/2020</c:v>
                </c:pt>
                <c:pt idx="87">
                  <c:v>3/4/2020</c:v>
                </c:pt>
                <c:pt idx="88">
                  <c:v>3/5/2020</c:v>
                </c:pt>
                <c:pt idx="89">
                  <c:v>3/6/2020</c:v>
                </c:pt>
                <c:pt idx="90">
                  <c:v>3/9/2020</c:v>
                </c:pt>
                <c:pt idx="91">
                  <c:v>3/10/2020</c:v>
                </c:pt>
                <c:pt idx="92">
                  <c:v>3/11/2020</c:v>
                </c:pt>
                <c:pt idx="93">
                  <c:v>3/12/2020</c:v>
                </c:pt>
                <c:pt idx="94">
                  <c:v>3/13/2020</c:v>
                </c:pt>
                <c:pt idx="95">
                  <c:v>3/16/2020</c:v>
                </c:pt>
                <c:pt idx="96">
                  <c:v>3/17/2020</c:v>
                </c:pt>
                <c:pt idx="97">
                  <c:v>3/18/2020</c:v>
                </c:pt>
                <c:pt idx="98">
                  <c:v>3/19/2020</c:v>
                </c:pt>
                <c:pt idx="99">
                  <c:v>3/20/2020</c:v>
                </c:pt>
                <c:pt idx="100">
                  <c:v>3/23/2020</c:v>
                </c:pt>
                <c:pt idx="101">
                  <c:v>3/24/2020</c:v>
                </c:pt>
                <c:pt idx="102">
                  <c:v>3/25/2020</c:v>
                </c:pt>
                <c:pt idx="103">
                  <c:v>3/26/2020</c:v>
                </c:pt>
                <c:pt idx="104">
                  <c:v>3/27/2020</c:v>
                </c:pt>
                <c:pt idx="105">
                  <c:v>3/30/2020</c:v>
                </c:pt>
                <c:pt idx="106">
                  <c:v>3/31/2020</c:v>
                </c:pt>
                <c:pt idx="107">
                  <c:v>4/1/2020</c:v>
                </c:pt>
                <c:pt idx="108">
                  <c:v>4/2/2020</c:v>
                </c:pt>
                <c:pt idx="109">
                  <c:v>4/3/2020</c:v>
                </c:pt>
                <c:pt idx="110">
                  <c:v>4/6/2020</c:v>
                </c:pt>
                <c:pt idx="111">
                  <c:v>4/7/2020</c:v>
                </c:pt>
                <c:pt idx="112">
                  <c:v>4/8/2020</c:v>
                </c:pt>
                <c:pt idx="113">
                  <c:v>4/9/2020</c:v>
                </c:pt>
                <c:pt idx="114">
                  <c:v>4/13/2020</c:v>
                </c:pt>
                <c:pt idx="115">
                  <c:v>4/14/2020</c:v>
                </c:pt>
                <c:pt idx="116">
                  <c:v>4/15/2020</c:v>
                </c:pt>
                <c:pt idx="117">
                  <c:v>4/16/2020</c:v>
                </c:pt>
                <c:pt idx="118">
                  <c:v>4/17/2020</c:v>
                </c:pt>
                <c:pt idx="119">
                  <c:v>4/20/2020</c:v>
                </c:pt>
                <c:pt idx="120">
                  <c:v>4/21/2020</c:v>
                </c:pt>
                <c:pt idx="121">
                  <c:v>4/22/2020</c:v>
                </c:pt>
                <c:pt idx="122">
                  <c:v>4/23/2020</c:v>
                </c:pt>
                <c:pt idx="123">
                  <c:v>4/24/2020</c:v>
                </c:pt>
                <c:pt idx="124">
                  <c:v>4/27/2020</c:v>
                </c:pt>
                <c:pt idx="125">
                  <c:v>4/28/2020</c:v>
                </c:pt>
                <c:pt idx="126">
                  <c:v>4/29/2020</c:v>
                </c:pt>
                <c:pt idx="127">
                  <c:v>4/30/2020</c:v>
                </c:pt>
                <c:pt idx="128">
                  <c:v>5/1/2020</c:v>
                </c:pt>
                <c:pt idx="129">
                  <c:v>5/4/2020</c:v>
                </c:pt>
                <c:pt idx="130">
                  <c:v>5/5/2020</c:v>
                </c:pt>
                <c:pt idx="131">
                  <c:v>5/6/2020</c:v>
                </c:pt>
                <c:pt idx="132">
                  <c:v>5/7/2020</c:v>
                </c:pt>
                <c:pt idx="133">
                  <c:v>5/8/2020</c:v>
                </c:pt>
                <c:pt idx="134">
                  <c:v>5/11/2020</c:v>
                </c:pt>
                <c:pt idx="135">
                  <c:v>5/12/2020</c:v>
                </c:pt>
                <c:pt idx="136">
                  <c:v>5/13/2020</c:v>
                </c:pt>
                <c:pt idx="137">
                  <c:v>5/14/2020</c:v>
                </c:pt>
                <c:pt idx="138">
                  <c:v>5/15/2020</c:v>
                </c:pt>
                <c:pt idx="139">
                  <c:v>5/18/2020</c:v>
                </c:pt>
                <c:pt idx="140">
                  <c:v>5/19/2020</c:v>
                </c:pt>
                <c:pt idx="141">
                  <c:v>5/20/2020</c:v>
                </c:pt>
                <c:pt idx="142">
                  <c:v>5/21/2020</c:v>
                </c:pt>
                <c:pt idx="143">
                  <c:v>5/22/2020</c:v>
                </c:pt>
                <c:pt idx="144">
                  <c:v>5/26/2020</c:v>
                </c:pt>
                <c:pt idx="145">
                  <c:v>5/27/2020</c:v>
                </c:pt>
                <c:pt idx="146">
                  <c:v>5/28/2020</c:v>
                </c:pt>
                <c:pt idx="147">
                  <c:v>5/29/2020</c:v>
                </c:pt>
                <c:pt idx="148">
                  <c:v>6/1/2020</c:v>
                </c:pt>
                <c:pt idx="149">
                  <c:v>6/2/2020</c:v>
                </c:pt>
                <c:pt idx="150">
                  <c:v>6/3/2020</c:v>
                </c:pt>
                <c:pt idx="151">
                  <c:v>6/4/2020</c:v>
                </c:pt>
                <c:pt idx="152">
                  <c:v>6/5/2020</c:v>
                </c:pt>
                <c:pt idx="153">
                  <c:v>6/8/2020</c:v>
                </c:pt>
                <c:pt idx="154">
                  <c:v>6/9/2020</c:v>
                </c:pt>
                <c:pt idx="155">
                  <c:v>6/10/2020</c:v>
                </c:pt>
                <c:pt idx="156">
                  <c:v>6/11/2020</c:v>
                </c:pt>
                <c:pt idx="157">
                  <c:v>6/12/2020</c:v>
                </c:pt>
                <c:pt idx="158">
                  <c:v>6/15/2020</c:v>
                </c:pt>
                <c:pt idx="159">
                  <c:v>6/16/2020</c:v>
                </c:pt>
                <c:pt idx="160">
                  <c:v>6/17/2020</c:v>
                </c:pt>
                <c:pt idx="161">
                  <c:v>6/18/2020</c:v>
                </c:pt>
                <c:pt idx="162">
                  <c:v>6/19/2020</c:v>
                </c:pt>
                <c:pt idx="163">
                  <c:v>6/22/2020</c:v>
                </c:pt>
                <c:pt idx="164">
                  <c:v>6/23/2020</c:v>
                </c:pt>
                <c:pt idx="165">
                  <c:v>6/24/2020</c:v>
                </c:pt>
                <c:pt idx="166">
                  <c:v>6/25/2020</c:v>
                </c:pt>
                <c:pt idx="167">
                  <c:v>6/26/2020</c:v>
                </c:pt>
                <c:pt idx="168">
                  <c:v>6/29/2020</c:v>
                </c:pt>
                <c:pt idx="169">
                  <c:v>6/30/2020</c:v>
                </c:pt>
                <c:pt idx="170">
                  <c:v>7/1/2020</c:v>
                </c:pt>
                <c:pt idx="171">
                  <c:v>7/2/2020</c:v>
                </c:pt>
                <c:pt idx="172">
                  <c:v>7/3/2020</c:v>
                </c:pt>
                <c:pt idx="173">
                  <c:v>7/6/2020</c:v>
                </c:pt>
                <c:pt idx="174">
                  <c:v>7/7/2020</c:v>
                </c:pt>
                <c:pt idx="175">
                  <c:v>7/8/2020</c:v>
                </c:pt>
                <c:pt idx="176">
                  <c:v>7/9/2020</c:v>
                </c:pt>
                <c:pt idx="177">
                  <c:v>7/10/2020</c:v>
                </c:pt>
                <c:pt idx="178">
                  <c:v>7/13/2020</c:v>
                </c:pt>
                <c:pt idx="179">
                  <c:v>7/14/2020</c:v>
                </c:pt>
                <c:pt idx="180">
                  <c:v>7/15/2020</c:v>
                </c:pt>
                <c:pt idx="181">
                  <c:v>7/16/2020</c:v>
                </c:pt>
                <c:pt idx="182">
                  <c:v>7/17/2020</c:v>
                </c:pt>
                <c:pt idx="183">
                  <c:v>7/20/2020</c:v>
                </c:pt>
                <c:pt idx="184">
                  <c:v>7/21/2020</c:v>
                </c:pt>
                <c:pt idx="185">
                  <c:v>7/22/2020</c:v>
                </c:pt>
                <c:pt idx="186">
                  <c:v>7/23/2020</c:v>
                </c:pt>
                <c:pt idx="187">
                  <c:v>7/24/2020</c:v>
                </c:pt>
                <c:pt idx="188">
                  <c:v>7/27/2020</c:v>
                </c:pt>
                <c:pt idx="189">
                  <c:v>7/28/2020</c:v>
                </c:pt>
                <c:pt idx="190">
                  <c:v>7/29/2020</c:v>
                </c:pt>
                <c:pt idx="191">
                  <c:v>7/30/2020</c:v>
                </c:pt>
                <c:pt idx="192">
                  <c:v>7/31/2020</c:v>
                </c:pt>
                <c:pt idx="193">
                  <c:v>8/3/2020</c:v>
                </c:pt>
                <c:pt idx="194">
                  <c:v>8/4/2020</c:v>
                </c:pt>
                <c:pt idx="195">
                  <c:v>8/5/2020</c:v>
                </c:pt>
                <c:pt idx="196">
                  <c:v>8/6/2020</c:v>
                </c:pt>
                <c:pt idx="197">
                  <c:v>8/7/2020</c:v>
                </c:pt>
                <c:pt idx="198">
                  <c:v>8/10/2020</c:v>
                </c:pt>
                <c:pt idx="199">
                  <c:v>8/11/2020</c:v>
                </c:pt>
                <c:pt idx="200">
                  <c:v>8/12/2020</c:v>
                </c:pt>
                <c:pt idx="201">
                  <c:v>8/13/2020</c:v>
                </c:pt>
                <c:pt idx="202">
                  <c:v>8/14/2020</c:v>
                </c:pt>
                <c:pt idx="203">
                  <c:v>8/17/2020</c:v>
                </c:pt>
                <c:pt idx="204">
                  <c:v>8/18/2020</c:v>
                </c:pt>
                <c:pt idx="205">
                  <c:v>8/19/2020</c:v>
                </c:pt>
                <c:pt idx="206">
                  <c:v>8/20/2020</c:v>
                </c:pt>
                <c:pt idx="207">
                  <c:v>8/21/2020</c:v>
                </c:pt>
                <c:pt idx="208">
                  <c:v>8/24/2020</c:v>
                </c:pt>
                <c:pt idx="209">
                  <c:v>8/25/2020</c:v>
                </c:pt>
                <c:pt idx="210">
                  <c:v>8/26/2020</c:v>
                </c:pt>
                <c:pt idx="211">
                  <c:v>8/27/2020</c:v>
                </c:pt>
                <c:pt idx="212">
                  <c:v>8/28/2020</c:v>
                </c:pt>
                <c:pt idx="213">
                  <c:v>8/31/2020</c:v>
                </c:pt>
                <c:pt idx="214">
                  <c:v>9/1/2020</c:v>
                </c:pt>
                <c:pt idx="215">
                  <c:v>9/2/2020</c:v>
                </c:pt>
                <c:pt idx="216">
                  <c:v>9/3/2020</c:v>
                </c:pt>
                <c:pt idx="217">
                  <c:v>9/4/2020</c:v>
                </c:pt>
                <c:pt idx="218">
                  <c:v>9/7/2020</c:v>
                </c:pt>
                <c:pt idx="219">
                  <c:v>9/8/2020</c:v>
                </c:pt>
                <c:pt idx="220">
                  <c:v>9/9/2020</c:v>
                </c:pt>
                <c:pt idx="221">
                  <c:v>9/10/2020</c:v>
                </c:pt>
                <c:pt idx="222">
                  <c:v>9/11/2020</c:v>
                </c:pt>
                <c:pt idx="223">
                  <c:v>9/14/2020</c:v>
                </c:pt>
                <c:pt idx="224">
                  <c:v>9/15/2020</c:v>
                </c:pt>
                <c:pt idx="225">
                  <c:v>9/16/2020</c:v>
                </c:pt>
                <c:pt idx="226">
                  <c:v>9/17/2020</c:v>
                </c:pt>
                <c:pt idx="227">
                  <c:v>9/18/2020</c:v>
                </c:pt>
                <c:pt idx="228">
                  <c:v>9/21/2020</c:v>
                </c:pt>
                <c:pt idx="229">
                  <c:v>9/22/2020</c:v>
                </c:pt>
                <c:pt idx="230">
                  <c:v>9/23/2020</c:v>
                </c:pt>
                <c:pt idx="231">
                  <c:v>9/24/2020</c:v>
                </c:pt>
                <c:pt idx="232">
                  <c:v>9/25/2020</c:v>
                </c:pt>
                <c:pt idx="233">
                  <c:v>9/28/2020</c:v>
                </c:pt>
                <c:pt idx="234">
                  <c:v>9/29/2020</c:v>
                </c:pt>
                <c:pt idx="235">
                  <c:v>9/30/2020</c:v>
                </c:pt>
                <c:pt idx="236">
                  <c:v>10/1/2020</c:v>
                </c:pt>
                <c:pt idx="237">
                  <c:v>10/2/2020</c:v>
                </c:pt>
                <c:pt idx="238">
                  <c:v>10/5/2020</c:v>
                </c:pt>
                <c:pt idx="239">
                  <c:v>10/6/2020</c:v>
                </c:pt>
                <c:pt idx="240">
                  <c:v>10/7/2020</c:v>
                </c:pt>
                <c:pt idx="241">
                  <c:v>10/8/2020</c:v>
                </c:pt>
                <c:pt idx="242">
                  <c:v>10/9/2020</c:v>
                </c:pt>
                <c:pt idx="243">
                  <c:v>10/12/2020</c:v>
                </c:pt>
                <c:pt idx="244">
                  <c:v>10/13/2020</c:v>
                </c:pt>
                <c:pt idx="245">
                  <c:v>10/14/2020</c:v>
                </c:pt>
                <c:pt idx="246">
                  <c:v>10/15/2020</c:v>
                </c:pt>
                <c:pt idx="247">
                  <c:v>10/16/2020</c:v>
                </c:pt>
                <c:pt idx="248">
                  <c:v>10/19/2020</c:v>
                </c:pt>
                <c:pt idx="249">
                  <c:v>10/20/2020</c:v>
                </c:pt>
                <c:pt idx="250">
                  <c:v>10/21/2020</c:v>
                </c:pt>
                <c:pt idx="251">
                  <c:v>10/22/2020</c:v>
                </c:pt>
                <c:pt idx="252">
                  <c:v>10/23/2020</c:v>
                </c:pt>
                <c:pt idx="253">
                  <c:v>10/26/2020</c:v>
                </c:pt>
                <c:pt idx="254">
                  <c:v>10/27/2020</c:v>
                </c:pt>
                <c:pt idx="255">
                  <c:v>10/28/2020</c:v>
                </c:pt>
                <c:pt idx="256">
                  <c:v>10/29/2020</c:v>
                </c:pt>
                <c:pt idx="257">
                  <c:v>10/30/2020</c:v>
                </c:pt>
                <c:pt idx="258">
                  <c:v>11/2/2020</c:v>
                </c:pt>
                <c:pt idx="259">
                  <c:v>11/3/2020</c:v>
                </c:pt>
                <c:pt idx="260">
                  <c:v>11/4/2020</c:v>
                </c:pt>
                <c:pt idx="261">
                  <c:v>11/5/2020</c:v>
                </c:pt>
                <c:pt idx="262">
                  <c:v>11/6/2020</c:v>
                </c:pt>
                <c:pt idx="263">
                  <c:v>11/9/2020</c:v>
                </c:pt>
                <c:pt idx="264">
                  <c:v>11/10/2020</c:v>
                </c:pt>
                <c:pt idx="265">
                  <c:v>11/11/2020</c:v>
                </c:pt>
                <c:pt idx="266">
                  <c:v>11/12/2020</c:v>
                </c:pt>
                <c:pt idx="267">
                  <c:v>11/13/2020</c:v>
                </c:pt>
                <c:pt idx="268">
                  <c:v>11/16/2020</c:v>
                </c:pt>
                <c:pt idx="269">
                  <c:v>11/17/2020</c:v>
                </c:pt>
                <c:pt idx="270">
                  <c:v>11/18/2020</c:v>
                </c:pt>
                <c:pt idx="271">
                  <c:v>11/19/2020</c:v>
                </c:pt>
                <c:pt idx="272">
                  <c:v>11/20/2020</c:v>
                </c:pt>
                <c:pt idx="273">
                  <c:v>11/23/2020</c:v>
                </c:pt>
                <c:pt idx="274">
                  <c:v>11/24/2020</c:v>
                </c:pt>
                <c:pt idx="275">
                  <c:v>11/25/2020</c:v>
                </c:pt>
                <c:pt idx="276">
                  <c:v>11/26/2020</c:v>
                </c:pt>
                <c:pt idx="277">
                  <c:v>11/27/2020</c:v>
                </c:pt>
                <c:pt idx="278">
                  <c:v>11/30/2020</c:v>
                </c:pt>
                <c:pt idx="279">
                  <c:v>12/1/2020</c:v>
                </c:pt>
                <c:pt idx="280">
                  <c:v>12/2/2020</c:v>
                </c:pt>
                <c:pt idx="281">
                  <c:v>12/3/2020</c:v>
                </c:pt>
                <c:pt idx="282">
                  <c:v>12/4/2020</c:v>
                </c:pt>
                <c:pt idx="283">
                  <c:v>12/7/2020</c:v>
                </c:pt>
                <c:pt idx="284">
                  <c:v>12/8/2020</c:v>
                </c:pt>
                <c:pt idx="285">
                  <c:v>12/9/2020</c:v>
                </c:pt>
                <c:pt idx="286">
                  <c:v>12/10/2020</c:v>
                </c:pt>
                <c:pt idx="287">
                  <c:v>12/11/2020</c:v>
                </c:pt>
                <c:pt idx="288">
                  <c:v>12/14/2020</c:v>
                </c:pt>
                <c:pt idx="289">
                  <c:v>12/15/2020</c:v>
                </c:pt>
                <c:pt idx="290">
                  <c:v>12/16/2020</c:v>
                </c:pt>
                <c:pt idx="291">
                  <c:v>12/17/2020</c:v>
                </c:pt>
                <c:pt idx="292">
                  <c:v>12/18/2020</c:v>
                </c:pt>
                <c:pt idx="293">
                  <c:v>12/21/2020</c:v>
                </c:pt>
                <c:pt idx="294">
                  <c:v>12/22/2020</c:v>
                </c:pt>
                <c:pt idx="295">
                  <c:v>12/23/2020</c:v>
                </c:pt>
                <c:pt idx="296">
                  <c:v>12/24/2020</c:v>
                </c:pt>
                <c:pt idx="297">
                  <c:v>12/28/2020</c:v>
                </c:pt>
                <c:pt idx="298">
                  <c:v>12/29/2020</c:v>
                </c:pt>
                <c:pt idx="299">
                  <c:v>12/30/2020</c:v>
                </c:pt>
                <c:pt idx="300">
                  <c:v>12/31/2020</c:v>
                </c:pt>
                <c:pt idx="301">
                  <c:v>1/4/2021</c:v>
                </c:pt>
                <c:pt idx="302">
                  <c:v>1/5/2021</c:v>
                </c:pt>
                <c:pt idx="303">
                  <c:v>1/6/2021</c:v>
                </c:pt>
                <c:pt idx="304">
                  <c:v>1/7/2021</c:v>
                </c:pt>
                <c:pt idx="305">
                  <c:v>1/8/2021</c:v>
                </c:pt>
                <c:pt idx="306">
                  <c:v>1/11/2021</c:v>
                </c:pt>
                <c:pt idx="307">
                  <c:v>1/12/2021</c:v>
                </c:pt>
                <c:pt idx="308">
                  <c:v>1/13/2021</c:v>
                </c:pt>
                <c:pt idx="309">
                  <c:v>1/14/2021</c:v>
                </c:pt>
                <c:pt idx="310">
                  <c:v>1/15/2021</c:v>
                </c:pt>
                <c:pt idx="311">
                  <c:v>1/18/2021</c:v>
                </c:pt>
                <c:pt idx="312">
                  <c:v>1/19/2021</c:v>
                </c:pt>
                <c:pt idx="313">
                  <c:v>1/20/2021</c:v>
                </c:pt>
                <c:pt idx="314">
                  <c:v>1/21/2021</c:v>
                </c:pt>
                <c:pt idx="315">
                  <c:v>1/22/2021</c:v>
                </c:pt>
                <c:pt idx="316">
                  <c:v>1/25/2021</c:v>
                </c:pt>
                <c:pt idx="317">
                  <c:v>1/26/2021</c:v>
                </c:pt>
                <c:pt idx="318">
                  <c:v>1/27/2021</c:v>
                </c:pt>
                <c:pt idx="319">
                  <c:v>1/28/2021</c:v>
                </c:pt>
                <c:pt idx="320">
                  <c:v>1/29/2021</c:v>
                </c:pt>
                <c:pt idx="321">
                  <c:v>2/1/2021</c:v>
                </c:pt>
                <c:pt idx="322">
                  <c:v>2/2/2021</c:v>
                </c:pt>
                <c:pt idx="323">
                  <c:v>2/3/2021</c:v>
                </c:pt>
                <c:pt idx="324">
                  <c:v>2/4/2021</c:v>
                </c:pt>
                <c:pt idx="325">
                  <c:v>2/5/2021</c:v>
                </c:pt>
                <c:pt idx="326">
                  <c:v>2/8/2021</c:v>
                </c:pt>
                <c:pt idx="327">
                  <c:v>2/9/2021</c:v>
                </c:pt>
                <c:pt idx="328">
                  <c:v>2/10/2021</c:v>
                </c:pt>
                <c:pt idx="329">
                  <c:v>2/11/2021</c:v>
                </c:pt>
                <c:pt idx="330">
                  <c:v>2/12/2021</c:v>
                </c:pt>
                <c:pt idx="331">
                  <c:v>2/15/2021</c:v>
                </c:pt>
                <c:pt idx="332">
                  <c:v>2/16/2021</c:v>
                </c:pt>
                <c:pt idx="333">
                  <c:v>2/17/2021</c:v>
                </c:pt>
                <c:pt idx="334">
                  <c:v>2/18/2021</c:v>
                </c:pt>
                <c:pt idx="335">
                  <c:v>2/19/2021</c:v>
                </c:pt>
                <c:pt idx="336">
                  <c:v>2/22/2021</c:v>
                </c:pt>
                <c:pt idx="337">
                  <c:v>2/23/2021</c:v>
                </c:pt>
                <c:pt idx="338">
                  <c:v>2/24/2021</c:v>
                </c:pt>
                <c:pt idx="339">
                  <c:v>2/25/2021</c:v>
                </c:pt>
                <c:pt idx="340">
                  <c:v>2/26/2021</c:v>
                </c:pt>
                <c:pt idx="341">
                  <c:v>3/1/2021</c:v>
                </c:pt>
                <c:pt idx="342">
                  <c:v>3/2/2021</c:v>
                </c:pt>
                <c:pt idx="343">
                  <c:v>3/3/2021</c:v>
                </c:pt>
                <c:pt idx="344">
                  <c:v>3/4/2021</c:v>
                </c:pt>
                <c:pt idx="345">
                  <c:v>3/5/2021</c:v>
                </c:pt>
                <c:pt idx="346">
                  <c:v>3/8/2021</c:v>
                </c:pt>
                <c:pt idx="347">
                  <c:v>3/9/2021</c:v>
                </c:pt>
                <c:pt idx="348">
                  <c:v>3/10/2021</c:v>
                </c:pt>
                <c:pt idx="349">
                  <c:v>3/11/2021</c:v>
                </c:pt>
                <c:pt idx="350">
                  <c:v>3/12/2021</c:v>
                </c:pt>
                <c:pt idx="351">
                  <c:v>3/15/2021</c:v>
                </c:pt>
                <c:pt idx="352">
                  <c:v>3/16/2021</c:v>
                </c:pt>
                <c:pt idx="353">
                  <c:v>3/17/2021</c:v>
                </c:pt>
                <c:pt idx="354">
                  <c:v>3/18/2021</c:v>
                </c:pt>
                <c:pt idx="355">
                  <c:v>3/19/2021</c:v>
                </c:pt>
                <c:pt idx="356">
                  <c:v>3/22/2021</c:v>
                </c:pt>
                <c:pt idx="357">
                  <c:v>3/23/2021</c:v>
                </c:pt>
                <c:pt idx="358">
                  <c:v>3/24/2021</c:v>
                </c:pt>
                <c:pt idx="359">
                  <c:v>3/25/2021</c:v>
                </c:pt>
                <c:pt idx="360">
                  <c:v>3/26/2021</c:v>
                </c:pt>
                <c:pt idx="361">
                  <c:v>3/29/2021</c:v>
                </c:pt>
                <c:pt idx="362">
                  <c:v>3/30/2021</c:v>
                </c:pt>
                <c:pt idx="363">
                  <c:v>3/31/2021</c:v>
                </c:pt>
                <c:pt idx="364">
                  <c:v>4/1/2021</c:v>
                </c:pt>
                <c:pt idx="365">
                  <c:v>4/5/2021</c:v>
                </c:pt>
                <c:pt idx="366">
                  <c:v>4/6/2021</c:v>
                </c:pt>
                <c:pt idx="367">
                  <c:v>4/7/2021</c:v>
                </c:pt>
                <c:pt idx="368">
                  <c:v>4/8/2021</c:v>
                </c:pt>
                <c:pt idx="369">
                  <c:v>4/9/2021</c:v>
                </c:pt>
                <c:pt idx="370">
                  <c:v>4/12/2021</c:v>
                </c:pt>
                <c:pt idx="371">
                  <c:v>4/13/2021</c:v>
                </c:pt>
                <c:pt idx="372">
                  <c:v>4/14/2021</c:v>
                </c:pt>
                <c:pt idx="373">
                  <c:v>4/15/2021</c:v>
                </c:pt>
                <c:pt idx="374">
                  <c:v>4/16/2021</c:v>
                </c:pt>
                <c:pt idx="375">
                  <c:v>4/19/2021</c:v>
                </c:pt>
                <c:pt idx="376">
                  <c:v>4/20/2021</c:v>
                </c:pt>
                <c:pt idx="377">
                  <c:v>4/21/2021</c:v>
                </c:pt>
                <c:pt idx="378">
                  <c:v>4/22/2021</c:v>
                </c:pt>
                <c:pt idx="379">
                  <c:v>4/23/2021</c:v>
                </c:pt>
                <c:pt idx="380">
                  <c:v>4/26/2021</c:v>
                </c:pt>
                <c:pt idx="381">
                  <c:v>4/27/2021</c:v>
                </c:pt>
                <c:pt idx="382">
                  <c:v>4/28/2021</c:v>
                </c:pt>
                <c:pt idx="383">
                  <c:v>4/29/2021</c:v>
                </c:pt>
                <c:pt idx="384">
                  <c:v>4/30/2021</c:v>
                </c:pt>
                <c:pt idx="385">
                  <c:v>5/3/2021</c:v>
                </c:pt>
                <c:pt idx="386">
                  <c:v>5/4/2021</c:v>
                </c:pt>
                <c:pt idx="387">
                  <c:v>5/5/2021</c:v>
                </c:pt>
                <c:pt idx="388">
                  <c:v>5/6/2021</c:v>
                </c:pt>
                <c:pt idx="389">
                  <c:v>5/7/2021</c:v>
                </c:pt>
                <c:pt idx="390">
                  <c:v>5/10/2021</c:v>
                </c:pt>
                <c:pt idx="391">
                  <c:v>5/11/2021</c:v>
                </c:pt>
                <c:pt idx="392">
                  <c:v>5/12/2021</c:v>
                </c:pt>
                <c:pt idx="393">
                  <c:v>5/13/2021</c:v>
                </c:pt>
                <c:pt idx="394">
                  <c:v>5/14/2021</c:v>
                </c:pt>
                <c:pt idx="395">
                  <c:v>5/17/2021</c:v>
                </c:pt>
                <c:pt idx="396">
                  <c:v>5/18/2021</c:v>
                </c:pt>
                <c:pt idx="397">
                  <c:v>5/19/2021</c:v>
                </c:pt>
                <c:pt idx="398">
                  <c:v>5/20/2021</c:v>
                </c:pt>
                <c:pt idx="399">
                  <c:v>5/21/2021</c:v>
                </c:pt>
                <c:pt idx="400">
                  <c:v>5/24/2021</c:v>
                </c:pt>
                <c:pt idx="401">
                  <c:v>5/25/2021</c:v>
                </c:pt>
                <c:pt idx="402">
                  <c:v>5/26/2021</c:v>
                </c:pt>
                <c:pt idx="403">
                  <c:v>5/27/2021</c:v>
                </c:pt>
                <c:pt idx="404">
                  <c:v>5/28/2021</c:v>
                </c:pt>
                <c:pt idx="405">
                  <c:v>5/31/2021</c:v>
                </c:pt>
                <c:pt idx="406">
                  <c:v>6/1/2021</c:v>
                </c:pt>
                <c:pt idx="407">
                  <c:v>6/2/2021</c:v>
                </c:pt>
                <c:pt idx="408">
                  <c:v>6/3/2021</c:v>
                </c:pt>
                <c:pt idx="409">
                  <c:v>6/4/2021</c:v>
                </c:pt>
                <c:pt idx="410">
                  <c:v>6/7/2021</c:v>
                </c:pt>
                <c:pt idx="411">
                  <c:v>6/8/2021</c:v>
                </c:pt>
                <c:pt idx="412">
                  <c:v>6/9/2021</c:v>
                </c:pt>
                <c:pt idx="413">
                  <c:v>6/10/2021</c:v>
                </c:pt>
                <c:pt idx="414">
                  <c:v>6/11/2021</c:v>
                </c:pt>
                <c:pt idx="415">
                  <c:v>6/14/2021</c:v>
                </c:pt>
                <c:pt idx="416">
                  <c:v>6/15/2021</c:v>
                </c:pt>
                <c:pt idx="417">
                  <c:v>6/16/2021</c:v>
                </c:pt>
                <c:pt idx="418">
                  <c:v>6/17/2021</c:v>
                </c:pt>
                <c:pt idx="419">
                  <c:v>6/18/2021</c:v>
                </c:pt>
                <c:pt idx="420">
                  <c:v>6/21/2021</c:v>
                </c:pt>
                <c:pt idx="421">
                  <c:v>6/22/2021</c:v>
                </c:pt>
                <c:pt idx="422">
                  <c:v>6/23/2021</c:v>
                </c:pt>
                <c:pt idx="423">
                  <c:v>6/24/2021</c:v>
                </c:pt>
                <c:pt idx="424">
                  <c:v>6/25/2021</c:v>
                </c:pt>
                <c:pt idx="425">
                  <c:v>6/28/2021</c:v>
                </c:pt>
                <c:pt idx="426">
                  <c:v>6/29/2021</c:v>
                </c:pt>
                <c:pt idx="427">
                  <c:v>6/30/2021</c:v>
                </c:pt>
                <c:pt idx="428">
                  <c:v>7/1/2021</c:v>
                </c:pt>
                <c:pt idx="429">
                  <c:v>7/2/2021</c:v>
                </c:pt>
                <c:pt idx="430">
                  <c:v>7/5/2021</c:v>
                </c:pt>
                <c:pt idx="431">
                  <c:v>7/6/2021</c:v>
                </c:pt>
                <c:pt idx="432">
                  <c:v>7/7/2021</c:v>
                </c:pt>
                <c:pt idx="433">
                  <c:v>7/8/2021</c:v>
                </c:pt>
                <c:pt idx="434">
                  <c:v>7/9/2021</c:v>
                </c:pt>
                <c:pt idx="435">
                  <c:v>7/12/2021</c:v>
                </c:pt>
                <c:pt idx="436">
                  <c:v>7/13/2021</c:v>
                </c:pt>
                <c:pt idx="437">
                  <c:v>7/14/2021</c:v>
                </c:pt>
                <c:pt idx="438">
                  <c:v>7/15/2021</c:v>
                </c:pt>
                <c:pt idx="439">
                  <c:v>7/16/2021</c:v>
                </c:pt>
                <c:pt idx="440">
                  <c:v>7/19/2021</c:v>
                </c:pt>
                <c:pt idx="441">
                  <c:v>7/20/2021</c:v>
                </c:pt>
                <c:pt idx="442">
                  <c:v>7/21/2021</c:v>
                </c:pt>
                <c:pt idx="443">
                  <c:v>7/22/2021</c:v>
                </c:pt>
                <c:pt idx="444">
                  <c:v>7/23/2021</c:v>
                </c:pt>
                <c:pt idx="445">
                  <c:v>7/26/2021</c:v>
                </c:pt>
                <c:pt idx="446">
                  <c:v>7/27/2021</c:v>
                </c:pt>
                <c:pt idx="447">
                  <c:v>7/28/2021</c:v>
                </c:pt>
                <c:pt idx="448">
                  <c:v>7/29/2021</c:v>
                </c:pt>
                <c:pt idx="449">
                  <c:v>7/30/2021</c:v>
                </c:pt>
                <c:pt idx="450">
                  <c:v>8/2/2021</c:v>
                </c:pt>
                <c:pt idx="451">
                  <c:v>8/3/2021</c:v>
                </c:pt>
                <c:pt idx="452">
                  <c:v>8/4/2021</c:v>
                </c:pt>
                <c:pt idx="453">
                  <c:v>8/5/2021</c:v>
                </c:pt>
                <c:pt idx="454">
                  <c:v>8/6/2021</c:v>
                </c:pt>
                <c:pt idx="455">
                  <c:v>8/9/2021</c:v>
                </c:pt>
                <c:pt idx="456">
                  <c:v>8/10/2021</c:v>
                </c:pt>
                <c:pt idx="457">
                  <c:v>8/11/2021</c:v>
                </c:pt>
                <c:pt idx="458">
                  <c:v>8/12/2021</c:v>
                </c:pt>
                <c:pt idx="459">
                  <c:v>8/13/2021</c:v>
                </c:pt>
                <c:pt idx="460">
                  <c:v>8/16/2021</c:v>
                </c:pt>
                <c:pt idx="461">
                  <c:v>8/17/2021</c:v>
                </c:pt>
                <c:pt idx="462">
                  <c:v>8/18/2021</c:v>
                </c:pt>
                <c:pt idx="463">
                  <c:v>8/19/2021</c:v>
                </c:pt>
                <c:pt idx="464">
                  <c:v>8/20/2021</c:v>
                </c:pt>
                <c:pt idx="465">
                  <c:v>8/23/2021</c:v>
                </c:pt>
                <c:pt idx="466">
                  <c:v>8/24/2021</c:v>
                </c:pt>
                <c:pt idx="467">
                  <c:v>8/25/2021</c:v>
                </c:pt>
                <c:pt idx="468">
                  <c:v>8/26/2021</c:v>
                </c:pt>
                <c:pt idx="469">
                  <c:v>8/27/2021</c:v>
                </c:pt>
                <c:pt idx="470">
                  <c:v>8/30/2021</c:v>
                </c:pt>
                <c:pt idx="471">
                  <c:v>8/31/2021</c:v>
                </c:pt>
                <c:pt idx="472">
                  <c:v>9/1/2021</c:v>
                </c:pt>
                <c:pt idx="473">
                  <c:v>9/2/2021</c:v>
                </c:pt>
                <c:pt idx="474">
                  <c:v>9/3/2021</c:v>
                </c:pt>
                <c:pt idx="475">
                  <c:v>9/6/2021</c:v>
                </c:pt>
                <c:pt idx="476">
                  <c:v>9/7/2021</c:v>
                </c:pt>
                <c:pt idx="477">
                  <c:v>9/8/2021</c:v>
                </c:pt>
                <c:pt idx="478">
                  <c:v>9/9/2021</c:v>
                </c:pt>
                <c:pt idx="479">
                  <c:v>9/10/2021</c:v>
                </c:pt>
                <c:pt idx="480">
                  <c:v>9/13/2021</c:v>
                </c:pt>
                <c:pt idx="481">
                  <c:v>9/14/2021</c:v>
                </c:pt>
                <c:pt idx="482">
                  <c:v>9/15/2021</c:v>
                </c:pt>
                <c:pt idx="483">
                  <c:v>9/16/2021</c:v>
                </c:pt>
                <c:pt idx="484">
                  <c:v>9/17/2021</c:v>
                </c:pt>
                <c:pt idx="485">
                  <c:v>9/20/2021</c:v>
                </c:pt>
                <c:pt idx="486">
                  <c:v>9/21/2021</c:v>
                </c:pt>
                <c:pt idx="487">
                  <c:v>9/22/2021</c:v>
                </c:pt>
                <c:pt idx="488">
                  <c:v>9/23/2021</c:v>
                </c:pt>
                <c:pt idx="489">
                  <c:v>9/24/2021</c:v>
                </c:pt>
                <c:pt idx="490">
                  <c:v>9/27/2021</c:v>
                </c:pt>
                <c:pt idx="491">
                  <c:v>9/28/2021</c:v>
                </c:pt>
                <c:pt idx="492">
                  <c:v>9/29/2021</c:v>
                </c:pt>
                <c:pt idx="493">
                  <c:v>9/30/2021</c:v>
                </c:pt>
                <c:pt idx="494">
                  <c:v>10/1/2021</c:v>
                </c:pt>
                <c:pt idx="495">
                  <c:v>10/4/2021</c:v>
                </c:pt>
                <c:pt idx="496">
                  <c:v>10/5/2021</c:v>
                </c:pt>
                <c:pt idx="497">
                  <c:v>10/6/2021</c:v>
                </c:pt>
                <c:pt idx="498">
                  <c:v>10/7/2021</c:v>
                </c:pt>
                <c:pt idx="499">
                  <c:v>10/8/2021</c:v>
                </c:pt>
                <c:pt idx="500">
                  <c:v>10/11/2021</c:v>
                </c:pt>
                <c:pt idx="501">
                  <c:v>10/12/2021</c:v>
                </c:pt>
                <c:pt idx="502">
                  <c:v>10/13/2021</c:v>
                </c:pt>
                <c:pt idx="503">
                  <c:v>10/14/2021</c:v>
                </c:pt>
                <c:pt idx="504">
                  <c:v>10/15/2021</c:v>
                </c:pt>
                <c:pt idx="505">
                  <c:v>10/18/2021</c:v>
                </c:pt>
                <c:pt idx="506">
                  <c:v>10/19/2021</c:v>
                </c:pt>
                <c:pt idx="507">
                  <c:v>10/20/2021</c:v>
                </c:pt>
                <c:pt idx="508">
                  <c:v>10/21/2021</c:v>
                </c:pt>
                <c:pt idx="509">
                  <c:v>10/22/2021</c:v>
                </c:pt>
                <c:pt idx="510">
                  <c:v>10/25/2021</c:v>
                </c:pt>
                <c:pt idx="511">
                  <c:v>10/26/2021</c:v>
                </c:pt>
                <c:pt idx="512">
                  <c:v>10/27/2021</c:v>
                </c:pt>
                <c:pt idx="513">
                  <c:v>10/28/2021</c:v>
                </c:pt>
                <c:pt idx="514">
                  <c:v>10/29/2021</c:v>
                </c:pt>
                <c:pt idx="515">
                  <c:v>11/1/2021</c:v>
                </c:pt>
                <c:pt idx="516">
                  <c:v>11/2/2021</c:v>
                </c:pt>
                <c:pt idx="517">
                  <c:v>11/3/2021</c:v>
                </c:pt>
                <c:pt idx="518">
                  <c:v>11/4/2021</c:v>
                </c:pt>
                <c:pt idx="519">
                  <c:v>11/5/2021</c:v>
                </c:pt>
                <c:pt idx="520">
                  <c:v>11/8/2021</c:v>
                </c:pt>
                <c:pt idx="521">
                  <c:v>11/9/2021</c:v>
                </c:pt>
                <c:pt idx="522">
                  <c:v>11/10/2021</c:v>
                </c:pt>
                <c:pt idx="523">
                  <c:v>11/11/2021</c:v>
                </c:pt>
                <c:pt idx="524">
                  <c:v>11/12/2021</c:v>
                </c:pt>
                <c:pt idx="525">
                  <c:v>11/15/2021</c:v>
                </c:pt>
                <c:pt idx="526">
                  <c:v>11/16/2021</c:v>
                </c:pt>
                <c:pt idx="527">
                  <c:v>11/17/2021</c:v>
                </c:pt>
                <c:pt idx="528">
                  <c:v>11/18/2021</c:v>
                </c:pt>
                <c:pt idx="529">
                  <c:v>11/19/2021</c:v>
                </c:pt>
                <c:pt idx="530">
                  <c:v>11/22/2021</c:v>
                </c:pt>
                <c:pt idx="531">
                  <c:v>11/23/2021</c:v>
                </c:pt>
                <c:pt idx="532">
                  <c:v>11/24/2021</c:v>
                </c:pt>
                <c:pt idx="533">
                  <c:v>11/25/2021</c:v>
                </c:pt>
                <c:pt idx="534">
                  <c:v>11/26/2021</c:v>
                </c:pt>
                <c:pt idx="535">
                  <c:v>11/29/2021</c:v>
                </c:pt>
                <c:pt idx="536">
                  <c:v>11/30/2021</c:v>
                </c:pt>
                <c:pt idx="537">
                  <c:v>12/1/2021</c:v>
                </c:pt>
                <c:pt idx="538">
                  <c:v>12/2/2021</c:v>
                </c:pt>
                <c:pt idx="539">
                  <c:v>12/3/2021</c:v>
                </c:pt>
                <c:pt idx="540">
                  <c:v>12/6/2021</c:v>
                </c:pt>
                <c:pt idx="541">
                  <c:v>12/7/2021</c:v>
                </c:pt>
                <c:pt idx="542">
                  <c:v>12/8/2021</c:v>
                </c:pt>
                <c:pt idx="543">
                  <c:v>12/9/2021</c:v>
                </c:pt>
                <c:pt idx="544">
                  <c:v>12/10/2021</c:v>
                </c:pt>
                <c:pt idx="545">
                  <c:v>12/13/2021</c:v>
                </c:pt>
                <c:pt idx="546">
                  <c:v>12/14/2021</c:v>
                </c:pt>
                <c:pt idx="547">
                  <c:v>12/15/2021</c:v>
                </c:pt>
                <c:pt idx="548">
                  <c:v>12/16/2021</c:v>
                </c:pt>
                <c:pt idx="549">
                  <c:v>12/17/2021</c:v>
                </c:pt>
                <c:pt idx="550">
                  <c:v>12/20/2021</c:v>
                </c:pt>
                <c:pt idx="551">
                  <c:v>12/21/2021</c:v>
                </c:pt>
                <c:pt idx="552">
                  <c:v>12/22/2021</c:v>
                </c:pt>
                <c:pt idx="553">
                  <c:v>12/23/2021</c:v>
                </c:pt>
                <c:pt idx="554">
                  <c:v>12/24/2021</c:v>
                </c:pt>
                <c:pt idx="555">
                  <c:v>12/27/2021</c:v>
                </c:pt>
                <c:pt idx="556">
                  <c:v>12/28/2021</c:v>
                </c:pt>
                <c:pt idx="557">
                  <c:v>12/29/2021</c:v>
                </c:pt>
                <c:pt idx="558">
                  <c:v>12/30/2021</c:v>
                </c:pt>
                <c:pt idx="559">
                  <c:v>12/31/2021</c:v>
                </c:pt>
                <c:pt idx="560">
                  <c:v>1/3/2022</c:v>
                </c:pt>
                <c:pt idx="561">
                  <c:v>1/4/2022</c:v>
                </c:pt>
                <c:pt idx="562">
                  <c:v>1/5/2022</c:v>
                </c:pt>
                <c:pt idx="563">
                  <c:v>1/6/2022</c:v>
                </c:pt>
                <c:pt idx="564">
                  <c:v>1/7/2022</c:v>
                </c:pt>
                <c:pt idx="565">
                  <c:v>1/10/2022</c:v>
                </c:pt>
                <c:pt idx="566">
                  <c:v>1/11/2022</c:v>
                </c:pt>
                <c:pt idx="567">
                  <c:v>1/12/2022</c:v>
                </c:pt>
                <c:pt idx="568">
                  <c:v>1/13/2022</c:v>
                </c:pt>
                <c:pt idx="569">
                  <c:v>1/14/2022</c:v>
                </c:pt>
                <c:pt idx="570">
                  <c:v>1/17/2022</c:v>
                </c:pt>
                <c:pt idx="571">
                  <c:v>1/18/2022</c:v>
                </c:pt>
                <c:pt idx="572">
                  <c:v>1/19/2022</c:v>
                </c:pt>
                <c:pt idx="573">
                  <c:v>1/20/2022</c:v>
                </c:pt>
                <c:pt idx="574">
                  <c:v>1/21/2022</c:v>
                </c:pt>
                <c:pt idx="575">
                  <c:v>1/24/2022</c:v>
                </c:pt>
                <c:pt idx="576">
                  <c:v>1/25/2022</c:v>
                </c:pt>
                <c:pt idx="577">
                  <c:v>1/26/2022</c:v>
                </c:pt>
                <c:pt idx="578">
                  <c:v>1/27/2022</c:v>
                </c:pt>
                <c:pt idx="579">
                  <c:v>1/28/2022</c:v>
                </c:pt>
                <c:pt idx="580">
                  <c:v>1/31/2022</c:v>
                </c:pt>
                <c:pt idx="581">
                  <c:v>2/1/2022</c:v>
                </c:pt>
                <c:pt idx="582">
                  <c:v>2/2/2022</c:v>
                </c:pt>
                <c:pt idx="583">
                  <c:v>2/3/2022</c:v>
                </c:pt>
                <c:pt idx="584">
                  <c:v>2/4/2022</c:v>
                </c:pt>
                <c:pt idx="585">
                  <c:v>2/7/2022</c:v>
                </c:pt>
                <c:pt idx="586">
                  <c:v>2/8/2022</c:v>
                </c:pt>
                <c:pt idx="587">
                  <c:v>2/9/2022</c:v>
                </c:pt>
                <c:pt idx="588">
                  <c:v>2/10/2022</c:v>
                </c:pt>
                <c:pt idx="589">
                  <c:v>2/11/2022</c:v>
                </c:pt>
                <c:pt idx="590">
                  <c:v>2/14/2022</c:v>
                </c:pt>
                <c:pt idx="591">
                  <c:v>2/15/2022</c:v>
                </c:pt>
                <c:pt idx="592">
                  <c:v>2/16/2022</c:v>
                </c:pt>
                <c:pt idx="593">
                  <c:v>2/17/2022</c:v>
                </c:pt>
                <c:pt idx="594">
                  <c:v>2/18/2022</c:v>
                </c:pt>
                <c:pt idx="595">
                  <c:v>2/21/2022</c:v>
                </c:pt>
                <c:pt idx="596">
                  <c:v>2/22/2022</c:v>
                </c:pt>
                <c:pt idx="597">
                  <c:v>2/23/2022</c:v>
                </c:pt>
                <c:pt idx="598">
                  <c:v>2/24/2022</c:v>
                </c:pt>
                <c:pt idx="599">
                  <c:v>2/25/2022</c:v>
                </c:pt>
                <c:pt idx="600">
                  <c:v>2/28/2022</c:v>
                </c:pt>
                <c:pt idx="601">
                  <c:v>3/1/2022</c:v>
                </c:pt>
                <c:pt idx="602">
                  <c:v>3/2/2022</c:v>
                </c:pt>
                <c:pt idx="603">
                  <c:v>3/3/2022</c:v>
                </c:pt>
                <c:pt idx="604">
                  <c:v>3/4/2022</c:v>
                </c:pt>
                <c:pt idx="605">
                  <c:v>3/7/2022</c:v>
                </c:pt>
                <c:pt idx="606">
                  <c:v>3/8/2022</c:v>
                </c:pt>
                <c:pt idx="607">
                  <c:v>3/9/2022</c:v>
                </c:pt>
                <c:pt idx="608">
                  <c:v>3/10/2022</c:v>
                </c:pt>
                <c:pt idx="609">
                  <c:v>3/11/2022</c:v>
                </c:pt>
                <c:pt idx="610">
                  <c:v>3/14/2022</c:v>
                </c:pt>
                <c:pt idx="611">
                  <c:v>3/15/2022</c:v>
                </c:pt>
                <c:pt idx="612">
                  <c:v>3/16/2022</c:v>
                </c:pt>
                <c:pt idx="613">
                  <c:v>3/17/2022</c:v>
                </c:pt>
                <c:pt idx="614">
                  <c:v>3/18/2022</c:v>
                </c:pt>
                <c:pt idx="615">
                  <c:v>3/21/2022</c:v>
                </c:pt>
                <c:pt idx="616">
                  <c:v>3/22/2022</c:v>
                </c:pt>
                <c:pt idx="617">
                  <c:v>3/23/2022</c:v>
                </c:pt>
                <c:pt idx="618">
                  <c:v>3/24/2022</c:v>
                </c:pt>
                <c:pt idx="619">
                  <c:v>3/25/2022</c:v>
                </c:pt>
                <c:pt idx="620">
                  <c:v>3/28/2022</c:v>
                </c:pt>
                <c:pt idx="621">
                  <c:v>3/29/2022</c:v>
                </c:pt>
                <c:pt idx="622">
                  <c:v>3/30/2022</c:v>
                </c:pt>
                <c:pt idx="623">
                  <c:v>3/31/2022</c:v>
                </c:pt>
                <c:pt idx="624">
                  <c:v>4/1/2022</c:v>
                </c:pt>
                <c:pt idx="625">
                  <c:v>4/4/2022</c:v>
                </c:pt>
                <c:pt idx="626">
                  <c:v>4/5/2022</c:v>
                </c:pt>
                <c:pt idx="627">
                  <c:v>4/6/2022</c:v>
                </c:pt>
                <c:pt idx="628">
                  <c:v>4/7/2022</c:v>
                </c:pt>
                <c:pt idx="629">
                  <c:v>4/8/2022</c:v>
                </c:pt>
                <c:pt idx="630">
                  <c:v>4/11/2022</c:v>
                </c:pt>
                <c:pt idx="631">
                  <c:v>4/12/2022</c:v>
                </c:pt>
                <c:pt idx="632">
                  <c:v>4/13/2022</c:v>
                </c:pt>
                <c:pt idx="633">
                  <c:v>4/14/2022</c:v>
                </c:pt>
                <c:pt idx="634">
                  <c:v>4/18/2022</c:v>
                </c:pt>
                <c:pt idx="635">
                  <c:v>4/19/2022</c:v>
                </c:pt>
                <c:pt idx="636">
                  <c:v>4/20/2022</c:v>
                </c:pt>
                <c:pt idx="637">
                  <c:v>4/21/2022</c:v>
                </c:pt>
                <c:pt idx="638">
                  <c:v>4/22/2022</c:v>
                </c:pt>
                <c:pt idx="639">
                  <c:v>4/25/2022</c:v>
                </c:pt>
                <c:pt idx="640">
                  <c:v>4/26/2022</c:v>
                </c:pt>
                <c:pt idx="641">
                  <c:v>4/27/2022</c:v>
                </c:pt>
                <c:pt idx="642">
                  <c:v>4/28/2022</c:v>
                </c:pt>
                <c:pt idx="643">
                  <c:v>4/29/2022</c:v>
                </c:pt>
                <c:pt idx="644">
                  <c:v>5/2/2022</c:v>
                </c:pt>
                <c:pt idx="645">
                  <c:v>5/3/2022</c:v>
                </c:pt>
                <c:pt idx="646">
                  <c:v>5/4/2022</c:v>
                </c:pt>
                <c:pt idx="647">
                  <c:v>5/5/2022</c:v>
                </c:pt>
                <c:pt idx="648">
                  <c:v>5/6/2022</c:v>
                </c:pt>
                <c:pt idx="649">
                  <c:v>5/9/2022</c:v>
                </c:pt>
                <c:pt idx="650">
                  <c:v>5/10/2022</c:v>
                </c:pt>
                <c:pt idx="651">
                  <c:v>5/11/2022</c:v>
                </c:pt>
                <c:pt idx="652">
                  <c:v>5/12/2022</c:v>
                </c:pt>
                <c:pt idx="653">
                  <c:v>5/13/2022</c:v>
                </c:pt>
                <c:pt idx="654">
                  <c:v>5/16/2022</c:v>
                </c:pt>
                <c:pt idx="655">
                  <c:v>5/17/2022</c:v>
                </c:pt>
                <c:pt idx="656">
                  <c:v>5/18/2022</c:v>
                </c:pt>
                <c:pt idx="657">
                  <c:v>5/19/2022</c:v>
                </c:pt>
                <c:pt idx="658">
                  <c:v>5/20/2022</c:v>
                </c:pt>
                <c:pt idx="659">
                  <c:v>5/23/2022</c:v>
                </c:pt>
                <c:pt idx="660">
                  <c:v>5/24/2022</c:v>
                </c:pt>
                <c:pt idx="661">
                  <c:v>5/25/2022</c:v>
                </c:pt>
                <c:pt idx="662">
                  <c:v>5/26/2022</c:v>
                </c:pt>
                <c:pt idx="663">
                  <c:v>5/27/2022</c:v>
                </c:pt>
                <c:pt idx="664">
                  <c:v>5/30/2022</c:v>
                </c:pt>
                <c:pt idx="665">
                  <c:v>5/31/2022</c:v>
                </c:pt>
                <c:pt idx="666">
                  <c:v>6/1/2022</c:v>
                </c:pt>
                <c:pt idx="667">
                  <c:v>6/2/2022</c:v>
                </c:pt>
                <c:pt idx="668">
                  <c:v>6/3/2022</c:v>
                </c:pt>
                <c:pt idx="669">
                  <c:v>6/6/2022</c:v>
                </c:pt>
                <c:pt idx="670">
                  <c:v>6/7/2022</c:v>
                </c:pt>
                <c:pt idx="671">
                  <c:v>6/8/2022</c:v>
                </c:pt>
                <c:pt idx="672">
                  <c:v>6/9/2022</c:v>
                </c:pt>
                <c:pt idx="673">
                  <c:v>6/10/2022</c:v>
                </c:pt>
                <c:pt idx="674">
                  <c:v>6/13/2022</c:v>
                </c:pt>
                <c:pt idx="675">
                  <c:v>6/14/2022</c:v>
                </c:pt>
                <c:pt idx="676">
                  <c:v>6/15/2022</c:v>
                </c:pt>
                <c:pt idx="677">
                  <c:v>6/16/2022</c:v>
                </c:pt>
                <c:pt idx="678">
                  <c:v>6/17/2022</c:v>
                </c:pt>
                <c:pt idx="679">
                  <c:v>6/21/2022</c:v>
                </c:pt>
                <c:pt idx="680">
                  <c:v>6/22/2022</c:v>
                </c:pt>
                <c:pt idx="681">
                  <c:v>6/23/2022</c:v>
                </c:pt>
                <c:pt idx="682">
                  <c:v>6/24/2022</c:v>
                </c:pt>
                <c:pt idx="683">
                  <c:v>6/27/2022</c:v>
                </c:pt>
              </c:strCache>
            </c:strRef>
          </c:cat>
          <c:val>
            <c:numRef>
              <c:f>'GasPrice at Pump'!$L$2:$L$685</c:f>
              <c:numCache>
                <c:formatCode>"$"#,##0.00</c:formatCode>
                <c:ptCount val="684"/>
                <c:pt idx="168">
                  <c:v>2.1</c:v>
                </c:pt>
                <c:pt idx="210">
                  <c:v>1.9947599999999999</c:v>
                </c:pt>
                <c:pt idx="235">
                  <c:v>2.1491600000000002</c:v>
                </c:pt>
                <c:pt idx="261">
                  <c:v>1.89025</c:v>
                </c:pt>
                <c:pt idx="286">
                  <c:v>2.0043099999999998</c:v>
                </c:pt>
                <c:pt idx="311">
                  <c:v>2.0738999999999996</c:v>
                </c:pt>
                <c:pt idx="336">
                  <c:v>1.9519999999999997</c:v>
                </c:pt>
                <c:pt idx="361">
                  <c:v>1.93</c:v>
                </c:pt>
                <c:pt idx="386">
                  <c:v>1.7336999999999998</c:v>
                </c:pt>
                <c:pt idx="410">
                  <c:v>2.83</c:v>
                </c:pt>
                <c:pt idx="412">
                  <c:v>2.9</c:v>
                </c:pt>
                <c:pt idx="429">
                  <c:v>2.89</c:v>
                </c:pt>
                <c:pt idx="437">
                  <c:v>3.3</c:v>
                </c:pt>
                <c:pt idx="462">
                  <c:v>3.3</c:v>
                </c:pt>
                <c:pt idx="487">
                  <c:v>3.0646499999999999</c:v>
                </c:pt>
                <c:pt idx="497">
                  <c:v>3.2890000000000001</c:v>
                </c:pt>
                <c:pt idx="512">
                  <c:v>3.05</c:v>
                </c:pt>
                <c:pt idx="537">
                  <c:v>3.1</c:v>
                </c:pt>
                <c:pt idx="563">
                  <c:v>3.4450000000000003</c:v>
                </c:pt>
                <c:pt idx="583">
                  <c:v>3.1989999999999998</c:v>
                </c:pt>
                <c:pt idx="595">
                  <c:v>3.4990000000000001</c:v>
                </c:pt>
                <c:pt idx="596">
                  <c:v>3.96</c:v>
                </c:pt>
                <c:pt idx="600">
                  <c:v>3.92</c:v>
                </c:pt>
                <c:pt idx="603">
                  <c:v>3.9</c:v>
                </c:pt>
                <c:pt idx="606">
                  <c:v>3.85</c:v>
                </c:pt>
                <c:pt idx="609">
                  <c:v>3.82</c:v>
                </c:pt>
                <c:pt idx="611">
                  <c:v>4.1900000000000004</c:v>
                </c:pt>
                <c:pt idx="612">
                  <c:v>3.8</c:v>
                </c:pt>
                <c:pt idx="616">
                  <c:v>3.82</c:v>
                </c:pt>
                <c:pt idx="619">
                  <c:v>3.83</c:v>
                </c:pt>
                <c:pt idx="622">
                  <c:v>3.82</c:v>
                </c:pt>
                <c:pt idx="625">
                  <c:v>3.78</c:v>
                </c:pt>
                <c:pt idx="628">
                  <c:v>3.92</c:v>
                </c:pt>
                <c:pt idx="631">
                  <c:v>3.96</c:v>
                </c:pt>
                <c:pt idx="635">
                  <c:v>4.05</c:v>
                </c:pt>
                <c:pt idx="638">
                  <c:v>4.17</c:v>
                </c:pt>
                <c:pt idx="641">
                  <c:v>4.2300000000000004</c:v>
                </c:pt>
                <c:pt idx="643">
                  <c:v>3.99</c:v>
                </c:pt>
                <c:pt idx="644">
                  <c:v>4.24</c:v>
                </c:pt>
                <c:pt idx="646">
                  <c:v>4.25</c:v>
                </c:pt>
                <c:pt idx="650">
                  <c:v>4.37</c:v>
                </c:pt>
                <c:pt idx="654">
                  <c:v>4.37</c:v>
                </c:pt>
                <c:pt idx="657">
                  <c:v>4.3499999999999996</c:v>
                </c:pt>
                <c:pt idx="659">
                  <c:v>4.3600000000000003</c:v>
                </c:pt>
                <c:pt idx="660">
                  <c:v>4.3899999999999997</c:v>
                </c:pt>
                <c:pt idx="661">
                  <c:v>4.4400000000000004</c:v>
                </c:pt>
                <c:pt idx="662">
                  <c:v>4.51</c:v>
                </c:pt>
                <c:pt idx="663">
                  <c:v>4.5199999999999996</c:v>
                </c:pt>
                <c:pt idx="664">
                  <c:v>4.5199999999999996</c:v>
                </c:pt>
                <c:pt idx="665">
                  <c:v>4.57</c:v>
                </c:pt>
                <c:pt idx="666">
                  <c:v>4.6500000000000004</c:v>
                </c:pt>
                <c:pt idx="667">
                  <c:v>4.68</c:v>
                </c:pt>
                <c:pt idx="668">
                  <c:v>4.68</c:v>
                </c:pt>
                <c:pt idx="669">
                  <c:v>4.6900000000000004</c:v>
                </c:pt>
                <c:pt idx="670">
                  <c:v>4.68</c:v>
                </c:pt>
                <c:pt idx="671">
                  <c:v>4.67</c:v>
                </c:pt>
                <c:pt idx="672">
                  <c:v>4.6500000000000004</c:v>
                </c:pt>
                <c:pt idx="673">
                  <c:v>4.67</c:v>
                </c:pt>
                <c:pt idx="674">
                  <c:v>4.67</c:v>
                </c:pt>
                <c:pt idx="675">
                  <c:v>4.66</c:v>
                </c:pt>
                <c:pt idx="676">
                  <c:v>4.6399999999999997</c:v>
                </c:pt>
                <c:pt idx="677">
                  <c:v>4.63</c:v>
                </c:pt>
                <c:pt idx="678">
                  <c:v>4.63</c:v>
                </c:pt>
                <c:pt idx="679">
                  <c:v>4.59</c:v>
                </c:pt>
                <c:pt idx="680">
                  <c:v>4.5599999999999996</c:v>
                </c:pt>
                <c:pt idx="681">
                  <c:v>4.54</c:v>
                </c:pt>
                <c:pt idx="682">
                  <c:v>4.54</c:v>
                </c:pt>
                <c:pt idx="683">
                  <c:v>4.5199999999999996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1D9-46F9-B7DA-261F1CD19D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07322928"/>
        <c:axId val="807318008"/>
      </c:lineChart>
      <c:catAx>
        <c:axId val="8073229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07318008"/>
        <c:crosses val="autoZero"/>
        <c:auto val="1"/>
        <c:lblAlgn val="ctr"/>
        <c:lblOffset val="100"/>
        <c:noMultiLvlLbl val="0"/>
      </c:catAx>
      <c:valAx>
        <c:axId val="8073180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&quot;$&quot;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073229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[Foley_FinalProject_Completed.xlsm]Crude to Gas Correlation !CrudeOil2GasComparison</c:name>
    <c:fmtId val="2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'Crude to Gas Correlation '!$B$3</c:f>
              <c:strCache>
                <c:ptCount val="1"/>
                <c:pt idx="0">
                  <c:v>Crude oil Price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'Crude to Gas Correlation '!$A$4:$A$688</c:f>
              <c:strCache>
                <c:ptCount val="684"/>
                <c:pt idx="0">
                  <c:v>10/31/2019</c:v>
                </c:pt>
                <c:pt idx="1">
                  <c:v>11/1/2019</c:v>
                </c:pt>
                <c:pt idx="2">
                  <c:v>11/4/2019</c:v>
                </c:pt>
                <c:pt idx="3">
                  <c:v>11/5/2019</c:v>
                </c:pt>
                <c:pt idx="4">
                  <c:v>11/6/2019</c:v>
                </c:pt>
                <c:pt idx="5">
                  <c:v>11/7/2019</c:v>
                </c:pt>
                <c:pt idx="6">
                  <c:v>11/8/2019</c:v>
                </c:pt>
                <c:pt idx="7">
                  <c:v>11/11/2019</c:v>
                </c:pt>
                <c:pt idx="8">
                  <c:v>11/12/2019</c:v>
                </c:pt>
                <c:pt idx="9">
                  <c:v>11/13/2019</c:v>
                </c:pt>
                <c:pt idx="10">
                  <c:v>11/14/2019</c:v>
                </c:pt>
                <c:pt idx="11">
                  <c:v>11/15/2019</c:v>
                </c:pt>
                <c:pt idx="12">
                  <c:v>11/18/2019</c:v>
                </c:pt>
                <c:pt idx="13">
                  <c:v>11/19/2019</c:v>
                </c:pt>
                <c:pt idx="14">
                  <c:v>11/20/2019</c:v>
                </c:pt>
                <c:pt idx="15">
                  <c:v>11/21/2019</c:v>
                </c:pt>
                <c:pt idx="16">
                  <c:v>11/22/2019</c:v>
                </c:pt>
                <c:pt idx="17">
                  <c:v>11/25/2019</c:v>
                </c:pt>
                <c:pt idx="18">
                  <c:v>11/26/2019</c:v>
                </c:pt>
                <c:pt idx="19">
                  <c:v>11/27/2019</c:v>
                </c:pt>
                <c:pt idx="20">
                  <c:v>11/28/2019</c:v>
                </c:pt>
                <c:pt idx="21">
                  <c:v>11/29/2019</c:v>
                </c:pt>
                <c:pt idx="22">
                  <c:v>12/2/2019</c:v>
                </c:pt>
                <c:pt idx="23">
                  <c:v>12/3/2019</c:v>
                </c:pt>
                <c:pt idx="24">
                  <c:v>12/4/2019</c:v>
                </c:pt>
                <c:pt idx="25">
                  <c:v>12/5/2019</c:v>
                </c:pt>
                <c:pt idx="26">
                  <c:v>12/6/2019</c:v>
                </c:pt>
                <c:pt idx="27">
                  <c:v>12/9/2019</c:v>
                </c:pt>
                <c:pt idx="28">
                  <c:v>12/10/2019</c:v>
                </c:pt>
                <c:pt idx="29">
                  <c:v>12/11/2019</c:v>
                </c:pt>
                <c:pt idx="30">
                  <c:v>12/12/2019</c:v>
                </c:pt>
                <c:pt idx="31">
                  <c:v>12/13/2019</c:v>
                </c:pt>
                <c:pt idx="32">
                  <c:v>12/16/2019</c:v>
                </c:pt>
                <c:pt idx="33">
                  <c:v>12/17/2019</c:v>
                </c:pt>
                <c:pt idx="34">
                  <c:v>12/18/2019</c:v>
                </c:pt>
                <c:pt idx="35">
                  <c:v>12/19/2019</c:v>
                </c:pt>
                <c:pt idx="36">
                  <c:v>12/20/2019</c:v>
                </c:pt>
                <c:pt idx="37">
                  <c:v>12/23/2019</c:v>
                </c:pt>
                <c:pt idx="38">
                  <c:v>12/24/2019</c:v>
                </c:pt>
                <c:pt idx="39">
                  <c:v>12/26/2019</c:v>
                </c:pt>
                <c:pt idx="40">
                  <c:v>12/27/2019</c:v>
                </c:pt>
                <c:pt idx="41">
                  <c:v>12/30/2019</c:v>
                </c:pt>
                <c:pt idx="42">
                  <c:v>12/31/2019</c:v>
                </c:pt>
                <c:pt idx="43">
                  <c:v>1/2/2020</c:v>
                </c:pt>
                <c:pt idx="44">
                  <c:v>1/3/2020</c:v>
                </c:pt>
                <c:pt idx="45">
                  <c:v>1/6/2020</c:v>
                </c:pt>
                <c:pt idx="46">
                  <c:v>1/7/2020</c:v>
                </c:pt>
                <c:pt idx="47">
                  <c:v>1/8/2020</c:v>
                </c:pt>
                <c:pt idx="48">
                  <c:v>1/9/2020</c:v>
                </c:pt>
                <c:pt idx="49">
                  <c:v>1/10/2020</c:v>
                </c:pt>
                <c:pt idx="50">
                  <c:v>1/13/2020</c:v>
                </c:pt>
                <c:pt idx="51">
                  <c:v>1/14/2020</c:v>
                </c:pt>
                <c:pt idx="52">
                  <c:v>1/15/2020</c:v>
                </c:pt>
                <c:pt idx="53">
                  <c:v>1/16/2020</c:v>
                </c:pt>
                <c:pt idx="54">
                  <c:v>1/17/2020</c:v>
                </c:pt>
                <c:pt idx="55">
                  <c:v>1/20/2020</c:v>
                </c:pt>
                <c:pt idx="56">
                  <c:v>1/21/2020</c:v>
                </c:pt>
                <c:pt idx="57">
                  <c:v>1/22/2020</c:v>
                </c:pt>
                <c:pt idx="58">
                  <c:v>1/23/2020</c:v>
                </c:pt>
                <c:pt idx="59">
                  <c:v>1/24/2020</c:v>
                </c:pt>
                <c:pt idx="60">
                  <c:v>1/27/2020</c:v>
                </c:pt>
                <c:pt idx="61">
                  <c:v>1/28/2020</c:v>
                </c:pt>
                <c:pt idx="62">
                  <c:v>1/29/2020</c:v>
                </c:pt>
                <c:pt idx="63">
                  <c:v>1/30/2020</c:v>
                </c:pt>
                <c:pt idx="64">
                  <c:v>1/31/2020</c:v>
                </c:pt>
                <c:pt idx="65">
                  <c:v>2/3/2020</c:v>
                </c:pt>
                <c:pt idx="66">
                  <c:v>2/4/2020</c:v>
                </c:pt>
                <c:pt idx="67">
                  <c:v>2/5/2020</c:v>
                </c:pt>
                <c:pt idx="68">
                  <c:v>2/6/2020</c:v>
                </c:pt>
                <c:pt idx="69">
                  <c:v>2/7/2020</c:v>
                </c:pt>
                <c:pt idx="70">
                  <c:v>2/10/2020</c:v>
                </c:pt>
                <c:pt idx="71">
                  <c:v>2/11/2020</c:v>
                </c:pt>
                <c:pt idx="72">
                  <c:v>2/12/2020</c:v>
                </c:pt>
                <c:pt idx="73">
                  <c:v>2/13/2020</c:v>
                </c:pt>
                <c:pt idx="74">
                  <c:v>2/14/2020</c:v>
                </c:pt>
                <c:pt idx="75">
                  <c:v>2/17/2020</c:v>
                </c:pt>
                <c:pt idx="76">
                  <c:v>2/18/2020</c:v>
                </c:pt>
                <c:pt idx="77">
                  <c:v>2/19/2020</c:v>
                </c:pt>
                <c:pt idx="78">
                  <c:v>2/20/2020</c:v>
                </c:pt>
                <c:pt idx="79">
                  <c:v>2/21/2020</c:v>
                </c:pt>
                <c:pt idx="80">
                  <c:v>2/24/2020</c:v>
                </c:pt>
                <c:pt idx="81">
                  <c:v>2/25/2020</c:v>
                </c:pt>
                <c:pt idx="82">
                  <c:v>2/26/2020</c:v>
                </c:pt>
                <c:pt idx="83">
                  <c:v>2/27/2020</c:v>
                </c:pt>
                <c:pt idx="84">
                  <c:v>2/28/2020</c:v>
                </c:pt>
                <c:pt idx="85">
                  <c:v>3/2/2020</c:v>
                </c:pt>
                <c:pt idx="86">
                  <c:v>3/3/2020</c:v>
                </c:pt>
                <c:pt idx="87">
                  <c:v>3/4/2020</c:v>
                </c:pt>
                <c:pt idx="88">
                  <c:v>3/5/2020</c:v>
                </c:pt>
                <c:pt idx="89">
                  <c:v>3/6/2020</c:v>
                </c:pt>
                <c:pt idx="90">
                  <c:v>3/9/2020</c:v>
                </c:pt>
                <c:pt idx="91">
                  <c:v>3/10/2020</c:v>
                </c:pt>
                <c:pt idx="92">
                  <c:v>3/11/2020</c:v>
                </c:pt>
                <c:pt idx="93">
                  <c:v>3/12/2020</c:v>
                </c:pt>
                <c:pt idx="94">
                  <c:v>3/13/2020</c:v>
                </c:pt>
                <c:pt idx="95">
                  <c:v>3/16/2020</c:v>
                </c:pt>
                <c:pt idx="96">
                  <c:v>3/17/2020</c:v>
                </c:pt>
                <c:pt idx="97">
                  <c:v>3/18/2020</c:v>
                </c:pt>
                <c:pt idx="98">
                  <c:v>3/19/2020</c:v>
                </c:pt>
                <c:pt idx="99">
                  <c:v>3/20/2020</c:v>
                </c:pt>
                <c:pt idx="100">
                  <c:v>3/23/2020</c:v>
                </c:pt>
                <c:pt idx="101">
                  <c:v>3/24/2020</c:v>
                </c:pt>
                <c:pt idx="102">
                  <c:v>3/25/2020</c:v>
                </c:pt>
                <c:pt idx="103">
                  <c:v>3/26/2020</c:v>
                </c:pt>
                <c:pt idx="104">
                  <c:v>3/27/2020</c:v>
                </c:pt>
                <c:pt idx="105">
                  <c:v>3/30/2020</c:v>
                </c:pt>
                <c:pt idx="106">
                  <c:v>3/31/2020</c:v>
                </c:pt>
                <c:pt idx="107">
                  <c:v>4/1/2020</c:v>
                </c:pt>
                <c:pt idx="108">
                  <c:v>4/2/2020</c:v>
                </c:pt>
                <c:pt idx="109">
                  <c:v>4/3/2020</c:v>
                </c:pt>
                <c:pt idx="110">
                  <c:v>4/6/2020</c:v>
                </c:pt>
                <c:pt idx="111">
                  <c:v>4/7/2020</c:v>
                </c:pt>
                <c:pt idx="112">
                  <c:v>4/8/2020</c:v>
                </c:pt>
                <c:pt idx="113">
                  <c:v>4/9/2020</c:v>
                </c:pt>
                <c:pt idx="114">
                  <c:v>4/13/2020</c:v>
                </c:pt>
                <c:pt idx="115">
                  <c:v>4/14/2020</c:v>
                </c:pt>
                <c:pt idx="116">
                  <c:v>4/15/2020</c:v>
                </c:pt>
                <c:pt idx="117">
                  <c:v>4/16/2020</c:v>
                </c:pt>
                <c:pt idx="118">
                  <c:v>4/17/2020</c:v>
                </c:pt>
                <c:pt idx="119">
                  <c:v>4/20/2020</c:v>
                </c:pt>
                <c:pt idx="120">
                  <c:v>4/21/2020</c:v>
                </c:pt>
                <c:pt idx="121">
                  <c:v>4/22/2020</c:v>
                </c:pt>
                <c:pt idx="122">
                  <c:v>4/23/2020</c:v>
                </c:pt>
                <c:pt idx="123">
                  <c:v>4/24/2020</c:v>
                </c:pt>
                <c:pt idx="124">
                  <c:v>4/27/2020</c:v>
                </c:pt>
                <c:pt idx="125">
                  <c:v>4/28/2020</c:v>
                </c:pt>
                <c:pt idx="126">
                  <c:v>4/29/2020</c:v>
                </c:pt>
                <c:pt idx="127">
                  <c:v>4/30/2020</c:v>
                </c:pt>
                <c:pt idx="128">
                  <c:v>5/1/2020</c:v>
                </c:pt>
                <c:pt idx="129">
                  <c:v>5/4/2020</c:v>
                </c:pt>
                <c:pt idx="130">
                  <c:v>5/5/2020</c:v>
                </c:pt>
                <c:pt idx="131">
                  <c:v>5/6/2020</c:v>
                </c:pt>
                <c:pt idx="132">
                  <c:v>5/7/2020</c:v>
                </c:pt>
                <c:pt idx="133">
                  <c:v>5/8/2020</c:v>
                </c:pt>
                <c:pt idx="134">
                  <c:v>5/11/2020</c:v>
                </c:pt>
                <c:pt idx="135">
                  <c:v>5/12/2020</c:v>
                </c:pt>
                <c:pt idx="136">
                  <c:v>5/13/2020</c:v>
                </c:pt>
                <c:pt idx="137">
                  <c:v>5/14/2020</c:v>
                </c:pt>
                <c:pt idx="138">
                  <c:v>5/15/2020</c:v>
                </c:pt>
                <c:pt idx="139">
                  <c:v>5/18/2020</c:v>
                </c:pt>
                <c:pt idx="140">
                  <c:v>5/19/2020</c:v>
                </c:pt>
                <c:pt idx="141">
                  <c:v>5/20/2020</c:v>
                </c:pt>
                <c:pt idx="142">
                  <c:v>5/21/2020</c:v>
                </c:pt>
                <c:pt idx="143">
                  <c:v>5/22/2020</c:v>
                </c:pt>
                <c:pt idx="144">
                  <c:v>5/26/2020</c:v>
                </c:pt>
                <c:pt idx="145">
                  <c:v>5/27/2020</c:v>
                </c:pt>
                <c:pt idx="146">
                  <c:v>5/28/2020</c:v>
                </c:pt>
                <c:pt idx="147">
                  <c:v>5/29/2020</c:v>
                </c:pt>
                <c:pt idx="148">
                  <c:v>6/1/2020</c:v>
                </c:pt>
                <c:pt idx="149">
                  <c:v>6/2/2020</c:v>
                </c:pt>
                <c:pt idx="150">
                  <c:v>6/3/2020</c:v>
                </c:pt>
                <c:pt idx="151">
                  <c:v>6/4/2020</c:v>
                </c:pt>
                <c:pt idx="152">
                  <c:v>6/5/2020</c:v>
                </c:pt>
                <c:pt idx="153">
                  <c:v>6/8/2020</c:v>
                </c:pt>
                <c:pt idx="154">
                  <c:v>6/9/2020</c:v>
                </c:pt>
                <c:pt idx="155">
                  <c:v>6/10/2020</c:v>
                </c:pt>
                <c:pt idx="156">
                  <c:v>6/11/2020</c:v>
                </c:pt>
                <c:pt idx="157">
                  <c:v>6/12/2020</c:v>
                </c:pt>
                <c:pt idx="158">
                  <c:v>6/15/2020</c:v>
                </c:pt>
                <c:pt idx="159">
                  <c:v>6/16/2020</c:v>
                </c:pt>
                <c:pt idx="160">
                  <c:v>6/17/2020</c:v>
                </c:pt>
                <c:pt idx="161">
                  <c:v>6/18/2020</c:v>
                </c:pt>
                <c:pt idx="162">
                  <c:v>6/19/2020</c:v>
                </c:pt>
                <c:pt idx="163">
                  <c:v>6/22/2020</c:v>
                </c:pt>
                <c:pt idx="164">
                  <c:v>6/23/2020</c:v>
                </c:pt>
                <c:pt idx="165">
                  <c:v>6/24/2020</c:v>
                </c:pt>
                <c:pt idx="166">
                  <c:v>6/25/2020</c:v>
                </c:pt>
                <c:pt idx="167">
                  <c:v>6/26/2020</c:v>
                </c:pt>
                <c:pt idx="168">
                  <c:v>6/29/2020</c:v>
                </c:pt>
                <c:pt idx="169">
                  <c:v>6/30/2020</c:v>
                </c:pt>
                <c:pt idx="170">
                  <c:v>7/1/2020</c:v>
                </c:pt>
                <c:pt idx="171">
                  <c:v>7/2/2020</c:v>
                </c:pt>
                <c:pt idx="172">
                  <c:v>7/3/2020</c:v>
                </c:pt>
                <c:pt idx="173">
                  <c:v>7/6/2020</c:v>
                </c:pt>
                <c:pt idx="174">
                  <c:v>7/7/2020</c:v>
                </c:pt>
                <c:pt idx="175">
                  <c:v>7/8/2020</c:v>
                </c:pt>
                <c:pt idx="176">
                  <c:v>7/9/2020</c:v>
                </c:pt>
                <c:pt idx="177">
                  <c:v>7/10/2020</c:v>
                </c:pt>
                <c:pt idx="178">
                  <c:v>7/13/2020</c:v>
                </c:pt>
                <c:pt idx="179">
                  <c:v>7/14/2020</c:v>
                </c:pt>
                <c:pt idx="180">
                  <c:v>7/15/2020</c:v>
                </c:pt>
                <c:pt idx="181">
                  <c:v>7/16/2020</c:v>
                </c:pt>
                <c:pt idx="182">
                  <c:v>7/17/2020</c:v>
                </c:pt>
                <c:pt idx="183">
                  <c:v>7/20/2020</c:v>
                </c:pt>
                <c:pt idx="184">
                  <c:v>7/21/2020</c:v>
                </c:pt>
                <c:pt idx="185">
                  <c:v>7/22/2020</c:v>
                </c:pt>
                <c:pt idx="186">
                  <c:v>7/23/2020</c:v>
                </c:pt>
                <c:pt idx="187">
                  <c:v>7/24/2020</c:v>
                </c:pt>
                <c:pt idx="188">
                  <c:v>7/27/2020</c:v>
                </c:pt>
                <c:pt idx="189">
                  <c:v>7/28/2020</c:v>
                </c:pt>
                <c:pt idx="190">
                  <c:v>7/29/2020</c:v>
                </c:pt>
                <c:pt idx="191">
                  <c:v>7/30/2020</c:v>
                </c:pt>
                <c:pt idx="192">
                  <c:v>7/31/2020</c:v>
                </c:pt>
                <c:pt idx="193">
                  <c:v>8/3/2020</c:v>
                </c:pt>
                <c:pt idx="194">
                  <c:v>8/4/2020</c:v>
                </c:pt>
                <c:pt idx="195">
                  <c:v>8/5/2020</c:v>
                </c:pt>
                <c:pt idx="196">
                  <c:v>8/6/2020</c:v>
                </c:pt>
                <c:pt idx="197">
                  <c:v>8/7/2020</c:v>
                </c:pt>
                <c:pt idx="198">
                  <c:v>8/10/2020</c:v>
                </c:pt>
                <c:pt idx="199">
                  <c:v>8/11/2020</c:v>
                </c:pt>
                <c:pt idx="200">
                  <c:v>8/12/2020</c:v>
                </c:pt>
                <c:pt idx="201">
                  <c:v>8/13/2020</c:v>
                </c:pt>
                <c:pt idx="202">
                  <c:v>8/14/2020</c:v>
                </c:pt>
                <c:pt idx="203">
                  <c:v>8/17/2020</c:v>
                </c:pt>
                <c:pt idx="204">
                  <c:v>8/18/2020</c:v>
                </c:pt>
                <c:pt idx="205">
                  <c:v>8/19/2020</c:v>
                </c:pt>
                <c:pt idx="206">
                  <c:v>8/20/2020</c:v>
                </c:pt>
                <c:pt idx="207">
                  <c:v>8/21/2020</c:v>
                </c:pt>
                <c:pt idx="208">
                  <c:v>8/24/2020</c:v>
                </c:pt>
                <c:pt idx="209">
                  <c:v>8/25/2020</c:v>
                </c:pt>
                <c:pt idx="210">
                  <c:v>8/26/2020</c:v>
                </c:pt>
                <c:pt idx="211">
                  <c:v>8/27/2020</c:v>
                </c:pt>
                <c:pt idx="212">
                  <c:v>8/28/2020</c:v>
                </c:pt>
                <c:pt idx="213">
                  <c:v>8/31/2020</c:v>
                </c:pt>
                <c:pt idx="214">
                  <c:v>9/1/2020</c:v>
                </c:pt>
                <c:pt idx="215">
                  <c:v>9/2/2020</c:v>
                </c:pt>
                <c:pt idx="216">
                  <c:v>9/3/2020</c:v>
                </c:pt>
                <c:pt idx="217">
                  <c:v>9/4/2020</c:v>
                </c:pt>
                <c:pt idx="218">
                  <c:v>9/7/2020</c:v>
                </c:pt>
                <c:pt idx="219">
                  <c:v>9/8/2020</c:v>
                </c:pt>
                <c:pt idx="220">
                  <c:v>9/9/2020</c:v>
                </c:pt>
                <c:pt idx="221">
                  <c:v>9/10/2020</c:v>
                </c:pt>
                <c:pt idx="222">
                  <c:v>9/11/2020</c:v>
                </c:pt>
                <c:pt idx="223">
                  <c:v>9/14/2020</c:v>
                </c:pt>
                <c:pt idx="224">
                  <c:v>9/15/2020</c:v>
                </c:pt>
                <c:pt idx="225">
                  <c:v>9/16/2020</c:v>
                </c:pt>
                <c:pt idx="226">
                  <c:v>9/17/2020</c:v>
                </c:pt>
                <c:pt idx="227">
                  <c:v>9/18/2020</c:v>
                </c:pt>
                <c:pt idx="228">
                  <c:v>9/21/2020</c:v>
                </c:pt>
                <c:pt idx="229">
                  <c:v>9/22/2020</c:v>
                </c:pt>
                <c:pt idx="230">
                  <c:v>9/23/2020</c:v>
                </c:pt>
                <c:pt idx="231">
                  <c:v>9/24/2020</c:v>
                </c:pt>
                <c:pt idx="232">
                  <c:v>9/25/2020</c:v>
                </c:pt>
                <c:pt idx="233">
                  <c:v>9/28/2020</c:v>
                </c:pt>
                <c:pt idx="234">
                  <c:v>9/29/2020</c:v>
                </c:pt>
                <c:pt idx="235">
                  <c:v>9/30/2020</c:v>
                </c:pt>
                <c:pt idx="236">
                  <c:v>10/1/2020</c:v>
                </c:pt>
                <c:pt idx="237">
                  <c:v>10/2/2020</c:v>
                </c:pt>
                <c:pt idx="238">
                  <c:v>10/5/2020</c:v>
                </c:pt>
                <c:pt idx="239">
                  <c:v>10/6/2020</c:v>
                </c:pt>
                <c:pt idx="240">
                  <c:v>10/7/2020</c:v>
                </c:pt>
                <c:pt idx="241">
                  <c:v>10/8/2020</c:v>
                </c:pt>
                <c:pt idx="242">
                  <c:v>10/9/2020</c:v>
                </c:pt>
                <c:pt idx="243">
                  <c:v>10/12/2020</c:v>
                </c:pt>
                <c:pt idx="244">
                  <c:v>10/13/2020</c:v>
                </c:pt>
                <c:pt idx="245">
                  <c:v>10/14/2020</c:v>
                </c:pt>
                <c:pt idx="246">
                  <c:v>10/15/2020</c:v>
                </c:pt>
                <c:pt idx="247">
                  <c:v>10/16/2020</c:v>
                </c:pt>
                <c:pt idx="248">
                  <c:v>10/19/2020</c:v>
                </c:pt>
                <c:pt idx="249">
                  <c:v>10/20/2020</c:v>
                </c:pt>
                <c:pt idx="250">
                  <c:v>10/21/2020</c:v>
                </c:pt>
                <c:pt idx="251">
                  <c:v>10/22/2020</c:v>
                </c:pt>
                <c:pt idx="252">
                  <c:v>10/23/2020</c:v>
                </c:pt>
                <c:pt idx="253">
                  <c:v>10/26/2020</c:v>
                </c:pt>
                <c:pt idx="254">
                  <c:v>10/27/2020</c:v>
                </c:pt>
                <c:pt idx="255">
                  <c:v>10/28/2020</c:v>
                </c:pt>
                <c:pt idx="256">
                  <c:v>10/29/2020</c:v>
                </c:pt>
                <c:pt idx="257">
                  <c:v>10/30/2020</c:v>
                </c:pt>
                <c:pt idx="258">
                  <c:v>11/2/2020</c:v>
                </c:pt>
                <c:pt idx="259">
                  <c:v>11/3/2020</c:v>
                </c:pt>
                <c:pt idx="260">
                  <c:v>11/4/2020</c:v>
                </c:pt>
                <c:pt idx="261">
                  <c:v>11/5/2020</c:v>
                </c:pt>
                <c:pt idx="262">
                  <c:v>11/6/2020</c:v>
                </c:pt>
                <c:pt idx="263">
                  <c:v>11/9/2020</c:v>
                </c:pt>
                <c:pt idx="264">
                  <c:v>11/10/2020</c:v>
                </c:pt>
                <c:pt idx="265">
                  <c:v>11/11/2020</c:v>
                </c:pt>
                <c:pt idx="266">
                  <c:v>11/12/2020</c:v>
                </c:pt>
                <c:pt idx="267">
                  <c:v>11/13/2020</c:v>
                </c:pt>
                <c:pt idx="268">
                  <c:v>11/16/2020</c:v>
                </c:pt>
                <c:pt idx="269">
                  <c:v>11/17/2020</c:v>
                </c:pt>
                <c:pt idx="270">
                  <c:v>11/18/2020</c:v>
                </c:pt>
                <c:pt idx="271">
                  <c:v>11/19/2020</c:v>
                </c:pt>
                <c:pt idx="272">
                  <c:v>11/20/2020</c:v>
                </c:pt>
                <c:pt idx="273">
                  <c:v>11/23/2020</c:v>
                </c:pt>
                <c:pt idx="274">
                  <c:v>11/24/2020</c:v>
                </c:pt>
                <c:pt idx="275">
                  <c:v>11/25/2020</c:v>
                </c:pt>
                <c:pt idx="276">
                  <c:v>11/26/2020</c:v>
                </c:pt>
                <c:pt idx="277">
                  <c:v>11/27/2020</c:v>
                </c:pt>
                <c:pt idx="278">
                  <c:v>11/30/2020</c:v>
                </c:pt>
                <c:pt idx="279">
                  <c:v>12/1/2020</c:v>
                </c:pt>
                <c:pt idx="280">
                  <c:v>12/2/2020</c:v>
                </c:pt>
                <c:pt idx="281">
                  <c:v>12/3/2020</c:v>
                </c:pt>
                <c:pt idx="282">
                  <c:v>12/4/2020</c:v>
                </c:pt>
                <c:pt idx="283">
                  <c:v>12/7/2020</c:v>
                </c:pt>
                <c:pt idx="284">
                  <c:v>12/8/2020</c:v>
                </c:pt>
                <c:pt idx="285">
                  <c:v>12/9/2020</c:v>
                </c:pt>
                <c:pt idx="286">
                  <c:v>12/10/2020</c:v>
                </c:pt>
                <c:pt idx="287">
                  <c:v>12/11/2020</c:v>
                </c:pt>
                <c:pt idx="288">
                  <c:v>12/14/2020</c:v>
                </c:pt>
                <c:pt idx="289">
                  <c:v>12/15/2020</c:v>
                </c:pt>
                <c:pt idx="290">
                  <c:v>12/16/2020</c:v>
                </c:pt>
                <c:pt idx="291">
                  <c:v>12/17/2020</c:v>
                </c:pt>
                <c:pt idx="292">
                  <c:v>12/18/2020</c:v>
                </c:pt>
                <c:pt idx="293">
                  <c:v>12/21/2020</c:v>
                </c:pt>
                <c:pt idx="294">
                  <c:v>12/22/2020</c:v>
                </c:pt>
                <c:pt idx="295">
                  <c:v>12/23/2020</c:v>
                </c:pt>
                <c:pt idx="296">
                  <c:v>12/24/2020</c:v>
                </c:pt>
                <c:pt idx="297">
                  <c:v>12/28/2020</c:v>
                </c:pt>
                <c:pt idx="298">
                  <c:v>12/29/2020</c:v>
                </c:pt>
                <c:pt idx="299">
                  <c:v>12/30/2020</c:v>
                </c:pt>
                <c:pt idx="300">
                  <c:v>12/31/2020</c:v>
                </c:pt>
                <c:pt idx="301">
                  <c:v>1/4/2021</c:v>
                </c:pt>
                <c:pt idx="302">
                  <c:v>1/5/2021</c:v>
                </c:pt>
                <c:pt idx="303">
                  <c:v>1/6/2021</c:v>
                </c:pt>
                <c:pt idx="304">
                  <c:v>1/7/2021</c:v>
                </c:pt>
                <c:pt idx="305">
                  <c:v>1/8/2021</c:v>
                </c:pt>
                <c:pt idx="306">
                  <c:v>1/11/2021</c:v>
                </c:pt>
                <c:pt idx="307">
                  <c:v>1/12/2021</c:v>
                </c:pt>
                <c:pt idx="308">
                  <c:v>1/13/2021</c:v>
                </c:pt>
                <c:pt idx="309">
                  <c:v>1/14/2021</c:v>
                </c:pt>
                <c:pt idx="310">
                  <c:v>1/15/2021</c:v>
                </c:pt>
                <c:pt idx="311">
                  <c:v>1/18/2021</c:v>
                </c:pt>
                <c:pt idx="312">
                  <c:v>1/19/2021</c:v>
                </c:pt>
                <c:pt idx="313">
                  <c:v>1/20/2021</c:v>
                </c:pt>
                <c:pt idx="314">
                  <c:v>1/21/2021</c:v>
                </c:pt>
                <c:pt idx="315">
                  <c:v>1/22/2021</c:v>
                </c:pt>
                <c:pt idx="316">
                  <c:v>1/25/2021</c:v>
                </c:pt>
                <c:pt idx="317">
                  <c:v>1/26/2021</c:v>
                </c:pt>
                <c:pt idx="318">
                  <c:v>1/27/2021</c:v>
                </c:pt>
                <c:pt idx="319">
                  <c:v>1/28/2021</c:v>
                </c:pt>
                <c:pt idx="320">
                  <c:v>1/29/2021</c:v>
                </c:pt>
                <c:pt idx="321">
                  <c:v>2/1/2021</c:v>
                </c:pt>
                <c:pt idx="322">
                  <c:v>2/2/2021</c:v>
                </c:pt>
                <c:pt idx="323">
                  <c:v>2/3/2021</c:v>
                </c:pt>
                <c:pt idx="324">
                  <c:v>2/4/2021</c:v>
                </c:pt>
                <c:pt idx="325">
                  <c:v>2/5/2021</c:v>
                </c:pt>
                <c:pt idx="326">
                  <c:v>2/8/2021</c:v>
                </c:pt>
                <c:pt idx="327">
                  <c:v>2/9/2021</c:v>
                </c:pt>
                <c:pt idx="328">
                  <c:v>2/10/2021</c:v>
                </c:pt>
                <c:pt idx="329">
                  <c:v>2/11/2021</c:v>
                </c:pt>
                <c:pt idx="330">
                  <c:v>2/12/2021</c:v>
                </c:pt>
                <c:pt idx="331">
                  <c:v>2/15/2021</c:v>
                </c:pt>
                <c:pt idx="332">
                  <c:v>2/16/2021</c:v>
                </c:pt>
                <c:pt idx="333">
                  <c:v>2/17/2021</c:v>
                </c:pt>
                <c:pt idx="334">
                  <c:v>2/18/2021</c:v>
                </c:pt>
                <c:pt idx="335">
                  <c:v>2/19/2021</c:v>
                </c:pt>
                <c:pt idx="336">
                  <c:v>2/22/2021</c:v>
                </c:pt>
                <c:pt idx="337">
                  <c:v>2/23/2021</c:v>
                </c:pt>
                <c:pt idx="338">
                  <c:v>2/24/2021</c:v>
                </c:pt>
                <c:pt idx="339">
                  <c:v>2/25/2021</c:v>
                </c:pt>
                <c:pt idx="340">
                  <c:v>2/26/2021</c:v>
                </c:pt>
                <c:pt idx="341">
                  <c:v>3/1/2021</c:v>
                </c:pt>
                <c:pt idx="342">
                  <c:v>3/2/2021</c:v>
                </c:pt>
                <c:pt idx="343">
                  <c:v>3/3/2021</c:v>
                </c:pt>
                <c:pt idx="344">
                  <c:v>3/4/2021</c:v>
                </c:pt>
                <c:pt idx="345">
                  <c:v>3/5/2021</c:v>
                </c:pt>
                <c:pt idx="346">
                  <c:v>3/8/2021</c:v>
                </c:pt>
                <c:pt idx="347">
                  <c:v>3/9/2021</c:v>
                </c:pt>
                <c:pt idx="348">
                  <c:v>3/10/2021</c:v>
                </c:pt>
                <c:pt idx="349">
                  <c:v>3/11/2021</c:v>
                </c:pt>
                <c:pt idx="350">
                  <c:v>3/12/2021</c:v>
                </c:pt>
                <c:pt idx="351">
                  <c:v>3/15/2021</c:v>
                </c:pt>
                <c:pt idx="352">
                  <c:v>3/16/2021</c:v>
                </c:pt>
                <c:pt idx="353">
                  <c:v>3/17/2021</c:v>
                </c:pt>
                <c:pt idx="354">
                  <c:v>3/18/2021</c:v>
                </c:pt>
                <c:pt idx="355">
                  <c:v>3/19/2021</c:v>
                </c:pt>
                <c:pt idx="356">
                  <c:v>3/22/2021</c:v>
                </c:pt>
                <c:pt idx="357">
                  <c:v>3/23/2021</c:v>
                </c:pt>
                <c:pt idx="358">
                  <c:v>3/24/2021</c:v>
                </c:pt>
                <c:pt idx="359">
                  <c:v>3/25/2021</c:v>
                </c:pt>
                <c:pt idx="360">
                  <c:v>3/26/2021</c:v>
                </c:pt>
                <c:pt idx="361">
                  <c:v>3/29/2021</c:v>
                </c:pt>
                <c:pt idx="362">
                  <c:v>3/30/2021</c:v>
                </c:pt>
                <c:pt idx="363">
                  <c:v>3/31/2021</c:v>
                </c:pt>
                <c:pt idx="364">
                  <c:v>4/1/2021</c:v>
                </c:pt>
                <c:pt idx="365">
                  <c:v>4/5/2021</c:v>
                </c:pt>
                <c:pt idx="366">
                  <c:v>4/6/2021</c:v>
                </c:pt>
                <c:pt idx="367">
                  <c:v>4/7/2021</c:v>
                </c:pt>
                <c:pt idx="368">
                  <c:v>4/8/2021</c:v>
                </c:pt>
                <c:pt idx="369">
                  <c:v>4/9/2021</c:v>
                </c:pt>
                <c:pt idx="370">
                  <c:v>4/12/2021</c:v>
                </c:pt>
                <c:pt idx="371">
                  <c:v>4/13/2021</c:v>
                </c:pt>
                <c:pt idx="372">
                  <c:v>4/14/2021</c:v>
                </c:pt>
                <c:pt idx="373">
                  <c:v>4/15/2021</c:v>
                </c:pt>
                <c:pt idx="374">
                  <c:v>4/16/2021</c:v>
                </c:pt>
                <c:pt idx="375">
                  <c:v>4/19/2021</c:v>
                </c:pt>
                <c:pt idx="376">
                  <c:v>4/20/2021</c:v>
                </c:pt>
                <c:pt idx="377">
                  <c:v>4/21/2021</c:v>
                </c:pt>
                <c:pt idx="378">
                  <c:v>4/22/2021</c:v>
                </c:pt>
                <c:pt idx="379">
                  <c:v>4/23/2021</c:v>
                </c:pt>
                <c:pt idx="380">
                  <c:v>4/26/2021</c:v>
                </c:pt>
                <c:pt idx="381">
                  <c:v>4/27/2021</c:v>
                </c:pt>
                <c:pt idx="382">
                  <c:v>4/28/2021</c:v>
                </c:pt>
                <c:pt idx="383">
                  <c:v>4/29/2021</c:v>
                </c:pt>
                <c:pt idx="384">
                  <c:v>4/30/2021</c:v>
                </c:pt>
                <c:pt idx="385">
                  <c:v>5/3/2021</c:v>
                </c:pt>
                <c:pt idx="386">
                  <c:v>5/4/2021</c:v>
                </c:pt>
                <c:pt idx="387">
                  <c:v>5/5/2021</c:v>
                </c:pt>
                <c:pt idx="388">
                  <c:v>5/6/2021</c:v>
                </c:pt>
                <c:pt idx="389">
                  <c:v>5/7/2021</c:v>
                </c:pt>
                <c:pt idx="390">
                  <c:v>5/10/2021</c:v>
                </c:pt>
                <c:pt idx="391">
                  <c:v>5/11/2021</c:v>
                </c:pt>
                <c:pt idx="392">
                  <c:v>5/12/2021</c:v>
                </c:pt>
                <c:pt idx="393">
                  <c:v>5/13/2021</c:v>
                </c:pt>
                <c:pt idx="394">
                  <c:v>5/14/2021</c:v>
                </c:pt>
                <c:pt idx="395">
                  <c:v>5/17/2021</c:v>
                </c:pt>
                <c:pt idx="396">
                  <c:v>5/18/2021</c:v>
                </c:pt>
                <c:pt idx="397">
                  <c:v>5/19/2021</c:v>
                </c:pt>
                <c:pt idx="398">
                  <c:v>5/20/2021</c:v>
                </c:pt>
                <c:pt idx="399">
                  <c:v>5/21/2021</c:v>
                </c:pt>
                <c:pt idx="400">
                  <c:v>5/24/2021</c:v>
                </c:pt>
                <c:pt idx="401">
                  <c:v>5/25/2021</c:v>
                </c:pt>
                <c:pt idx="402">
                  <c:v>5/26/2021</c:v>
                </c:pt>
                <c:pt idx="403">
                  <c:v>5/27/2021</c:v>
                </c:pt>
                <c:pt idx="404">
                  <c:v>5/28/2021</c:v>
                </c:pt>
                <c:pt idx="405">
                  <c:v>5/31/2021</c:v>
                </c:pt>
                <c:pt idx="406">
                  <c:v>6/1/2021</c:v>
                </c:pt>
                <c:pt idx="407">
                  <c:v>6/2/2021</c:v>
                </c:pt>
                <c:pt idx="408">
                  <c:v>6/3/2021</c:v>
                </c:pt>
                <c:pt idx="409">
                  <c:v>6/4/2021</c:v>
                </c:pt>
                <c:pt idx="410">
                  <c:v>6/7/2021</c:v>
                </c:pt>
                <c:pt idx="411">
                  <c:v>6/8/2021</c:v>
                </c:pt>
                <c:pt idx="412">
                  <c:v>6/9/2021</c:v>
                </c:pt>
                <c:pt idx="413">
                  <c:v>6/10/2021</c:v>
                </c:pt>
                <c:pt idx="414">
                  <c:v>6/11/2021</c:v>
                </c:pt>
                <c:pt idx="415">
                  <c:v>6/14/2021</c:v>
                </c:pt>
                <c:pt idx="416">
                  <c:v>6/15/2021</c:v>
                </c:pt>
                <c:pt idx="417">
                  <c:v>6/16/2021</c:v>
                </c:pt>
                <c:pt idx="418">
                  <c:v>6/17/2021</c:v>
                </c:pt>
                <c:pt idx="419">
                  <c:v>6/18/2021</c:v>
                </c:pt>
                <c:pt idx="420">
                  <c:v>6/21/2021</c:v>
                </c:pt>
                <c:pt idx="421">
                  <c:v>6/22/2021</c:v>
                </c:pt>
                <c:pt idx="422">
                  <c:v>6/23/2021</c:v>
                </c:pt>
                <c:pt idx="423">
                  <c:v>6/24/2021</c:v>
                </c:pt>
                <c:pt idx="424">
                  <c:v>6/25/2021</c:v>
                </c:pt>
                <c:pt idx="425">
                  <c:v>6/28/2021</c:v>
                </c:pt>
                <c:pt idx="426">
                  <c:v>6/29/2021</c:v>
                </c:pt>
                <c:pt idx="427">
                  <c:v>6/30/2021</c:v>
                </c:pt>
                <c:pt idx="428">
                  <c:v>7/1/2021</c:v>
                </c:pt>
                <c:pt idx="429">
                  <c:v>7/2/2021</c:v>
                </c:pt>
                <c:pt idx="430">
                  <c:v>7/5/2021</c:v>
                </c:pt>
                <c:pt idx="431">
                  <c:v>7/6/2021</c:v>
                </c:pt>
                <c:pt idx="432">
                  <c:v>7/7/2021</c:v>
                </c:pt>
                <c:pt idx="433">
                  <c:v>7/8/2021</c:v>
                </c:pt>
                <c:pt idx="434">
                  <c:v>7/9/2021</c:v>
                </c:pt>
                <c:pt idx="435">
                  <c:v>7/12/2021</c:v>
                </c:pt>
                <c:pt idx="436">
                  <c:v>7/13/2021</c:v>
                </c:pt>
                <c:pt idx="437">
                  <c:v>7/14/2021</c:v>
                </c:pt>
                <c:pt idx="438">
                  <c:v>7/15/2021</c:v>
                </c:pt>
                <c:pt idx="439">
                  <c:v>7/16/2021</c:v>
                </c:pt>
                <c:pt idx="440">
                  <c:v>7/19/2021</c:v>
                </c:pt>
                <c:pt idx="441">
                  <c:v>7/20/2021</c:v>
                </c:pt>
                <c:pt idx="442">
                  <c:v>7/21/2021</c:v>
                </c:pt>
                <c:pt idx="443">
                  <c:v>7/22/2021</c:v>
                </c:pt>
                <c:pt idx="444">
                  <c:v>7/23/2021</c:v>
                </c:pt>
                <c:pt idx="445">
                  <c:v>7/26/2021</c:v>
                </c:pt>
                <c:pt idx="446">
                  <c:v>7/27/2021</c:v>
                </c:pt>
                <c:pt idx="447">
                  <c:v>7/28/2021</c:v>
                </c:pt>
                <c:pt idx="448">
                  <c:v>7/29/2021</c:v>
                </c:pt>
                <c:pt idx="449">
                  <c:v>7/30/2021</c:v>
                </c:pt>
                <c:pt idx="450">
                  <c:v>8/2/2021</c:v>
                </c:pt>
                <c:pt idx="451">
                  <c:v>8/3/2021</c:v>
                </c:pt>
                <c:pt idx="452">
                  <c:v>8/4/2021</c:v>
                </c:pt>
                <c:pt idx="453">
                  <c:v>8/5/2021</c:v>
                </c:pt>
                <c:pt idx="454">
                  <c:v>8/6/2021</c:v>
                </c:pt>
                <c:pt idx="455">
                  <c:v>8/9/2021</c:v>
                </c:pt>
                <c:pt idx="456">
                  <c:v>8/10/2021</c:v>
                </c:pt>
                <c:pt idx="457">
                  <c:v>8/11/2021</c:v>
                </c:pt>
                <c:pt idx="458">
                  <c:v>8/12/2021</c:v>
                </c:pt>
                <c:pt idx="459">
                  <c:v>8/13/2021</c:v>
                </c:pt>
                <c:pt idx="460">
                  <c:v>8/16/2021</c:v>
                </c:pt>
                <c:pt idx="461">
                  <c:v>8/17/2021</c:v>
                </c:pt>
                <c:pt idx="462">
                  <c:v>8/18/2021</c:v>
                </c:pt>
                <c:pt idx="463">
                  <c:v>8/19/2021</c:v>
                </c:pt>
                <c:pt idx="464">
                  <c:v>8/20/2021</c:v>
                </c:pt>
                <c:pt idx="465">
                  <c:v>8/23/2021</c:v>
                </c:pt>
                <c:pt idx="466">
                  <c:v>8/24/2021</c:v>
                </c:pt>
                <c:pt idx="467">
                  <c:v>8/25/2021</c:v>
                </c:pt>
                <c:pt idx="468">
                  <c:v>8/26/2021</c:v>
                </c:pt>
                <c:pt idx="469">
                  <c:v>8/27/2021</c:v>
                </c:pt>
                <c:pt idx="470">
                  <c:v>8/30/2021</c:v>
                </c:pt>
                <c:pt idx="471">
                  <c:v>8/31/2021</c:v>
                </c:pt>
                <c:pt idx="472">
                  <c:v>9/1/2021</c:v>
                </c:pt>
                <c:pt idx="473">
                  <c:v>9/2/2021</c:v>
                </c:pt>
                <c:pt idx="474">
                  <c:v>9/3/2021</c:v>
                </c:pt>
                <c:pt idx="475">
                  <c:v>9/6/2021</c:v>
                </c:pt>
                <c:pt idx="476">
                  <c:v>9/7/2021</c:v>
                </c:pt>
                <c:pt idx="477">
                  <c:v>9/8/2021</c:v>
                </c:pt>
                <c:pt idx="478">
                  <c:v>9/9/2021</c:v>
                </c:pt>
                <c:pt idx="479">
                  <c:v>9/10/2021</c:v>
                </c:pt>
                <c:pt idx="480">
                  <c:v>9/13/2021</c:v>
                </c:pt>
                <c:pt idx="481">
                  <c:v>9/14/2021</c:v>
                </c:pt>
                <c:pt idx="482">
                  <c:v>9/15/2021</c:v>
                </c:pt>
                <c:pt idx="483">
                  <c:v>9/16/2021</c:v>
                </c:pt>
                <c:pt idx="484">
                  <c:v>9/17/2021</c:v>
                </c:pt>
                <c:pt idx="485">
                  <c:v>9/20/2021</c:v>
                </c:pt>
                <c:pt idx="486">
                  <c:v>9/21/2021</c:v>
                </c:pt>
                <c:pt idx="487">
                  <c:v>9/22/2021</c:v>
                </c:pt>
                <c:pt idx="488">
                  <c:v>9/23/2021</c:v>
                </c:pt>
                <c:pt idx="489">
                  <c:v>9/24/2021</c:v>
                </c:pt>
                <c:pt idx="490">
                  <c:v>9/27/2021</c:v>
                </c:pt>
                <c:pt idx="491">
                  <c:v>9/28/2021</c:v>
                </c:pt>
                <c:pt idx="492">
                  <c:v>9/29/2021</c:v>
                </c:pt>
                <c:pt idx="493">
                  <c:v>9/30/2021</c:v>
                </c:pt>
                <c:pt idx="494">
                  <c:v>10/1/2021</c:v>
                </c:pt>
                <c:pt idx="495">
                  <c:v>10/4/2021</c:v>
                </c:pt>
                <c:pt idx="496">
                  <c:v>10/5/2021</c:v>
                </c:pt>
                <c:pt idx="497">
                  <c:v>10/6/2021</c:v>
                </c:pt>
                <c:pt idx="498">
                  <c:v>10/7/2021</c:v>
                </c:pt>
                <c:pt idx="499">
                  <c:v>10/8/2021</c:v>
                </c:pt>
                <c:pt idx="500">
                  <c:v>10/11/2021</c:v>
                </c:pt>
                <c:pt idx="501">
                  <c:v>10/12/2021</c:v>
                </c:pt>
                <c:pt idx="502">
                  <c:v>10/13/2021</c:v>
                </c:pt>
                <c:pt idx="503">
                  <c:v>10/14/2021</c:v>
                </c:pt>
                <c:pt idx="504">
                  <c:v>10/15/2021</c:v>
                </c:pt>
                <c:pt idx="505">
                  <c:v>10/18/2021</c:v>
                </c:pt>
                <c:pt idx="506">
                  <c:v>10/19/2021</c:v>
                </c:pt>
                <c:pt idx="507">
                  <c:v>10/20/2021</c:v>
                </c:pt>
                <c:pt idx="508">
                  <c:v>10/21/2021</c:v>
                </c:pt>
                <c:pt idx="509">
                  <c:v>10/22/2021</c:v>
                </c:pt>
                <c:pt idx="510">
                  <c:v>10/25/2021</c:v>
                </c:pt>
                <c:pt idx="511">
                  <c:v>10/26/2021</c:v>
                </c:pt>
                <c:pt idx="512">
                  <c:v>10/27/2021</c:v>
                </c:pt>
                <c:pt idx="513">
                  <c:v>10/28/2021</c:v>
                </c:pt>
                <c:pt idx="514">
                  <c:v>10/29/2021</c:v>
                </c:pt>
                <c:pt idx="515">
                  <c:v>11/1/2021</c:v>
                </c:pt>
                <c:pt idx="516">
                  <c:v>11/2/2021</c:v>
                </c:pt>
                <c:pt idx="517">
                  <c:v>11/3/2021</c:v>
                </c:pt>
                <c:pt idx="518">
                  <c:v>11/4/2021</c:v>
                </c:pt>
                <c:pt idx="519">
                  <c:v>11/5/2021</c:v>
                </c:pt>
                <c:pt idx="520">
                  <c:v>11/8/2021</c:v>
                </c:pt>
                <c:pt idx="521">
                  <c:v>11/9/2021</c:v>
                </c:pt>
                <c:pt idx="522">
                  <c:v>11/10/2021</c:v>
                </c:pt>
                <c:pt idx="523">
                  <c:v>11/11/2021</c:v>
                </c:pt>
                <c:pt idx="524">
                  <c:v>11/12/2021</c:v>
                </c:pt>
                <c:pt idx="525">
                  <c:v>11/15/2021</c:v>
                </c:pt>
                <c:pt idx="526">
                  <c:v>11/16/2021</c:v>
                </c:pt>
                <c:pt idx="527">
                  <c:v>11/17/2021</c:v>
                </c:pt>
                <c:pt idx="528">
                  <c:v>11/18/2021</c:v>
                </c:pt>
                <c:pt idx="529">
                  <c:v>11/19/2021</c:v>
                </c:pt>
                <c:pt idx="530">
                  <c:v>11/22/2021</c:v>
                </c:pt>
                <c:pt idx="531">
                  <c:v>11/23/2021</c:v>
                </c:pt>
                <c:pt idx="532">
                  <c:v>11/24/2021</c:v>
                </c:pt>
                <c:pt idx="533">
                  <c:v>11/25/2021</c:v>
                </c:pt>
                <c:pt idx="534">
                  <c:v>11/26/2021</c:v>
                </c:pt>
                <c:pt idx="535">
                  <c:v>11/29/2021</c:v>
                </c:pt>
                <c:pt idx="536">
                  <c:v>11/30/2021</c:v>
                </c:pt>
                <c:pt idx="537">
                  <c:v>12/1/2021</c:v>
                </c:pt>
                <c:pt idx="538">
                  <c:v>12/2/2021</c:v>
                </c:pt>
                <c:pt idx="539">
                  <c:v>12/3/2021</c:v>
                </c:pt>
                <c:pt idx="540">
                  <c:v>12/6/2021</c:v>
                </c:pt>
                <c:pt idx="541">
                  <c:v>12/7/2021</c:v>
                </c:pt>
                <c:pt idx="542">
                  <c:v>12/8/2021</c:v>
                </c:pt>
                <c:pt idx="543">
                  <c:v>12/9/2021</c:v>
                </c:pt>
                <c:pt idx="544">
                  <c:v>12/10/2021</c:v>
                </c:pt>
                <c:pt idx="545">
                  <c:v>12/13/2021</c:v>
                </c:pt>
                <c:pt idx="546">
                  <c:v>12/14/2021</c:v>
                </c:pt>
                <c:pt idx="547">
                  <c:v>12/15/2021</c:v>
                </c:pt>
                <c:pt idx="548">
                  <c:v>12/16/2021</c:v>
                </c:pt>
                <c:pt idx="549">
                  <c:v>12/17/2021</c:v>
                </c:pt>
                <c:pt idx="550">
                  <c:v>12/20/2021</c:v>
                </c:pt>
                <c:pt idx="551">
                  <c:v>12/21/2021</c:v>
                </c:pt>
                <c:pt idx="552">
                  <c:v>12/22/2021</c:v>
                </c:pt>
                <c:pt idx="553">
                  <c:v>12/23/2021</c:v>
                </c:pt>
                <c:pt idx="554">
                  <c:v>12/24/2021</c:v>
                </c:pt>
                <c:pt idx="555">
                  <c:v>12/27/2021</c:v>
                </c:pt>
                <c:pt idx="556">
                  <c:v>12/28/2021</c:v>
                </c:pt>
                <c:pt idx="557">
                  <c:v>12/29/2021</c:v>
                </c:pt>
                <c:pt idx="558">
                  <c:v>12/30/2021</c:v>
                </c:pt>
                <c:pt idx="559">
                  <c:v>12/31/2021</c:v>
                </c:pt>
                <c:pt idx="560">
                  <c:v>1/3/2022</c:v>
                </c:pt>
                <c:pt idx="561">
                  <c:v>1/4/2022</c:v>
                </c:pt>
                <c:pt idx="562">
                  <c:v>1/5/2022</c:v>
                </c:pt>
                <c:pt idx="563">
                  <c:v>1/6/2022</c:v>
                </c:pt>
                <c:pt idx="564">
                  <c:v>1/7/2022</c:v>
                </c:pt>
                <c:pt idx="565">
                  <c:v>1/10/2022</c:v>
                </c:pt>
                <c:pt idx="566">
                  <c:v>1/11/2022</c:v>
                </c:pt>
                <c:pt idx="567">
                  <c:v>1/12/2022</c:v>
                </c:pt>
                <c:pt idx="568">
                  <c:v>1/13/2022</c:v>
                </c:pt>
                <c:pt idx="569">
                  <c:v>1/14/2022</c:v>
                </c:pt>
                <c:pt idx="570">
                  <c:v>1/17/2022</c:v>
                </c:pt>
                <c:pt idx="571">
                  <c:v>1/18/2022</c:v>
                </c:pt>
                <c:pt idx="572">
                  <c:v>1/19/2022</c:v>
                </c:pt>
                <c:pt idx="573">
                  <c:v>1/20/2022</c:v>
                </c:pt>
                <c:pt idx="574">
                  <c:v>1/21/2022</c:v>
                </c:pt>
                <c:pt idx="575">
                  <c:v>1/24/2022</c:v>
                </c:pt>
                <c:pt idx="576">
                  <c:v>1/25/2022</c:v>
                </c:pt>
                <c:pt idx="577">
                  <c:v>1/26/2022</c:v>
                </c:pt>
                <c:pt idx="578">
                  <c:v>1/27/2022</c:v>
                </c:pt>
                <c:pt idx="579">
                  <c:v>1/28/2022</c:v>
                </c:pt>
                <c:pt idx="580">
                  <c:v>1/31/2022</c:v>
                </c:pt>
                <c:pt idx="581">
                  <c:v>2/1/2022</c:v>
                </c:pt>
                <c:pt idx="582">
                  <c:v>2/2/2022</c:v>
                </c:pt>
                <c:pt idx="583">
                  <c:v>2/3/2022</c:v>
                </c:pt>
                <c:pt idx="584">
                  <c:v>2/4/2022</c:v>
                </c:pt>
                <c:pt idx="585">
                  <c:v>2/7/2022</c:v>
                </c:pt>
                <c:pt idx="586">
                  <c:v>2/8/2022</c:v>
                </c:pt>
                <c:pt idx="587">
                  <c:v>2/9/2022</c:v>
                </c:pt>
                <c:pt idx="588">
                  <c:v>2/10/2022</c:v>
                </c:pt>
                <c:pt idx="589">
                  <c:v>2/11/2022</c:v>
                </c:pt>
                <c:pt idx="590">
                  <c:v>2/14/2022</c:v>
                </c:pt>
                <c:pt idx="591">
                  <c:v>2/15/2022</c:v>
                </c:pt>
                <c:pt idx="592">
                  <c:v>2/16/2022</c:v>
                </c:pt>
                <c:pt idx="593">
                  <c:v>2/17/2022</c:v>
                </c:pt>
                <c:pt idx="594">
                  <c:v>2/18/2022</c:v>
                </c:pt>
                <c:pt idx="595">
                  <c:v>2/21/2022</c:v>
                </c:pt>
                <c:pt idx="596">
                  <c:v>2/22/2022</c:v>
                </c:pt>
                <c:pt idx="597">
                  <c:v>2/23/2022</c:v>
                </c:pt>
                <c:pt idx="598">
                  <c:v>2/24/2022</c:v>
                </c:pt>
                <c:pt idx="599">
                  <c:v>2/25/2022</c:v>
                </c:pt>
                <c:pt idx="600">
                  <c:v>2/28/2022</c:v>
                </c:pt>
                <c:pt idx="601">
                  <c:v>3/1/2022</c:v>
                </c:pt>
                <c:pt idx="602">
                  <c:v>3/2/2022</c:v>
                </c:pt>
                <c:pt idx="603">
                  <c:v>3/3/2022</c:v>
                </c:pt>
                <c:pt idx="604">
                  <c:v>3/4/2022</c:v>
                </c:pt>
                <c:pt idx="605">
                  <c:v>3/7/2022</c:v>
                </c:pt>
                <c:pt idx="606">
                  <c:v>3/8/2022</c:v>
                </c:pt>
                <c:pt idx="607">
                  <c:v>3/9/2022</c:v>
                </c:pt>
                <c:pt idx="608">
                  <c:v>3/10/2022</c:v>
                </c:pt>
                <c:pt idx="609">
                  <c:v>3/11/2022</c:v>
                </c:pt>
                <c:pt idx="610">
                  <c:v>3/14/2022</c:v>
                </c:pt>
                <c:pt idx="611">
                  <c:v>3/15/2022</c:v>
                </c:pt>
                <c:pt idx="612">
                  <c:v>3/16/2022</c:v>
                </c:pt>
                <c:pt idx="613">
                  <c:v>3/17/2022</c:v>
                </c:pt>
                <c:pt idx="614">
                  <c:v>3/18/2022</c:v>
                </c:pt>
                <c:pt idx="615">
                  <c:v>3/21/2022</c:v>
                </c:pt>
                <c:pt idx="616">
                  <c:v>3/22/2022</c:v>
                </c:pt>
                <c:pt idx="617">
                  <c:v>3/23/2022</c:v>
                </c:pt>
                <c:pt idx="618">
                  <c:v>3/24/2022</c:v>
                </c:pt>
                <c:pt idx="619">
                  <c:v>3/25/2022</c:v>
                </c:pt>
                <c:pt idx="620">
                  <c:v>3/28/2022</c:v>
                </c:pt>
                <c:pt idx="621">
                  <c:v>3/29/2022</c:v>
                </c:pt>
                <c:pt idx="622">
                  <c:v>3/30/2022</c:v>
                </c:pt>
                <c:pt idx="623">
                  <c:v>3/31/2022</c:v>
                </c:pt>
                <c:pt idx="624">
                  <c:v>4/1/2022</c:v>
                </c:pt>
                <c:pt idx="625">
                  <c:v>4/4/2022</c:v>
                </c:pt>
                <c:pt idx="626">
                  <c:v>4/5/2022</c:v>
                </c:pt>
                <c:pt idx="627">
                  <c:v>4/6/2022</c:v>
                </c:pt>
                <c:pt idx="628">
                  <c:v>4/7/2022</c:v>
                </c:pt>
                <c:pt idx="629">
                  <c:v>4/8/2022</c:v>
                </c:pt>
                <c:pt idx="630">
                  <c:v>4/11/2022</c:v>
                </c:pt>
                <c:pt idx="631">
                  <c:v>4/12/2022</c:v>
                </c:pt>
                <c:pt idx="632">
                  <c:v>4/13/2022</c:v>
                </c:pt>
                <c:pt idx="633">
                  <c:v>4/14/2022</c:v>
                </c:pt>
                <c:pt idx="634">
                  <c:v>4/18/2022</c:v>
                </c:pt>
                <c:pt idx="635">
                  <c:v>4/19/2022</c:v>
                </c:pt>
                <c:pt idx="636">
                  <c:v>4/20/2022</c:v>
                </c:pt>
                <c:pt idx="637">
                  <c:v>4/21/2022</c:v>
                </c:pt>
                <c:pt idx="638">
                  <c:v>4/22/2022</c:v>
                </c:pt>
                <c:pt idx="639">
                  <c:v>4/25/2022</c:v>
                </c:pt>
                <c:pt idx="640">
                  <c:v>4/26/2022</c:v>
                </c:pt>
                <c:pt idx="641">
                  <c:v>4/27/2022</c:v>
                </c:pt>
                <c:pt idx="642">
                  <c:v>4/28/2022</c:v>
                </c:pt>
                <c:pt idx="643">
                  <c:v>4/29/2022</c:v>
                </c:pt>
                <c:pt idx="644">
                  <c:v>5/2/2022</c:v>
                </c:pt>
                <c:pt idx="645">
                  <c:v>5/3/2022</c:v>
                </c:pt>
                <c:pt idx="646">
                  <c:v>5/4/2022</c:v>
                </c:pt>
                <c:pt idx="647">
                  <c:v>5/5/2022</c:v>
                </c:pt>
                <c:pt idx="648">
                  <c:v>5/6/2022</c:v>
                </c:pt>
                <c:pt idx="649">
                  <c:v>5/9/2022</c:v>
                </c:pt>
                <c:pt idx="650">
                  <c:v>5/10/2022</c:v>
                </c:pt>
                <c:pt idx="651">
                  <c:v>5/11/2022</c:v>
                </c:pt>
                <c:pt idx="652">
                  <c:v>5/12/2022</c:v>
                </c:pt>
                <c:pt idx="653">
                  <c:v>5/13/2022</c:v>
                </c:pt>
                <c:pt idx="654">
                  <c:v>5/16/2022</c:v>
                </c:pt>
                <c:pt idx="655">
                  <c:v>5/17/2022</c:v>
                </c:pt>
                <c:pt idx="656">
                  <c:v>5/18/2022</c:v>
                </c:pt>
                <c:pt idx="657">
                  <c:v>5/19/2022</c:v>
                </c:pt>
                <c:pt idx="658">
                  <c:v>5/20/2022</c:v>
                </c:pt>
                <c:pt idx="659">
                  <c:v>5/23/2022</c:v>
                </c:pt>
                <c:pt idx="660">
                  <c:v>5/24/2022</c:v>
                </c:pt>
                <c:pt idx="661">
                  <c:v>5/25/2022</c:v>
                </c:pt>
                <c:pt idx="662">
                  <c:v>5/26/2022</c:v>
                </c:pt>
                <c:pt idx="663">
                  <c:v>5/27/2022</c:v>
                </c:pt>
                <c:pt idx="664">
                  <c:v>5/30/2022</c:v>
                </c:pt>
                <c:pt idx="665">
                  <c:v>5/31/2022</c:v>
                </c:pt>
                <c:pt idx="666">
                  <c:v>6/1/2022</c:v>
                </c:pt>
                <c:pt idx="667">
                  <c:v>6/2/2022</c:v>
                </c:pt>
                <c:pt idx="668">
                  <c:v>6/3/2022</c:v>
                </c:pt>
                <c:pt idx="669">
                  <c:v>6/6/2022</c:v>
                </c:pt>
                <c:pt idx="670">
                  <c:v>6/7/2022</c:v>
                </c:pt>
                <c:pt idx="671">
                  <c:v>6/8/2022</c:v>
                </c:pt>
                <c:pt idx="672">
                  <c:v>6/9/2022</c:v>
                </c:pt>
                <c:pt idx="673">
                  <c:v>6/10/2022</c:v>
                </c:pt>
                <c:pt idx="674">
                  <c:v>6/13/2022</c:v>
                </c:pt>
                <c:pt idx="675">
                  <c:v>6/14/2022</c:v>
                </c:pt>
                <c:pt idx="676">
                  <c:v>6/15/2022</c:v>
                </c:pt>
                <c:pt idx="677">
                  <c:v>6/16/2022</c:v>
                </c:pt>
                <c:pt idx="678">
                  <c:v>6/17/2022</c:v>
                </c:pt>
                <c:pt idx="679">
                  <c:v>6/21/2022</c:v>
                </c:pt>
                <c:pt idx="680">
                  <c:v>6/22/2022</c:v>
                </c:pt>
                <c:pt idx="681">
                  <c:v>6/23/2022</c:v>
                </c:pt>
                <c:pt idx="682">
                  <c:v>6/24/2022</c:v>
                </c:pt>
                <c:pt idx="683">
                  <c:v>6/27/2022</c:v>
                </c:pt>
              </c:strCache>
            </c:strRef>
          </c:cat>
          <c:val>
            <c:numRef>
              <c:f>'Crude to Gas Correlation '!$B$4:$B$688</c:f>
              <c:numCache>
                <c:formatCode>"$"#,##0.00</c:formatCode>
                <c:ptCount val="684"/>
                <c:pt idx="0">
                  <c:v>52.66</c:v>
                </c:pt>
                <c:pt idx="1">
                  <c:v>53.32</c:v>
                </c:pt>
                <c:pt idx="2">
                  <c:v>54.09</c:v>
                </c:pt>
                <c:pt idx="3">
                  <c:v>53.41</c:v>
                </c:pt>
                <c:pt idx="4">
                  <c:v>52.97</c:v>
                </c:pt>
                <c:pt idx="5">
                  <c:v>53.26</c:v>
                </c:pt>
                <c:pt idx="6">
                  <c:v>53.54</c:v>
                </c:pt>
                <c:pt idx="7">
                  <c:v>53.47</c:v>
                </c:pt>
                <c:pt idx="8">
                  <c:v>53.32</c:v>
                </c:pt>
                <c:pt idx="9">
                  <c:v>53.65</c:v>
                </c:pt>
                <c:pt idx="10">
                  <c:v>54.11</c:v>
                </c:pt>
                <c:pt idx="11">
                  <c:v>54.18</c:v>
                </c:pt>
                <c:pt idx="12">
                  <c:v>54.27</c:v>
                </c:pt>
                <c:pt idx="13">
                  <c:v>54.12</c:v>
                </c:pt>
                <c:pt idx="14">
                  <c:v>54.09</c:v>
                </c:pt>
                <c:pt idx="15">
                  <c:v>54.04</c:v>
                </c:pt>
                <c:pt idx="16">
                  <c:v>54.01</c:v>
                </c:pt>
                <c:pt idx="17">
                  <c:v>56.22</c:v>
                </c:pt>
                <c:pt idx="18">
                  <c:v>56.54</c:v>
                </c:pt>
                <c:pt idx="19">
                  <c:v>57.16</c:v>
                </c:pt>
                <c:pt idx="20">
                  <c:v>56.41</c:v>
                </c:pt>
                <c:pt idx="21">
                  <c:v>57.04</c:v>
                </c:pt>
                <c:pt idx="22">
                  <c:v>57.11</c:v>
                </c:pt>
                <c:pt idx="23">
                  <c:v>56.85</c:v>
                </c:pt>
                <c:pt idx="24">
                  <c:v>56.81</c:v>
                </c:pt>
                <c:pt idx="25">
                  <c:v>57.01</c:v>
                </c:pt>
                <c:pt idx="26">
                  <c:v>56.83</c:v>
                </c:pt>
                <c:pt idx="27">
                  <c:v>57.31</c:v>
                </c:pt>
                <c:pt idx="28">
                  <c:v>57</c:v>
                </c:pt>
                <c:pt idx="29">
                  <c:v>56.28</c:v>
                </c:pt>
                <c:pt idx="30">
                  <c:v>56.87</c:v>
                </c:pt>
                <c:pt idx="31">
                  <c:v>57.34</c:v>
                </c:pt>
                <c:pt idx="32">
                  <c:v>57.14</c:v>
                </c:pt>
                <c:pt idx="33">
                  <c:v>57.19</c:v>
                </c:pt>
                <c:pt idx="34">
                  <c:v>57.25</c:v>
                </c:pt>
                <c:pt idx="35">
                  <c:v>57.22</c:v>
                </c:pt>
                <c:pt idx="36">
                  <c:v>57.07</c:v>
                </c:pt>
                <c:pt idx="37">
                  <c:v>55.94</c:v>
                </c:pt>
                <c:pt idx="38">
                  <c:v>56.07</c:v>
                </c:pt>
                <c:pt idx="39">
                  <c:v>58.17</c:v>
                </c:pt>
                <c:pt idx="40">
                  <c:v>58.17</c:v>
                </c:pt>
                <c:pt idx="41">
                  <c:v>58.79</c:v>
                </c:pt>
                <c:pt idx="42">
                  <c:v>58.65</c:v>
                </c:pt>
                <c:pt idx="43">
                  <c:v>58.81</c:v>
                </c:pt>
                <c:pt idx="44">
                  <c:v>58.49</c:v>
                </c:pt>
                <c:pt idx="45">
                  <c:v>58.74</c:v>
                </c:pt>
                <c:pt idx="46">
                  <c:v>59.26</c:v>
                </c:pt>
                <c:pt idx="47">
                  <c:v>59.34</c:v>
                </c:pt>
                <c:pt idx="48">
                  <c:v>59.69</c:v>
                </c:pt>
                <c:pt idx="49">
                  <c:v>59.68</c:v>
                </c:pt>
                <c:pt idx="50">
                  <c:v>59.81</c:v>
                </c:pt>
                <c:pt idx="51">
                  <c:v>59.56</c:v>
                </c:pt>
                <c:pt idx="52">
                  <c:v>59.58</c:v>
                </c:pt>
                <c:pt idx="53">
                  <c:v>59.72</c:v>
                </c:pt>
                <c:pt idx="54">
                  <c:v>59.83</c:v>
                </c:pt>
                <c:pt idx="55">
                  <c:v>59.84</c:v>
                </c:pt>
                <c:pt idx="56">
                  <c:v>59.83</c:v>
                </c:pt>
                <c:pt idx="57">
                  <c:v>59.8</c:v>
                </c:pt>
                <c:pt idx="58">
                  <c:v>61.09</c:v>
                </c:pt>
                <c:pt idx="59">
                  <c:v>62.52</c:v>
                </c:pt>
                <c:pt idx="60">
                  <c:v>61.98</c:v>
                </c:pt>
                <c:pt idx="61">
                  <c:v>60.67</c:v>
                </c:pt>
                <c:pt idx="62">
                  <c:v>60.11</c:v>
                </c:pt>
                <c:pt idx="63">
                  <c:v>58.8</c:v>
                </c:pt>
                <c:pt idx="64">
                  <c:v>58.94</c:v>
                </c:pt>
                <c:pt idx="65">
                  <c:v>55.53</c:v>
                </c:pt>
                <c:pt idx="66">
                  <c:v>54.68</c:v>
                </c:pt>
                <c:pt idx="67">
                  <c:v>55.01</c:v>
                </c:pt>
                <c:pt idx="68">
                  <c:v>55.74</c:v>
                </c:pt>
                <c:pt idx="69">
                  <c:v>55.13</c:v>
                </c:pt>
                <c:pt idx="70">
                  <c:v>54.21</c:v>
                </c:pt>
                <c:pt idx="71">
                  <c:v>54.2</c:v>
                </c:pt>
                <c:pt idx="72">
                  <c:v>55.59</c:v>
                </c:pt>
                <c:pt idx="73">
                  <c:v>55.9</c:v>
                </c:pt>
                <c:pt idx="74">
                  <c:v>56.77</c:v>
                </c:pt>
                <c:pt idx="75">
                  <c:v>57.28</c:v>
                </c:pt>
                <c:pt idx="76">
                  <c:v>56.72</c:v>
                </c:pt>
                <c:pt idx="77">
                  <c:v>57.56</c:v>
                </c:pt>
                <c:pt idx="78">
                  <c:v>57.53</c:v>
                </c:pt>
                <c:pt idx="79">
                  <c:v>50.16</c:v>
                </c:pt>
                <c:pt idx="80">
                  <c:v>49.7</c:v>
                </c:pt>
                <c:pt idx="81">
                  <c:v>50.71</c:v>
                </c:pt>
                <c:pt idx="82">
                  <c:v>50.88</c:v>
                </c:pt>
                <c:pt idx="83">
                  <c:v>50.4</c:v>
                </c:pt>
                <c:pt idx="84">
                  <c:v>49.84</c:v>
                </c:pt>
                <c:pt idx="85">
                  <c:v>50.1</c:v>
                </c:pt>
                <c:pt idx="86">
                  <c:v>50.88</c:v>
                </c:pt>
                <c:pt idx="87">
                  <c:v>51.03</c:v>
                </c:pt>
                <c:pt idx="88">
                  <c:v>51.37</c:v>
                </c:pt>
                <c:pt idx="89">
                  <c:v>48.35</c:v>
                </c:pt>
                <c:pt idx="90">
                  <c:v>34.72</c:v>
                </c:pt>
                <c:pt idx="91">
                  <c:v>35.729999999999997</c:v>
                </c:pt>
                <c:pt idx="92">
                  <c:v>35.56</c:v>
                </c:pt>
                <c:pt idx="93">
                  <c:v>33.270000000000003</c:v>
                </c:pt>
                <c:pt idx="94">
                  <c:v>34.14</c:v>
                </c:pt>
                <c:pt idx="95">
                  <c:v>30.63</c:v>
                </c:pt>
                <c:pt idx="96">
                  <c:v>30.36</c:v>
                </c:pt>
                <c:pt idx="97">
                  <c:v>27.31</c:v>
                </c:pt>
                <c:pt idx="98">
                  <c:v>26.73</c:v>
                </c:pt>
                <c:pt idx="99">
                  <c:v>28.57</c:v>
                </c:pt>
                <c:pt idx="100">
                  <c:v>24.72</c:v>
                </c:pt>
                <c:pt idx="101">
                  <c:v>26.53</c:v>
                </c:pt>
                <c:pt idx="102">
                  <c:v>26.94</c:v>
                </c:pt>
                <c:pt idx="103">
                  <c:v>26.04</c:v>
                </c:pt>
                <c:pt idx="104">
                  <c:v>24.26</c:v>
                </c:pt>
                <c:pt idx="105">
                  <c:v>21.66</c:v>
                </c:pt>
                <c:pt idx="106">
                  <c:v>22.61</c:v>
                </c:pt>
                <c:pt idx="107">
                  <c:v>16.850000000000001</c:v>
                </c:pt>
                <c:pt idx="108">
                  <c:v>18.91</c:v>
                </c:pt>
                <c:pt idx="109">
                  <c:v>23.01</c:v>
                </c:pt>
                <c:pt idx="110">
                  <c:v>23.48</c:v>
                </c:pt>
                <c:pt idx="111">
                  <c:v>22.67</c:v>
                </c:pt>
                <c:pt idx="112">
                  <c:v>21.19</c:v>
                </c:pt>
                <c:pt idx="113">
                  <c:v>21.77</c:v>
                </c:pt>
                <c:pt idx="114">
                  <c:v>21.18</c:v>
                </c:pt>
                <c:pt idx="115">
                  <c:v>19.7</c:v>
                </c:pt>
                <c:pt idx="116">
                  <c:v>17.510000000000002</c:v>
                </c:pt>
                <c:pt idx="117">
                  <c:v>17.73</c:v>
                </c:pt>
                <c:pt idx="118">
                  <c:v>18.170000000000002</c:v>
                </c:pt>
                <c:pt idx="119">
                  <c:v>14.19</c:v>
                </c:pt>
                <c:pt idx="120">
                  <c:v>14.63</c:v>
                </c:pt>
                <c:pt idx="121">
                  <c:v>12.22</c:v>
                </c:pt>
                <c:pt idx="122">
                  <c:v>15.23</c:v>
                </c:pt>
                <c:pt idx="123">
                  <c:v>14.31</c:v>
                </c:pt>
                <c:pt idx="124">
                  <c:v>13.3</c:v>
                </c:pt>
                <c:pt idx="125">
                  <c:v>12.41</c:v>
                </c:pt>
                <c:pt idx="126">
                  <c:v>14.36</c:v>
                </c:pt>
                <c:pt idx="127">
                  <c:v>18.05</c:v>
                </c:pt>
                <c:pt idx="128">
                  <c:v>16.52</c:v>
                </c:pt>
                <c:pt idx="129">
                  <c:v>18.36</c:v>
                </c:pt>
                <c:pt idx="130">
                  <c:v>21.43</c:v>
                </c:pt>
                <c:pt idx="131">
                  <c:v>22.4</c:v>
                </c:pt>
                <c:pt idx="132">
                  <c:v>16.18</c:v>
                </c:pt>
                <c:pt idx="133">
                  <c:v>15.5</c:v>
                </c:pt>
                <c:pt idx="134">
                  <c:v>16.23</c:v>
                </c:pt>
                <c:pt idx="135">
                  <c:v>17.010000000000002</c:v>
                </c:pt>
                <c:pt idx="136">
                  <c:v>17.12</c:v>
                </c:pt>
                <c:pt idx="137">
                  <c:v>16.32</c:v>
                </c:pt>
                <c:pt idx="138">
                  <c:v>16.260000000000002</c:v>
                </c:pt>
                <c:pt idx="139">
                  <c:v>16.52</c:v>
                </c:pt>
                <c:pt idx="140">
                  <c:v>16.7</c:v>
                </c:pt>
                <c:pt idx="141">
                  <c:v>20.66</c:v>
                </c:pt>
                <c:pt idx="142">
                  <c:v>21.2</c:v>
                </c:pt>
                <c:pt idx="143">
                  <c:v>24.79</c:v>
                </c:pt>
                <c:pt idx="144">
                  <c:v>24.2</c:v>
                </c:pt>
                <c:pt idx="145">
                  <c:v>23.72</c:v>
                </c:pt>
                <c:pt idx="146">
                  <c:v>24.67</c:v>
                </c:pt>
                <c:pt idx="147">
                  <c:v>24.08</c:v>
                </c:pt>
                <c:pt idx="148">
                  <c:v>25.01</c:v>
                </c:pt>
                <c:pt idx="149">
                  <c:v>24.66</c:v>
                </c:pt>
                <c:pt idx="150">
                  <c:v>25.88</c:v>
                </c:pt>
                <c:pt idx="151">
                  <c:v>26.74</c:v>
                </c:pt>
                <c:pt idx="152">
                  <c:v>27.72</c:v>
                </c:pt>
                <c:pt idx="153">
                  <c:v>27.86</c:v>
                </c:pt>
                <c:pt idx="154">
                  <c:v>28.4</c:v>
                </c:pt>
                <c:pt idx="155">
                  <c:v>28.53</c:v>
                </c:pt>
                <c:pt idx="156">
                  <c:v>28.36</c:v>
                </c:pt>
                <c:pt idx="157">
                  <c:v>28.58</c:v>
                </c:pt>
                <c:pt idx="158">
                  <c:v>28.35</c:v>
                </c:pt>
                <c:pt idx="159">
                  <c:v>28.44</c:v>
                </c:pt>
                <c:pt idx="160">
                  <c:v>28.53</c:v>
                </c:pt>
                <c:pt idx="161">
                  <c:v>35.54</c:v>
                </c:pt>
                <c:pt idx="162">
                  <c:v>36.82</c:v>
                </c:pt>
                <c:pt idx="163">
                  <c:v>37.270000000000003</c:v>
                </c:pt>
                <c:pt idx="164">
                  <c:v>37.369999999999997</c:v>
                </c:pt>
                <c:pt idx="165">
                  <c:v>38.17</c:v>
                </c:pt>
                <c:pt idx="166">
                  <c:v>37.18</c:v>
                </c:pt>
                <c:pt idx="167">
                  <c:v>37.99</c:v>
                </c:pt>
                <c:pt idx="168">
                  <c:v>37.340000000000003</c:v>
                </c:pt>
                <c:pt idx="169">
                  <c:v>36.97</c:v>
                </c:pt>
                <c:pt idx="170">
                  <c:v>36.93</c:v>
                </c:pt>
                <c:pt idx="171">
                  <c:v>37.42</c:v>
                </c:pt>
                <c:pt idx="172">
                  <c:v>38.03</c:v>
                </c:pt>
                <c:pt idx="173">
                  <c:v>37.840000000000003</c:v>
                </c:pt>
                <c:pt idx="174">
                  <c:v>38.19</c:v>
                </c:pt>
                <c:pt idx="175">
                  <c:v>38.479999999999997</c:v>
                </c:pt>
                <c:pt idx="176">
                  <c:v>38.76</c:v>
                </c:pt>
                <c:pt idx="177">
                  <c:v>38.659999999999997</c:v>
                </c:pt>
                <c:pt idx="178">
                  <c:v>38.130000000000003</c:v>
                </c:pt>
                <c:pt idx="179">
                  <c:v>38.25</c:v>
                </c:pt>
                <c:pt idx="180">
                  <c:v>38.22</c:v>
                </c:pt>
                <c:pt idx="181">
                  <c:v>38.33</c:v>
                </c:pt>
                <c:pt idx="182">
                  <c:v>38.31</c:v>
                </c:pt>
                <c:pt idx="183">
                  <c:v>39.86</c:v>
                </c:pt>
                <c:pt idx="184">
                  <c:v>40.65</c:v>
                </c:pt>
                <c:pt idx="185">
                  <c:v>40.630000000000003</c:v>
                </c:pt>
                <c:pt idx="186">
                  <c:v>40.61</c:v>
                </c:pt>
                <c:pt idx="187">
                  <c:v>40.869999999999997</c:v>
                </c:pt>
                <c:pt idx="188">
                  <c:v>39.9</c:v>
                </c:pt>
                <c:pt idx="189">
                  <c:v>40.58</c:v>
                </c:pt>
                <c:pt idx="190">
                  <c:v>40.28</c:v>
                </c:pt>
                <c:pt idx="191">
                  <c:v>40.409999999999997</c:v>
                </c:pt>
                <c:pt idx="192">
                  <c:v>40.93</c:v>
                </c:pt>
                <c:pt idx="193">
                  <c:v>40.67</c:v>
                </c:pt>
                <c:pt idx="194">
                  <c:v>40.590000000000003</c:v>
                </c:pt>
                <c:pt idx="195">
                  <c:v>40.67</c:v>
                </c:pt>
                <c:pt idx="196">
                  <c:v>41.08</c:v>
                </c:pt>
                <c:pt idx="197">
                  <c:v>41.08</c:v>
                </c:pt>
                <c:pt idx="198">
                  <c:v>40.81</c:v>
                </c:pt>
                <c:pt idx="199">
                  <c:v>40.869999999999997</c:v>
                </c:pt>
                <c:pt idx="200">
                  <c:v>40.94</c:v>
                </c:pt>
                <c:pt idx="201">
                  <c:v>40.840000000000003</c:v>
                </c:pt>
                <c:pt idx="202">
                  <c:v>40.869999999999997</c:v>
                </c:pt>
                <c:pt idx="203">
                  <c:v>40.75</c:v>
                </c:pt>
                <c:pt idx="204">
                  <c:v>40.770000000000003</c:v>
                </c:pt>
                <c:pt idx="205">
                  <c:v>41.11</c:v>
                </c:pt>
                <c:pt idx="206">
                  <c:v>41.74</c:v>
                </c:pt>
                <c:pt idx="207">
                  <c:v>42.19</c:v>
                </c:pt>
                <c:pt idx="208">
                  <c:v>41.99</c:v>
                </c:pt>
                <c:pt idx="209">
                  <c:v>41.4</c:v>
                </c:pt>
                <c:pt idx="210">
                  <c:v>41.94</c:v>
                </c:pt>
                <c:pt idx="211">
                  <c:v>41.71</c:v>
                </c:pt>
                <c:pt idx="212">
                  <c:v>42.43</c:v>
                </c:pt>
                <c:pt idx="213">
                  <c:v>42.16</c:v>
                </c:pt>
                <c:pt idx="214">
                  <c:v>42.04</c:v>
                </c:pt>
                <c:pt idx="215">
                  <c:v>42.49</c:v>
                </c:pt>
                <c:pt idx="216">
                  <c:v>42.47</c:v>
                </c:pt>
                <c:pt idx="217">
                  <c:v>42.47</c:v>
                </c:pt>
                <c:pt idx="218">
                  <c:v>41.64</c:v>
                </c:pt>
                <c:pt idx="219">
                  <c:v>40.29</c:v>
                </c:pt>
                <c:pt idx="220">
                  <c:v>39.82</c:v>
                </c:pt>
                <c:pt idx="221">
                  <c:v>39.83</c:v>
                </c:pt>
                <c:pt idx="222">
                  <c:v>39.369999999999997</c:v>
                </c:pt>
                <c:pt idx="223">
                  <c:v>38.96</c:v>
                </c:pt>
                <c:pt idx="224">
                  <c:v>39.35</c:v>
                </c:pt>
                <c:pt idx="225">
                  <c:v>41.29</c:v>
                </c:pt>
                <c:pt idx="226">
                  <c:v>42.07</c:v>
                </c:pt>
                <c:pt idx="227">
                  <c:v>41.67</c:v>
                </c:pt>
                <c:pt idx="228">
                  <c:v>41.49</c:v>
                </c:pt>
                <c:pt idx="229">
                  <c:v>40.18</c:v>
                </c:pt>
                <c:pt idx="230">
                  <c:v>37.76</c:v>
                </c:pt>
                <c:pt idx="231">
                  <c:v>38.72</c:v>
                </c:pt>
                <c:pt idx="232">
                  <c:v>38.18</c:v>
                </c:pt>
                <c:pt idx="233">
                  <c:v>38.19</c:v>
                </c:pt>
                <c:pt idx="234">
                  <c:v>38.14</c:v>
                </c:pt>
                <c:pt idx="235">
                  <c:v>38.72</c:v>
                </c:pt>
                <c:pt idx="236">
                  <c:v>39.700000000000003</c:v>
                </c:pt>
                <c:pt idx="237">
                  <c:v>38.090000000000003</c:v>
                </c:pt>
                <c:pt idx="238">
                  <c:v>39.07</c:v>
                </c:pt>
                <c:pt idx="239">
                  <c:v>39.450000000000003</c:v>
                </c:pt>
                <c:pt idx="240">
                  <c:v>39.54</c:v>
                </c:pt>
                <c:pt idx="241">
                  <c:v>39.58</c:v>
                </c:pt>
                <c:pt idx="242">
                  <c:v>39.67</c:v>
                </c:pt>
                <c:pt idx="243">
                  <c:v>39.659999999999997</c:v>
                </c:pt>
                <c:pt idx="244">
                  <c:v>39.71</c:v>
                </c:pt>
                <c:pt idx="245">
                  <c:v>39.58</c:v>
                </c:pt>
                <c:pt idx="246">
                  <c:v>39.630000000000003</c:v>
                </c:pt>
                <c:pt idx="247">
                  <c:v>38.83</c:v>
                </c:pt>
                <c:pt idx="248">
                  <c:v>37.229999999999997</c:v>
                </c:pt>
                <c:pt idx="249">
                  <c:v>39.200000000000003</c:v>
                </c:pt>
                <c:pt idx="250">
                  <c:v>40.450000000000003</c:v>
                </c:pt>
                <c:pt idx="251">
                  <c:v>39.86</c:v>
                </c:pt>
                <c:pt idx="252">
                  <c:v>40.82</c:v>
                </c:pt>
                <c:pt idx="253">
                  <c:v>39.22</c:v>
                </c:pt>
                <c:pt idx="254">
                  <c:v>39.53</c:v>
                </c:pt>
                <c:pt idx="255">
                  <c:v>38.42</c:v>
                </c:pt>
                <c:pt idx="256">
                  <c:v>37.119999999999997</c:v>
                </c:pt>
                <c:pt idx="257">
                  <c:v>36.5</c:v>
                </c:pt>
                <c:pt idx="258">
                  <c:v>35.89</c:v>
                </c:pt>
                <c:pt idx="259">
                  <c:v>38.44</c:v>
                </c:pt>
                <c:pt idx="260">
                  <c:v>39.090000000000003</c:v>
                </c:pt>
                <c:pt idx="261">
                  <c:v>39.79</c:v>
                </c:pt>
                <c:pt idx="262">
                  <c:v>39.22</c:v>
                </c:pt>
                <c:pt idx="263">
                  <c:v>39.97</c:v>
                </c:pt>
                <c:pt idx="264">
                  <c:v>39.799999999999997</c:v>
                </c:pt>
                <c:pt idx="265">
                  <c:v>39.979999999999997</c:v>
                </c:pt>
                <c:pt idx="266">
                  <c:v>39.119999999999997</c:v>
                </c:pt>
                <c:pt idx="267">
                  <c:v>37.65</c:v>
                </c:pt>
                <c:pt idx="268">
                  <c:v>37.46</c:v>
                </c:pt>
                <c:pt idx="269">
                  <c:v>36.9</c:v>
                </c:pt>
                <c:pt idx="270">
                  <c:v>37.700000000000003</c:v>
                </c:pt>
                <c:pt idx="271">
                  <c:v>39.04</c:v>
                </c:pt>
                <c:pt idx="272">
                  <c:v>38.729999999999997</c:v>
                </c:pt>
                <c:pt idx="273">
                  <c:v>37.42</c:v>
                </c:pt>
                <c:pt idx="274">
                  <c:v>39.78</c:v>
                </c:pt>
                <c:pt idx="275">
                  <c:v>40.520000000000003</c:v>
                </c:pt>
                <c:pt idx="276">
                  <c:v>40.58</c:v>
                </c:pt>
                <c:pt idx="277">
                  <c:v>40.380000000000003</c:v>
                </c:pt>
                <c:pt idx="278">
                  <c:v>39.83</c:v>
                </c:pt>
                <c:pt idx="279">
                  <c:v>40.42</c:v>
                </c:pt>
                <c:pt idx="280">
                  <c:v>40.46</c:v>
                </c:pt>
                <c:pt idx="281">
                  <c:v>40.61</c:v>
                </c:pt>
                <c:pt idx="282">
                  <c:v>40.57</c:v>
                </c:pt>
                <c:pt idx="283">
                  <c:v>40.72</c:v>
                </c:pt>
                <c:pt idx="284">
                  <c:v>40.880000000000003</c:v>
                </c:pt>
                <c:pt idx="285">
                  <c:v>41.25</c:v>
                </c:pt>
                <c:pt idx="286">
                  <c:v>41.37</c:v>
                </c:pt>
                <c:pt idx="287">
                  <c:v>41.36</c:v>
                </c:pt>
                <c:pt idx="288">
                  <c:v>41.35</c:v>
                </c:pt>
                <c:pt idx="289">
                  <c:v>44.61</c:v>
                </c:pt>
                <c:pt idx="290">
                  <c:v>45.3</c:v>
                </c:pt>
                <c:pt idx="291">
                  <c:v>45.62</c:v>
                </c:pt>
                <c:pt idx="292">
                  <c:v>46.16</c:v>
                </c:pt>
                <c:pt idx="293">
                  <c:v>45.76</c:v>
                </c:pt>
                <c:pt idx="294">
                  <c:v>45.64</c:v>
                </c:pt>
                <c:pt idx="295">
                  <c:v>45.58</c:v>
                </c:pt>
                <c:pt idx="296">
                  <c:v>46.44</c:v>
                </c:pt>
                <c:pt idx="297">
                  <c:v>46.3</c:v>
                </c:pt>
                <c:pt idx="298">
                  <c:v>46.54</c:v>
                </c:pt>
                <c:pt idx="299">
                  <c:v>46.89</c:v>
                </c:pt>
                <c:pt idx="300">
                  <c:v>46.99</c:v>
                </c:pt>
                <c:pt idx="301">
                  <c:v>47.24</c:v>
                </c:pt>
                <c:pt idx="302">
                  <c:v>47.53</c:v>
                </c:pt>
                <c:pt idx="303">
                  <c:v>47.06</c:v>
                </c:pt>
                <c:pt idx="304">
                  <c:v>46.76</c:v>
                </c:pt>
                <c:pt idx="305">
                  <c:v>47.06</c:v>
                </c:pt>
                <c:pt idx="306">
                  <c:v>47.09</c:v>
                </c:pt>
                <c:pt idx="307">
                  <c:v>46.97</c:v>
                </c:pt>
                <c:pt idx="308">
                  <c:v>47.03</c:v>
                </c:pt>
                <c:pt idx="309">
                  <c:v>47.06</c:v>
                </c:pt>
                <c:pt idx="310">
                  <c:v>47.07</c:v>
                </c:pt>
                <c:pt idx="311">
                  <c:v>47.67</c:v>
                </c:pt>
                <c:pt idx="312">
                  <c:v>49.84</c:v>
                </c:pt>
                <c:pt idx="313">
                  <c:v>50.46</c:v>
                </c:pt>
                <c:pt idx="314">
                  <c:v>50.62</c:v>
                </c:pt>
                <c:pt idx="315">
                  <c:v>51.72</c:v>
                </c:pt>
                <c:pt idx="316">
                  <c:v>51.73</c:v>
                </c:pt>
                <c:pt idx="317">
                  <c:v>52.39</c:v>
                </c:pt>
                <c:pt idx="318">
                  <c:v>52.21</c:v>
                </c:pt>
                <c:pt idx="319">
                  <c:v>52.59</c:v>
                </c:pt>
                <c:pt idx="320">
                  <c:v>51.96</c:v>
                </c:pt>
                <c:pt idx="321">
                  <c:v>45.13</c:v>
                </c:pt>
                <c:pt idx="322">
                  <c:v>52.37</c:v>
                </c:pt>
                <c:pt idx="323">
                  <c:v>52.3</c:v>
                </c:pt>
                <c:pt idx="324">
                  <c:v>52.03</c:v>
                </c:pt>
                <c:pt idx="325">
                  <c:v>52.16</c:v>
                </c:pt>
                <c:pt idx="326">
                  <c:v>52.13</c:v>
                </c:pt>
                <c:pt idx="327">
                  <c:v>52.16</c:v>
                </c:pt>
                <c:pt idx="328">
                  <c:v>52.11</c:v>
                </c:pt>
                <c:pt idx="329">
                  <c:v>52.1</c:v>
                </c:pt>
                <c:pt idx="330">
                  <c:v>53.52</c:v>
                </c:pt>
                <c:pt idx="331">
                  <c:v>54.67</c:v>
                </c:pt>
                <c:pt idx="332">
                  <c:v>55.5</c:v>
                </c:pt>
                <c:pt idx="333">
                  <c:v>55.95</c:v>
                </c:pt>
                <c:pt idx="334">
                  <c:v>56.44</c:v>
                </c:pt>
                <c:pt idx="335">
                  <c:v>57.27</c:v>
                </c:pt>
                <c:pt idx="336">
                  <c:v>57.54</c:v>
                </c:pt>
                <c:pt idx="337">
                  <c:v>57.74</c:v>
                </c:pt>
                <c:pt idx="338">
                  <c:v>57.49</c:v>
                </c:pt>
                <c:pt idx="339">
                  <c:v>58.14</c:v>
                </c:pt>
                <c:pt idx="340">
                  <c:v>58.44</c:v>
                </c:pt>
                <c:pt idx="341">
                  <c:v>50.94</c:v>
                </c:pt>
                <c:pt idx="342">
                  <c:v>58.67</c:v>
                </c:pt>
                <c:pt idx="343">
                  <c:v>58.26</c:v>
                </c:pt>
                <c:pt idx="344">
                  <c:v>58.9</c:v>
                </c:pt>
                <c:pt idx="345">
                  <c:v>58.89</c:v>
                </c:pt>
                <c:pt idx="346">
                  <c:v>59.14</c:v>
                </c:pt>
                <c:pt idx="347">
                  <c:v>59.17</c:v>
                </c:pt>
                <c:pt idx="348">
                  <c:v>59.06</c:v>
                </c:pt>
                <c:pt idx="349">
                  <c:v>60.57</c:v>
                </c:pt>
                <c:pt idx="350">
                  <c:v>59.73</c:v>
                </c:pt>
                <c:pt idx="351">
                  <c:v>61.13</c:v>
                </c:pt>
                <c:pt idx="352">
                  <c:v>63.34</c:v>
                </c:pt>
                <c:pt idx="353">
                  <c:v>65.22</c:v>
                </c:pt>
                <c:pt idx="354">
                  <c:v>64.42</c:v>
                </c:pt>
                <c:pt idx="355">
                  <c:v>62.47</c:v>
                </c:pt>
                <c:pt idx="356">
                  <c:v>63.22</c:v>
                </c:pt>
                <c:pt idx="357">
                  <c:v>62.27</c:v>
                </c:pt>
                <c:pt idx="358">
                  <c:v>61.61</c:v>
                </c:pt>
                <c:pt idx="359">
                  <c:v>61.63</c:v>
                </c:pt>
                <c:pt idx="360">
                  <c:v>62.56</c:v>
                </c:pt>
                <c:pt idx="361">
                  <c:v>62.86</c:v>
                </c:pt>
                <c:pt idx="362">
                  <c:v>62.26</c:v>
                </c:pt>
                <c:pt idx="363">
                  <c:v>62.8</c:v>
                </c:pt>
                <c:pt idx="364">
                  <c:v>50.51</c:v>
                </c:pt>
                <c:pt idx="365">
                  <c:v>60.79</c:v>
                </c:pt>
                <c:pt idx="366">
                  <c:v>61.31</c:v>
                </c:pt>
                <c:pt idx="367">
                  <c:v>60.67</c:v>
                </c:pt>
                <c:pt idx="368">
                  <c:v>61.2</c:v>
                </c:pt>
                <c:pt idx="369">
                  <c:v>61.12</c:v>
                </c:pt>
                <c:pt idx="370">
                  <c:v>61.44</c:v>
                </c:pt>
                <c:pt idx="371">
                  <c:v>61.85</c:v>
                </c:pt>
                <c:pt idx="372">
                  <c:v>61.46</c:v>
                </c:pt>
                <c:pt idx="373">
                  <c:v>58.79</c:v>
                </c:pt>
                <c:pt idx="374">
                  <c:v>59.41</c:v>
                </c:pt>
                <c:pt idx="375">
                  <c:v>59.79</c:v>
                </c:pt>
                <c:pt idx="376">
                  <c:v>59.65</c:v>
                </c:pt>
                <c:pt idx="377">
                  <c:v>59.44</c:v>
                </c:pt>
                <c:pt idx="378">
                  <c:v>59.72</c:v>
                </c:pt>
                <c:pt idx="379">
                  <c:v>60.04</c:v>
                </c:pt>
                <c:pt idx="380">
                  <c:v>61.88</c:v>
                </c:pt>
                <c:pt idx="381">
                  <c:v>62.05</c:v>
                </c:pt>
                <c:pt idx="382">
                  <c:v>61.88</c:v>
                </c:pt>
                <c:pt idx="383">
                  <c:v>62</c:v>
                </c:pt>
                <c:pt idx="384">
                  <c:v>61.66</c:v>
                </c:pt>
                <c:pt idx="385">
                  <c:v>54.78</c:v>
                </c:pt>
                <c:pt idx="386">
                  <c:v>61.19</c:v>
                </c:pt>
                <c:pt idx="387">
                  <c:v>61.39</c:v>
                </c:pt>
                <c:pt idx="388">
                  <c:v>61.33</c:v>
                </c:pt>
                <c:pt idx="389">
                  <c:v>61.53</c:v>
                </c:pt>
                <c:pt idx="390">
                  <c:v>61.66</c:v>
                </c:pt>
                <c:pt idx="391">
                  <c:v>61.77</c:v>
                </c:pt>
                <c:pt idx="392">
                  <c:v>61.7</c:v>
                </c:pt>
                <c:pt idx="393">
                  <c:v>64.47</c:v>
                </c:pt>
                <c:pt idx="394">
                  <c:v>65.61</c:v>
                </c:pt>
                <c:pt idx="395">
                  <c:v>65.56</c:v>
                </c:pt>
                <c:pt idx="396">
                  <c:v>64.78</c:v>
                </c:pt>
                <c:pt idx="397">
                  <c:v>64.94</c:v>
                </c:pt>
                <c:pt idx="398">
                  <c:v>64.959999999999994</c:v>
                </c:pt>
                <c:pt idx="399">
                  <c:v>64.180000000000007</c:v>
                </c:pt>
                <c:pt idx="400">
                  <c:v>65.739999999999995</c:v>
                </c:pt>
                <c:pt idx="401">
                  <c:v>64.38</c:v>
                </c:pt>
                <c:pt idx="402">
                  <c:v>65.23</c:v>
                </c:pt>
                <c:pt idx="403">
                  <c:v>65.680000000000007</c:v>
                </c:pt>
                <c:pt idx="404">
                  <c:v>65.33</c:v>
                </c:pt>
                <c:pt idx="405">
                  <c:v>64.47</c:v>
                </c:pt>
                <c:pt idx="406">
                  <c:v>58.46</c:v>
                </c:pt>
                <c:pt idx="407">
                  <c:v>64.48</c:v>
                </c:pt>
                <c:pt idx="408">
                  <c:v>65.09</c:v>
                </c:pt>
                <c:pt idx="409">
                  <c:v>65.099999999999994</c:v>
                </c:pt>
                <c:pt idx="410">
                  <c:v>65.12</c:v>
                </c:pt>
                <c:pt idx="411">
                  <c:v>65.180000000000007</c:v>
                </c:pt>
                <c:pt idx="412">
                  <c:v>65.16</c:v>
                </c:pt>
                <c:pt idx="413">
                  <c:v>67.67</c:v>
                </c:pt>
                <c:pt idx="414">
                  <c:v>68.73</c:v>
                </c:pt>
                <c:pt idx="415">
                  <c:v>68.7</c:v>
                </c:pt>
                <c:pt idx="416">
                  <c:v>69.400000000000006</c:v>
                </c:pt>
                <c:pt idx="417">
                  <c:v>69.09</c:v>
                </c:pt>
                <c:pt idx="418">
                  <c:v>69.73</c:v>
                </c:pt>
                <c:pt idx="419">
                  <c:v>69.66</c:v>
                </c:pt>
                <c:pt idx="420">
                  <c:v>69.88</c:v>
                </c:pt>
                <c:pt idx="421">
                  <c:v>70.25</c:v>
                </c:pt>
                <c:pt idx="422">
                  <c:v>70.239999999999995</c:v>
                </c:pt>
                <c:pt idx="423">
                  <c:v>70.92</c:v>
                </c:pt>
                <c:pt idx="424">
                  <c:v>70.95</c:v>
                </c:pt>
                <c:pt idx="425">
                  <c:v>70.430000000000007</c:v>
                </c:pt>
                <c:pt idx="426">
                  <c:v>70.650000000000006</c:v>
                </c:pt>
                <c:pt idx="427">
                  <c:v>71.33</c:v>
                </c:pt>
                <c:pt idx="428">
                  <c:v>58.46</c:v>
                </c:pt>
                <c:pt idx="429">
                  <c:v>71.290000000000006</c:v>
                </c:pt>
                <c:pt idx="430">
                  <c:v>71.34</c:v>
                </c:pt>
                <c:pt idx="431">
                  <c:v>71.48</c:v>
                </c:pt>
                <c:pt idx="432">
                  <c:v>71.319999999999993</c:v>
                </c:pt>
                <c:pt idx="433">
                  <c:v>71.33</c:v>
                </c:pt>
                <c:pt idx="434">
                  <c:v>71.349999999999994</c:v>
                </c:pt>
                <c:pt idx="435">
                  <c:v>74.33</c:v>
                </c:pt>
                <c:pt idx="436">
                  <c:v>74.86</c:v>
                </c:pt>
                <c:pt idx="437">
                  <c:v>73.239999999999995</c:v>
                </c:pt>
                <c:pt idx="438">
                  <c:v>72.27</c:v>
                </c:pt>
                <c:pt idx="439">
                  <c:v>72.84</c:v>
                </c:pt>
                <c:pt idx="440">
                  <c:v>70.540000000000006</c:v>
                </c:pt>
                <c:pt idx="441">
                  <c:v>70.5</c:v>
                </c:pt>
                <c:pt idx="442">
                  <c:v>69.930000000000007</c:v>
                </c:pt>
                <c:pt idx="443">
                  <c:v>72.09</c:v>
                </c:pt>
                <c:pt idx="444">
                  <c:v>72.55</c:v>
                </c:pt>
                <c:pt idx="445">
                  <c:v>72.64</c:v>
                </c:pt>
                <c:pt idx="446">
                  <c:v>68.62</c:v>
                </c:pt>
                <c:pt idx="447">
                  <c:v>69.349999999999994</c:v>
                </c:pt>
                <c:pt idx="448">
                  <c:v>71.7</c:v>
                </c:pt>
                <c:pt idx="449">
                  <c:v>72.23</c:v>
                </c:pt>
                <c:pt idx="450">
                  <c:v>54.47</c:v>
                </c:pt>
                <c:pt idx="451">
                  <c:v>72.239999999999995</c:v>
                </c:pt>
                <c:pt idx="452">
                  <c:v>71.83</c:v>
                </c:pt>
                <c:pt idx="453">
                  <c:v>70.34</c:v>
                </c:pt>
                <c:pt idx="454">
                  <c:v>71.3</c:v>
                </c:pt>
                <c:pt idx="455">
                  <c:v>70.66</c:v>
                </c:pt>
                <c:pt idx="456">
                  <c:v>70.13</c:v>
                </c:pt>
                <c:pt idx="457">
                  <c:v>70.42</c:v>
                </c:pt>
                <c:pt idx="458">
                  <c:v>68.290000000000006</c:v>
                </c:pt>
                <c:pt idx="459">
                  <c:v>69.099999999999994</c:v>
                </c:pt>
                <c:pt idx="460">
                  <c:v>68.489999999999995</c:v>
                </c:pt>
                <c:pt idx="461">
                  <c:v>67.099999999999994</c:v>
                </c:pt>
                <c:pt idx="462">
                  <c:v>68.400000000000006</c:v>
                </c:pt>
                <c:pt idx="463">
                  <c:v>66.08</c:v>
                </c:pt>
                <c:pt idx="464">
                  <c:v>66.13</c:v>
                </c:pt>
                <c:pt idx="465">
                  <c:v>67.33</c:v>
                </c:pt>
                <c:pt idx="466">
                  <c:v>67.94</c:v>
                </c:pt>
                <c:pt idx="467">
                  <c:v>67.59</c:v>
                </c:pt>
                <c:pt idx="468">
                  <c:v>67.069999999999993</c:v>
                </c:pt>
                <c:pt idx="469">
                  <c:v>66.37</c:v>
                </c:pt>
                <c:pt idx="470">
                  <c:v>65.180000000000007</c:v>
                </c:pt>
                <c:pt idx="471">
                  <c:v>66.989999999999995</c:v>
                </c:pt>
                <c:pt idx="472">
                  <c:v>58.02</c:v>
                </c:pt>
                <c:pt idx="473">
                  <c:v>67.69</c:v>
                </c:pt>
                <c:pt idx="474">
                  <c:v>67.52</c:v>
                </c:pt>
                <c:pt idx="475">
                  <c:v>67.7</c:v>
                </c:pt>
                <c:pt idx="476">
                  <c:v>67.739999999999995</c:v>
                </c:pt>
                <c:pt idx="477">
                  <c:v>67.709999999999994</c:v>
                </c:pt>
                <c:pt idx="478">
                  <c:v>68.5</c:v>
                </c:pt>
                <c:pt idx="479">
                  <c:v>69.84</c:v>
                </c:pt>
                <c:pt idx="480">
                  <c:v>69.22</c:v>
                </c:pt>
                <c:pt idx="481">
                  <c:v>68.41</c:v>
                </c:pt>
                <c:pt idx="482">
                  <c:v>69.17</c:v>
                </c:pt>
                <c:pt idx="483">
                  <c:v>68.3</c:v>
                </c:pt>
                <c:pt idx="484">
                  <c:v>69.41</c:v>
                </c:pt>
                <c:pt idx="485">
                  <c:v>69.900000000000006</c:v>
                </c:pt>
                <c:pt idx="486">
                  <c:v>69.91</c:v>
                </c:pt>
                <c:pt idx="487">
                  <c:v>71.13</c:v>
                </c:pt>
                <c:pt idx="488">
                  <c:v>71.14</c:v>
                </c:pt>
                <c:pt idx="489">
                  <c:v>70.86</c:v>
                </c:pt>
                <c:pt idx="490">
                  <c:v>70.14</c:v>
                </c:pt>
                <c:pt idx="491">
                  <c:v>70.27</c:v>
                </c:pt>
                <c:pt idx="492">
                  <c:v>70.849999999999994</c:v>
                </c:pt>
                <c:pt idx="493">
                  <c:v>71.16</c:v>
                </c:pt>
                <c:pt idx="494">
                  <c:v>69.3</c:v>
                </c:pt>
                <c:pt idx="495">
                  <c:v>71.599999999999994</c:v>
                </c:pt>
                <c:pt idx="496">
                  <c:v>71.58</c:v>
                </c:pt>
                <c:pt idx="497">
                  <c:v>71.540000000000006</c:v>
                </c:pt>
                <c:pt idx="498">
                  <c:v>71.13</c:v>
                </c:pt>
                <c:pt idx="499">
                  <c:v>75.78</c:v>
                </c:pt>
                <c:pt idx="500">
                  <c:v>77.44</c:v>
                </c:pt>
                <c:pt idx="501">
                  <c:v>78.599999999999994</c:v>
                </c:pt>
                <c:pt idx="502">
                  <c:v>77.31</c:v>
                </c:pt>
                <c:pt idx="503">
                  <c:v>78.03</c:v>
                </c:pt>
                <c:pt idx="504">
                  <c:v>78.739999999999995</c:v>
                </c:pt>
                <c:pt idx="505">
                  <c:v>79.58</c:v>
                </c:pt>
                <c:pt idx="506">
                  <c:v>79.62</c:v>
                </c:pt>
                <c:pt idx="507">
                  <c:v>79.53</c:v>
                </c:pt>
                <c:pt idx="508">
                  <c:v>80.05</c:v>
                </c:pt>
                <c:pt idx="509">
                  <c:v>80.55</c:v>
                </c:pt>
                <c:pt idx="510">
                  <c:v>80.56</c:v>
                </c:pt>
                <c:pt idx="511">
                  <c:v>80.86</c:v>
                </c:pt>
                <c:pt idx="512">
                  <c:v>81.23</c:v>
                </c:pt>
                <c:pt idx="513">
                  <c:v>80.930000000000007</c:v>
                </c:pt>
                <c:pt idx="514">
                  <c:v>81.290000000000006</c:v>
                </c:pt>
                <c:pt idx="515">
                  <c:v>65.25</c:v>
                </c:pt>
                <c:pt idx="516">
                  <c:v>81.459999999999994</c:v>
                </c:pt>
                <c:pt idx="517">
                  <c:v>81.17</c:v>
                </c:pt>
                <c:pt idx="518">
                  <c:v>81.19</c:v>
                </c:pt>
                <c:pt idx="519">
                  <c:v>80.16</c:v>
                </c:pt>
                <c:pt idx="520">
                  <c:v>82.39</c:v>
                </c:pt>
                <c:pt idx="521">
                  <c:v>82.7</c:v>
                </c:pt>
                <c:pt idx="522">
                  <c:v>80.790000000000006</c:v>
                </c:pt>
                <c:pt idx="523">
                  <c:v>79.08</c:v>
                </c:pt>
                <c:pt idx="524">
                  <c:v>81.069999999999993</c:v>
                </c:pt>
                <c:pt idx="525">
                  <c:v>80.900000000000006</c:v>
                </c:pt>
                <c:pt idx="526">
                  <c:v>82.01</c:v>
                </c:pt>
                <c:pt idx="527">
                  <c:v>81.099999999999994</c:v>
                </c:pt>
                <c:pt idx="528">
                  <c:v>79.37</c:v>
                </c:pt>
                <c:pt idx="529">
                  <c:v>80.319999999999993</c:v>
                </c:pt>
                <c:pt idx="530">
                  <c:v>78.900000000000006</c:v>
                </c:pt>
                <c:pt idx="531">
                  <c:v>79.400000000000006</c:v>
                </c:pt>
                <c:pt idx="532">
                  <c:v>80.03</c:v>
                </c:pt>
                <c:pt idx="533">
                  <c:v>80.34</c:v>
                </c:pt>
                <c:pt idx="534">
                  <c:v>76.09</c:v>
                </c:pt>
                <c:pt idx="535">
                  <c:v>74.2</c:v>
                </c:pt>
                <c:pt idx="536">
                  <c:v>71.010000000000005</c:v>
                </c:pt>
                <c:pt idx="537">
                  <c:v>53.1</c:v>
                </c:pt>
                <c:pt idx="538">
                  <c:v>70.069999999999993</c:v>
                </c:pt>
                <c:pt idx="539">
                  <c:v>71.650000000000006</c:v>
                </c:pt>
                <c:pt idx="540">
                  <c:v>70.569999999999993</c:v>
                </c:pt>
                <c:pt idx="541">
                  <c:v>65.5</c:v>
                </c:pt>
                <c:pt idx="542">
                  <c:v>66.37</c:v>
                </c:pt>
                <c:pt idx="543">
                  <c:v>66.180000000000007</c:v>
                </c:pt>
                <c:pt idx="544">
                  <c:v>68.959999999999994</c:v>
                </c:pt>
                <c:pt idx="545">
                  <c:v>71.05</c:v>
                </c:pt>
                <c:pt idx="546">
                  <c:v>71.3</c:v>
                </c:pt>
                <c:pt idx="547">
                  <c:v>70.28</c:v>
                </c:pt>
                <c:pt idx="548">
                  <c:v>70.760000000000005</c:v>
                </c:pt>
                <c:pt idx="549">
                  <c:v>70.5</c:v>
                </c:pt>
                <c:pt idx="550">
                  <c:v>70.180000000000007</c:v>
                </c:pt>
                <c:pt idx="551">
                  <c:v>70.260000000000005</c:v>
                </c:pt>
                <c:pt idx="552">
                  <c:v>71</c:v>
                </c:pt>
                <c:pt idx="553">
                  <c:v>70.349999999999994</c:v>
                </c:pt>
                <c:pt idx="554">
                  <c:v>69.459999999999994</c:v>
                </c:pt>
                <c:pt idx="555">
                  <c:v>70.37</c:v>
                </c:pt>
                <c:pt idx="556">
                  <c:v>70.89</c:v>
                </c:pt>
                <c:pt idx="557">
                  <c:v>71.17</c:v>
                </c:pt>
                <c:pt idx="558">
                  <c:v>71.58</c:v>
                </c:pt>
                <c:pt idx="559">
                  <c:v>71.650000000000006</c:v>
                </c:pt>
                <c:pt idx="560">
                  <c:v>65.25</c:v>
                </c:pt>
                <c:pt idx="561">
                  <c:v>71.77</c:v>
                </c:pt>
                <c:pt idx="562">
                  <c:v>71.69</c:v>
                </c:pt>
                <c:pt idx="563">
                  <c:v>76</c:v>
                </c:pt>
                <c:pt idx="564">
                  <c:v>76.86</c:v>
                </c:pt>
                <c:pt idx="565">
                  <c:v>77.59</c:v>
                </c:pt>
                <c:pt idx="566">
                  <c:v>78.88</c:v>
                </c:pt>
                <c:pt idx="567">
                  <c:v>78.48</c:v>
                </c:pt>
                <c:pt idx="568">
                  <c:v>77.95</c:v>
                </c:pt>
                <c:pt idx="569">
                  <c:v>80.040000000000006</c:v>
                </c:pt>
                <c:pt idx="570">
                  <c:v>80.94</c:v>
                </c:pt>
                <c:pt idx="571">
                  <c:v>80.67</c:v>
                </c:pt>
                <c:pt idx="572">
                  <c:v>81.59</c:v>
                </c:pt>
                <c:pt idx="573">
                  <c:v>82.37</c:v>
                </c:pt>
                <c:pt idx="574">
                  <c:v>82.86</c:v>
                </c:pt>
                <c:pt idx="575">
                  <c:v>82.77</c:v>
                </c:pt>
                <c:pt idx="576">
                  <c:v>82.63</c:v>
                </c:pt>
                <c:pt idx="577">
                  <c:v>82.08</c:v>
                </c:pt>
                <c:pt idx="578">
                  <c:v>82.65</c:v>
                </c:pt>
                <c:pt idx="579">
                  <c:v>83</c:v>
                </c:pt>
                <c:pt idx="580">
                  <c:v>82.89</c:v>
                </c:pt>
                <c:pt idx="581">
                  <c:v>82.91</c:v>
                </c:pt>
                <c:pt idx="582">
                  <c:v>82.98</c:v>
                </c:pt>
                <c:pt idx="583">
                  <c:v>79.099999999999994</c:v>
                </c:pt>
                <c:pt idx="584">
                  <c:v>87.93</c:v>
                </c:pt>
                <c:pt idx="585">
                  <c:v>89.67</c:v>
                </c:pt>
                <c:pt idx="586">
                  <c:v>91.36</c:v>
                </c:pt>
                <c:pt idx="587">
                  <c:v>90.67</c:v>
                </c:pt>
                <c:pt idx="588">
                  <c:v>89.24</c:v>
                </c:pt>
                <c:pt idx="589">
                  <c:v>89.51</c:v>
                </c:pt>
                <c:pt idx="590">
                  <c:v>89.61</c:v>
                </c:pt>
                <c:pt idx="591">
                  <c:v>91.4</c:v>
                </c:pt>
                <c:pt idx="592">
                  <c:v>92.59</c:v>
                </c:pt>
                <c:pt idx="593">
                  <c:v>91</c:v>
                </c:pt>
                <c:pt idx="594">
                  <c:v>91.68</c:v>
                </c:pt>
                <c:pt idx="595">
                  <c:v>91</c:v>
                </c:pt>
                <c:pt idx="596">
                  <c:v>90.96</c:v>
                </c:pt>
                <c:pt idx="597">
                  <c:v>91.39</c:v>
                </c:pt>
                <c:pt idx="598">
                  <c:v>91.43</c:v>
                </c:pt>
                <c:pt idx="599">
                  <c:v>91.54</c:v>
                </c:pt>
                <c:pt idx="600">
                  <c:v>91.41</c:v>
                </c:pt>
                <c:pt idx="601">
                  <c:v>91.63</c:v>
                </c:pt>
                <c:pt idx="602">
                  <c:v>94.57</c:v>
                </c:pt>
                <c:pt idx="603">
                  <c:v>109.21</c:v>
                </c:pt>
                <c:pt idx="604">
                  <c:v>106.68</c:v>
                </c:pt>
                <c:pt idx="605">
                  <c:v>113.49</c:v>
                </c:pt>
                <c:pt idx="606">
                  <c:v>116.55</c:v>
                </c:pt>
                <c:pt idx="607">
                  <c:v>119.78</c:v>
                </c:pt>
                <c:pt idx="608">
                  <c:v>108.82</c:v>
                </c:pt>
                <c:pt idx="609">
                  <c:v>107.14</c:v>
                </c:pt>
                <c:pt idx="610">
                  <c:v>109.3</c:v>
                </c:pt>
                <c:pt idx="611">
                  <c:v>102.67</c:v>
                </c:pt>
                <c:pt idx="612">
                  <c:v>99.91</c:v>
                </c:pt>
                <c:pt idx="613">
                  <c:v>98.02</c:v>
                </c:pt>
                <c:pt idx="614">
                  <c:v>105.32</c:v>
                </c:pt>
                <c:pt idx="615">
                  <c:v>105.99</c:v>
                </c:pt>
                <c:pt idx="616">
                  <c:v>108.73</c:v>
                </c:pt>
                <c:pt idx="617">
                  <c:v>108.5</c:v>
                </c:pt>
                <c:pt idx="618">
                  <c:v>110.22</c:v>
                </c:pt>
                <c:pt idx="619">
                  <c:v>109.54</c:v>
                </c:pt>
                <c:pt idx="620">
                  <c:v>109.88</c:v>
                </c:pt>
                <c:pt idx="621">
                  <c:v>108.5</c:v>
                </c:pt>
                <c:pt idx="622">
                  <c:v>108.28</c:v>
                </c:pt>
                <c:pt idx="623">
                  <c:v>107.74</c:v>
                </c:pt>
                <c:pt idx="624">
                  <c:v>104.93</c:v>
                </c:pt>
                <c:pt idx="625">
                  <c:v>89.06</c:v>
                </c:pt>
                <c:pt idx="626">
                  <c:v>102.58</c:v>
                </c:pt>
                <c:pt idx="627">
                  <c:v>101.44</c:v>
                </c:pt>
                <c:pt idx="628">
                  <c:v>96.73</c:v>
                </c:pt>
                <c:pt idx="629">
                  <c:v>96.68</c:v>
                </c:pt>
                <c:pt idx="630">
                  <c:v>98.35</c:v>
                </c:pt>
                <c:pt idx="631">
                  <c:v>95.63</c:v>
                </c:pt>
                <c:pt idx="632">
                  <c:v>99.7</c:v>
                </c:pt>
                <c:pt idx="633">
                  <c:v>101.89</c:v>
                </c:pt>
                <c:pt idx="634">
                  <c:v>103.33</c:v>
                </c:pt>
                <c:pt idx="635">
                  <c:v>103.95</c:v>
                </c:pt>
                <c:pt idx="636">
                  <c:v>101.44</c:v>
                </c:pt>
                <c:pt idx="637">
                  <c:v>101.5</c:v>
                </c:pt>
                <c:pt idx="638">
                  <c:v>102.06</c:v>
                </c:pt>
                <c:pt idx="639">
                  <c:v>101.54</c:v>
                </c:pt>
                <c:pt idx="640">
                  <c:v>100.66</c:v>
                </c:pt>
                <c:pt idx="641">
                  <c:v>101.29</c:v>
                </c:pt>
                <c:pt idx="642">
                  <c:v>101.34</c:v>
                </c:pt>
                <c:pt idx="643">
                  <c:v>101.67</c:v>
                </c:pt>
                <c:pt idx="644">
                  <c:v>101.64</c:v>
                </c:pt>
                <c:pt idx="645">
                  <c:v>104.67</c:v>
                </c:pt>
                <c:pt idx="646">
                  <c:v>102.11</c:v>
                </c:pt>
                <c:pt idx="647">
                  <c:v>106.97</c:v>
                </c:pt>
                <c:pt idx="648">
                  <c:v>107.38</c:v>
                </c:pt>
                <c:pt idx="649">
                  <c:v>108.62</c:v>
                </c:pt>
                <c:pt idx="650">
                  <c:v>103.57</c:v>
                </c:pt>
                <c:pt idx="651">
                  <c:v>101.19</c:v>
                </c:pt>
                <c:pt idx="652">
                  <c:v>105.05</c:v>
                </c:pt>
                <c:pt idx="653">
                  <c:v>105.3</c:v>
                </c:pt>
                <c:pt idx="654">
                  <c:v>107.75</c:v>
                </c:pt>
                <c:pt idx="655">
                  <c:v>109.55</c:v>
                </c:pt>
                <c:pt idx="656">
                  <c:v>108.58</c:v>
                </c:pt>
                <c:pt idx="657">
                  <c:v>107.44</c:v>
                </c:pt>
                <c:pt idx="658">
                  <c:v>108.5</c:v>
                </c:pt>
                <c:pt idx="659">
                  <c:v>108.66</c:v>
                </c:pt>
                <c:pt idx="660">
                  <c:v>108.67</c:v>
                </c:pt>
                <c:pt idx="661">
                  <c:v>108.54</c:v>
                </c:pt>
                <c:pt idx="662">
                  <c:v>108.65</c:v>
                </c:pt>
                <c:pt idx="663">
                  <c:v>109.19</c:v>
                </c:pt>
                <c:pt idx="664">
                  <c:v>100.97</c:v>
                </c:pt>
                <c:pt idx="665">
                  <c:v>100.57</c:v>
                </c:pt>
                <c:pt idx="666">
                  <c:v>101.16</c:v>
                </c:pt>
                <c:pt idx="667">
                  <c:v>102.77</c:v>
                </c:pt>
                <c:pt idx="668">
                  <c:v>104.77</c:v>
                </c:pt>
                <c:pt idx="669">
                  <c:v>104.4</c:v>
                </c:pt>
                <c:pt idx="670">
                  <c:v>105.31</c:v>
                </c:pt>
                <c:pt idx="671">
                  <c:v>108.01</c:v>
                </c:pt>
                <c:pt idx="672">
                  <c:v>107.41</c:v>
                </c:pt>
                <c:pt idx="673">
                  <c:v>106.57</c:v>
                </c:pt>
                <c:pt idx="674">
                  <c:v>106.83</c:v>
                </c:pt>
                <c:pt idx="675">
                  <c:v>104.83</c:v>
                </c:pt>
                <c:pt idx="676">
                  <c:v>101.21</c:v>
                </c:pt>
                <c:pt idx="677">
                  <c:v>97.66</c:v>
                </c:pt>
                <c:pt idx="678">
                  <c:v>96</c:v>
                </c:pt>
                <c:pt idx="679">
                  <c:v>95.42</c:v>
                </c:pt>
                <c:pt idx="680">
                  <c:v>92.09</c:v>
                </c:pt>
                <c:pt idx="681">
                  <c:v>90.17</c:v>
                </c:pt>
                <c:pt idx="682">
                  <c:v>93.52</c:v>
                </c:pt>
                <c:pt idx="683">
                  <c:v>97.66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B99-4671-A3DB-D3805DF898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111666872"/>
        <c:axId val="1111670152"/>
      </c:barChart>
      <c:lineChart>
        <c:grouping val="standard"/>
        <c:varyColors val="0"/>
        <c:ser>
          <c:idx val="1"/>
          <c:order val="1"/>
          <c:tx>
            <c:strRef>
              <c:f>'Crude to Gas Correlation '!$C$3</c:f>
              <c:strCache>
                <c:ptCount val="1"/>
                <c:pt idx="0">
                  <c:v>Gasoline Price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'Crude to Gas Correlation '!$A$4:$A$688</c:f>
              <c:strCache>
                <c:ptCount val="684"/>
                <c:pt idx="0">
                  <c:v>10/31/2019</c:v>
                </c:pt>
                <c:pt idx="1">
                  <c:v>11/1/2019</c:v>
                </c:pt>
                <c:pt idx="2">
                  <c:v>11/4/2019</c:v>
                </c:pt>
                <c:pt idx="3">
                  <c:v>11/5/2019</c:v>
                </c:pt>
                <c:pt idx="4">
                  <c:v>11/6/2019</c:v>
                </c:pt>
                <c:pt idx="5">
                  <c:v>11/7/2019</c:v>
                </c:pt>
                <c:pt idx="6">
                  <c:v>11/8/2019</c:v>
                </c:pt>
                <c:pt idx="7">
                  <c:v>11/11/2019</c:v>
                </c:pt>
                <c:pt idx="8">
                  <c:v>11/12/2019</c:v>
                </c:pt>
                <c:pt idx="9">
                  <c:v>11/13/2019</c:v>
                </c:pt>
                <c:pt idx="10">
                  <c:v>11/14/2019</c:v>
                </c:pt>
                <c:pt idx="11">
                  <c:v>11/15/2019</c:v>
                </c:pt>
                <c:pt idx="12">
                  <c:v>11/18/2019</c:v>
                </c:pt>
                <c:pt idx="13">
                  <c:v>11/19/2019</c:v>
                </c:pt>
                <c:pt idx="14">
                  <c:v>11/20/2019</c:v>
                </c:pt>
                <c:pt idx="15">
                  <c:v>11/21/2019</c:v>
                </c:pt>
                <c:pt idx="16">
                  <c:v>11/22/2019</c:v>
                </c:pt>
                <c:pt idx="17">
                  <c:v>11/25/2019</c:v>
                </c:pt>
                <c:pt idx="18">
                  <c:v>11/26/2019</c:v>
                </c:pt>
                <c:pt idx="19">
                  <c:v>11/27/2019</c:v>
                </c:pt>
                <c:pt idx="20">
                  <c:v>11/28/2019</c:v>
                </c:pt>
                <c:pt idx="21">
                  <c:v>11/29/2019</c:v>
                </c:pt>
                <c:pt idx="22">
                  <c:v>12/2/2019</c:v>
                </c:pt>
                <c:pt idx="23">
                  <c:v>12/3/2019</c:v>
                </c:pt>
                <c:pt idx="24">
                  <c:v>12/4/2019</c:v>
                </c:pt>
                <c:pt idx="25">
                  <c:v>12/5/2019</c:v>
                </c:pt>
                <c:pt idx="26">
                  <c:v>12/6/2019</c:v>
                </c:pt>
                <c:pt idx="27">
                  <c:v>12/9/2019</c:v>
                </c:pt>
                <c:pt idx="28">
                  <c:v>12/10/2019</c:v>
                </c:pt>
                <c:pt idx="29">
                  <c:v>12/11/2019</c:v>
                </c:pt>
                <c:pt idx="30">
                  <c:v>12/12/2019</c:v>
                </c:pt>
                <c:pt idx="31">
                  <c:v>12/13/2019</c:v>
                </c:pt>
                <c:pt idx="32">
                  <c:v>12/16/2019</c:v>
                </c:pt>
                <c:pt idx="33">
                  <c:v>12/17/2019</c:v>
                </c:pt>
                <c:pt idx="34">
                  <c:v>12/18/2019</c:v>
                </c:pt>
                <c:pt idx="35">
                  <c:v>12/19/2019</c:v>
                </c:pt>
                <c:pt idx="36">
                  <c:v>12/20/2019</c:v>
                </c:pt>
                <c:pt idx="37">
                  <c:v>12/23/2019</c:v>
                </c:pt>
                <c:pt idx="38">
                  <c:v>12/24/2019</c:v>
                </c:pt>
                <c:pt idx="39">
                  <c:v>12/26/2019</c:v>
                </c:pt>
                <c:pt idx="40">
                  <c:v>12/27/2019</c:v>
                </c:pt>
                <c:pt idx="41">
                  <c:v>12/30/2019</c:v>
                </c:pt>
                <c:pt idx="42">
                  <c:v>12/31/2019</c:v>
                </c:pt>
                <c:pt idx="43">
                  <c:v>1/2/2020</c:v>
                </c:pt>
                <c:pt idx="44">
                  <c:v>1/3/2020</c:v>
                </c:pt>
                <c:pt idx="45">
                  <c:v>1/6/2020</c:v>
                </c:pt>
                <c:pt idx="46">
                  <c:v>1/7/2020</c:v>
                </c:pt>
                <c:pt idx="47">
                  <c:v>1/8/2020</c:v>
                </c:pt>
                <c:pt idx="48">
                  <c:v>1/9/2020</c:v>
                </c:pt>
                <c:pt idx="49">
                  <c:v>1/10/2020</c:v>
                </c:pt>
                <c:pt idx="50">
                  <c:v>1/13/2020</c:v>
                </c:pt>
                <c:pt idx="51">
                  <c:v>1/14/2020</c:v>
                </c:pt>
                <c:pt idx="52">
                  <c:v>1/15/2020</c:v>
                </c:pt>
                <c:pt idx="53">
                  <c:v>1/16/2020</c:v>
                </c:pt>
                <c:pt idx="54">
                  <c:v>1/17/2020</c:v>
                </c:pt>
                <c:pt idx="55">
                  <c:v>1/20/2020</c:v>
                </c:pt>
                <c:pt idx="56">
                  <c:v>1/21/2020</c:v>
                </c:pt>
                <c:pt idx="57">
                  <c:v>1/22/2020</c:v>
                </c:pt>
                <c:pt idx="58">
                  <c:v>1/23/2020</c:v>
                </c:pt>
                <c:pt idx="59">
                  <c:v>1/24/2020</c:v>
                </c:pt>
                <c:pt idx="60">
                  <c:v>1/27/2020</c:v>
                </c:pt>
                <c:pt idx="61">
                  <c:v>1/28/2020</c:v>
                </c:pt>
                <c:pt idx="62">
                  <c:v>1/29/2020</c:v>
                </c:pt>
                <c:pt idx="63">
                  <c:v>1/30/2020</c:v>
                </c:pt>
                <c:pt idx="64">
                  <c:v>1/31/2020</c:v>
                </c:pt>
                <c:pt idx="65">
                  <c:v>2/3/2020</c:v>
                </c:pt>
                <c:pt idx="66">
                  <c:v>2/4/2020</c:v>
                </c:pt>
                <c:pt idx="67">
                  <c:v>2/5/2020</c:v>
                </c:pt>
                <c:pt idx="68">
                  <c:v>2/6/2020</c:v>
                </c:pt>
                <c:pt idx="69">
                  <c:v>2/7/2020</c:v>
                </c:pt>
                <c:pt idx="70">
                  <c:v>2/10/2020</c:v>
                </c:pt>
                <c:pt idx="71">
                  <c:v>2/11/2020</c:v>
                </c:pt>
                <c:pt idx="72">
                  <c:v>2/12/2020</c:v>
                </c:pt>
                <c:pt idx="73">
                  <c:v>2/13/2020</c:v>
                </c:pt>
                <c:pt idx="74">
                  <c:v>2/14/2020</c:v>
                </c:pt>
                <c:pt idx="75">
                  <c:v>2/17/2020</c:v>
                </c:pt>
                <c:pt idx="76">
                  <c:v>2/18/2020</c:v>
                </c:pt>
                <c:pt idx="77">
                  <c:v>2/19/2020</c:v>
                </c:pt>
                <c:pt idx="78">
                  <c:v>2/20/2020</c:v>
                </c:pt>
                <c:pt idx="79">
                  <c:v>2/21/2020</c:v>
                </c:pt>
                <c:pt idx="80">
                  <c:v>2/24/2020</c:v>
                </c:pt>
                <c:pt idx="81">
                  <c:v>2/25/2020</c:v>
                </c:pt>
                <c:pt idx="82">
                  <c:v>2/26/2020</c:v>
                </c:pt>
                <c:pt idx="83">
                  <c:v>2/27/2020</c:v>
                </c:pt>
                <c:pt idx="84">
                  <c:v>2/28/2020</c:v>
                </c:pt>
                <c:pt idx="85">
                  <c:v>3/2/2020</c:v>
                </c:pt>
                <c:pt idx="86">
                  <c:v>3/3/2020</c:v>
                </c:pt>
                <c:pt idx="87">
                  <c:v>3/4/2020</c:v>
                </c:pt>
                <c:pt idx="88">
                  <c:v>3/5/2020</c:v>
                </c:pt>
                <c:pt idx="89">
                  <c:v>3/6/2020</c:v>
                </c:pt>
                <c:pt idx="90">
                  <c:v>3/9/2020</c:v>
                </c:pt>
                <c:pt idx="91">
                  <c:v>3/10/2020</c:v>
                </c:pt>
                <c:pt idx="92">
                  <c:v>3/11/2020</c:v>
                </c:pt>
                <c:pt idx="93">
                  <c:v>3/12/2020</c:v>
                </c:pt>
                <c:pt idx="94">
                  <c:v>3/13/2020</c:v>
                </c:pt>
                <c:pt idx="95">
                  <c:v>3/16/2020</c:v>
                </c:pt>
                <c:pt idx="96">
                  <c:v>3/17/2020</c:v>
                </c:pt>
                <c:pt idx="97">
                  <c:v>3/18/2020</c:v>
                </c:pt>
                <c:pt idx="98">
                  <c:v>3/19/2020</c:v>
                </c:pt>
                <c:pt idx="99">
                  <c:v>3/20/2020</c:v>
                </c:pt>
                <c:pt idx="100">
                  <c:v>3/23/2020</c:v>
                </c:pt>
                <c:pt idx="101">
                  <c:v>3/24/2020</c:v>
                </c:pt>
                <c:pt idx="102">
                  <c:v>3/25/2020</c:v>
                </c:pt>
                <c:pt idx="103">
                  <c:v>3/26/2020</c:v>
                </c:pt>
                <c:pt idx="104">
                  <c:v>3/27/2020</c:v>
                </c:pt>
                <c:pt idx="105">
                  <c:v>3/30/2020</c:v>
                </c:pt>
                <c:pt idx="106">
                  <c:v>3/31/2020</c:v>
                </c:pt>
                <c:pt idx="107">
                  <c:v>4/1/2020</c:v>
                </c:pt>
                <c:pt idx="108">
                  <c:v>4/2/2020</c:v>
                </c:pt>
                <c:pt idx="109">
                  <c:v>4/3/2020</c:v>
                </c:pt>
                <c:pt idx="110">
                  <c:v>4/6/2020</c:v>
                </c:pt>
                <c:pt idx="111">
                  <c:v>4/7/2020</c:v>
                </c:pt>
                <c:pt idx="112">
                  <c:v>4/8/2020</c:v>
                </c:pt>
                <c:pt idx="113">
                  <c:v>4/9/2020</c:v>
                </c:pt>
                <c:pt idx="114">
                  <c:v>4/13/2020</c:v>
                </c:pt>
                <c:pt idx="115">
                  <c:v>4/14/2020</c:v>
                </c:pt>
                <c:pt idx="116">
                  <c:v>4/15/2020</c:v>
                </c:pt>
                <c:pt idx="117">
                  <c:v>4/16/2020</c:v>
                </c:pt>
                <c:pt idx="118">
                  <c:v>4/17/2020</c:v>
                </c:pt>
                <c:pt idx="119">
                  <c:v>4/20/2020</c:v>
                </c:pt>
                <c:pt idx="120">
                  <c:v>4/21/2020</c:v>
                </c:pt>
                <c:pt idx="121">
                  <c:v>4/22/2020</c:v>
                </c:pt>
                <c:pt idx="122">
                  <c:v>4/23/2020</c:v>
                </c:pt>
                <c:pt idx="123">
                  <c:v>4/24/2020</c:v>
                </c:pt>
                <c:pt idx="124">
                  <c:v>4/27/2020</c:v>
                </c:pt>
                <c:pt idx="125">
                  <c:v>4/28/2020</c:v>
                </c:pt>
                <c:pt idx="126">
                  <c:v>4/29/2020</c:v>
                </c:pt>
                <c:pt idx="127">
                  <c:v>4/30/2020</c:v>
                </c:pt>
                <c:pt idx="128">
                  <c:v>5/1/2020</c:v>
                </c:pt>
                <c:pt idx="129">
                  <c:v>5/4/2020</c:v>
                </c:pt>
                <c:pt idx="130">
                  <c:v>5/5/2020</c:v>
                </c:pt>
                <c:pt idx="131">
                  <c:v>5/6/2020</c:v>
                </c:pt>
                <c:pt idx="132">
                  <c:v>5/7/2020</c:v>
                </c:pt>
                <c:pt idx="133">
                  <c:v>5/8/2020</c:v>
                </c:pt>
                <c:pt idx="134">
                  <c:v>5/11/2020</c:v>
                </c:pt>
                <c:pt idx="135">
                  <c:v>5/12/2020</c:v>
                </c:pt>
                <c:pt idx="136">
                  <c:v>5/13/2020</c:v>
                </c:pt>
                <c:pt idx="137">
                  <c:v>5/14/2020</c:v>
                </c:pt>
                <c:pt idx="138">
                  <c:v>5/15/2020</c:v>
                </c:pt>
                <c:pt idx="139">
                  <c:v>5/18/2020</c:v>
                </c:pt>
                <c:pt idx="140">
                  <c:v>5/19/2020</c:v>
                </c:pt>
                <c:pt idx="141">
                  <c:v>5/20/2020</c:v>
                </c:pt>
                <c:pt idx="142">
                  <c:v>5/21/2020</c:v>
                </c:pt>
                <c:pt idx="143">
                  <c:v>5/22/2020</c:v>
                </c:pt>
                <c:pt idx="144">
                  <c:v>5/26/2020</c:v>
                </c:pt>
                <c:pt idx="145">
                  <c:v>5/27/2020</c:v>
                </c:pt>
                <c:pt idx="146">
                  <c:v>5/28/2020</c:v>
                </c:pt>
                <c:pt idx="147">
                  <c:v>5/29/2020</c:v>
                </c:pt>
                <c:pt idx="148">
                  <c:v>6/1/2020</c:v>
                </c:pt>
                <c:pt idx="149">
                  <c:v>6/2/2020</c:v>
                </c:pt>
                <c:pt idx="150">
                  <c:v>6/3/2020</c:v>
                </c:pt>
                <c:pt idx="151">
                  <c:v>6/4/2020</c:v>
                </c:pt>
                <c:pt idx="152">
                  <c:v>6/5/2020</c:v>
                </c:pt>
                <c:pt idx="153">
                  <c:v>6/8/2020</c:v>
                </c:pt>
                <c:pt idx="154">
                  <c:v>6/9/2020</c:v>
                </c:pt>
                <c:pt idx="155">
                  <c:v>6/10/2020</c:v>
                </c:pt>
                <c:pt idx="156">
                  <c:v>6/11/2020</c:v>
                </c:pt>
                <c:pt idx="157">
                  <c:v>6/12/2020</c:v>
                </c:pt>
                <c:pt idx="158">
                  <c:v>6/15/2020</c:v>
                </c:pt>
                <c:pt idx="159">
                  <c:v>6/16/2020</c:v>
                </c:pt>
                <c:pt idx="160">
                  <c:v>6/17/2020</c:v>
                </c:pt>
                <c:pt idx="161">
                  <c:v>6/18/2020</c:v>
                </c:pt>
                <c:pt idx="162">
                  <c:v>6/19/2020</c:v>
                </c:pt>
                <c:pt idx="163">
                  <c:v>6/22/2020</c:v>
                </c:pt>
                <c:pt idx="164">
                  <c:v>6/23/2020</c:v>
                </c:pt>
                <c:pt idx="165">
                  <c:v>6/24/2020</c:v>
                </c:pt>
                <c:pt idx="166">
                  <c:v>6/25/2020</c:v>
                </c:pt>
                <c:pt idx="167">
                  <c:v>6/26/2020</c:v>
                </c:pt>
                <c:pt idx="168">
                  <c:v>6/29/2020</c:v>
                </c:pt>
                <c:pt idx="169">
                  <c:v>6/30/2020</c:v>
                </c:pt>
                <c:pt idx="170">
                  <c:v>7/1/2020</c:v>
                </c:pt>
                <c:pt idx="171">
                  <c:v>7/2/2020</c:v>
                </c:pt>
                <c:pt idx="172">
                  <c:v>7/3/2020</c:v>
                </c:pt>
                <c:pt idx="173">
                  <c:v>7/6/2020</c:v>
                </c:pt>
                <c:pt idx="174">
                  <c:v>7/7/2020</c:v>
                </c:pt>
                <c:pt idx="175">
                  <c:v>7/8/2020</c:v>
                </c:pt>
                <c:pt idx="176">
                  <c:v>7/9/2020</c:v>
                </c:pt>
                <c:pt idx="177">
                  <c:v>7/10/2020</c:v>
                </c:pt>
                <c:pt idx="178">
                  <c:v>7/13/2020</c:v>
                </c:pt>
                <c:pt idx="179">
                  <c:v>7/14/2020</c:v>
                </c:pt>
                <c:pt idx="180">
                  <c:v>7/15/2020</c:v>
                </c:pt>
                <c:pt idx="181">
                  <c:v>7/16/2020</c:v>
                </c:pt>
                <c:pt idx="182">
                  <c:v>7/17/2020</c:v>
                </c:pt>
                <c:pt idx="183">
                  <c:v>7/20/2020</c:v>
                </c:pt>
                <c:pt idx="184">
                  <c:v>7/21/2020</c:v>
                </c:pt>
                <c:pt idx="185">
                  <c:v>7/22/2020</c:v>
                </c:pt>
                <c:pt idx="186">
                  <c:v>7/23/2020</c:v>
                </c:pt>
                <c:pt idx="187">
                  <c:v>7/24/2020</c:v>
                </c:pt>
                <c:pt idx="188">
                  <c:v>7/27/2020</c:v>
                </c:pt>
                <c:pt idx="189">
                  <c:v>7/28/2020</c:v>
                </c:pt>
                <c:pt idx="190">
                  <c:v>7/29/2020</c:v>
                </c:pt>
                <c:pt idx="191">
                  <c:v>7/30/2020</c:v>
                </c:pt>
                <c:pt idx="192">
                  <c:v>7/31/2020</c:v>
                </c:pt>
                <c:pt idx="193">
                  <c:v>8/3/2020</c:v>
                </c:pt>
                <c:pt idx="194">
                  <c:v>8/4/2020</c:v>
                </c:pt>
                <c:pt idx="195">
                  <c:v>8/5/2020</c:v>
                </c:pt>
                <c:pt idx="196">
                  <c:v>8/6/2020</c:v>
                </c:pt>
                <c:pt idx="197">
                  <c:v>8/7/2020</c:v>
                </c:pt>
                <c:pt idx="198">
                  <c:v>8/10/2020</c:v>
                </c:pt>
                <c:pt idx="199">
                  <c:v>8/11/2020</c:v>
                </c:pt>
                <c:pt idx="200">
                  <c:v>8/12/2020</c:v>
                </c:pt>
                <c:pt idx="201">
                  <c:v>8/13/2020</c:v>
                </c:pt>
                <c:pt idx="202">
                  <c:v>8/14/2020</c:v>
                </c:pt>
                <c:pt idx="203">
                  <c:v>8/17/2020</c:v>
                </c:pt>
                <c:pt idx="204">
                  <c:v>8/18/2020</c:v>
                </c:pt>
                <c:pt idx="205">
                  <c:v>8/19/2020</c:v>
                </c:pt>
                <c:pt idx="206">
                  <c:v>8/20/2020</c:v>
                </c:pt>
                <c:pt idx="207">
                  <c:v>8/21/2020</c:v>
                </c:pt>
                <c:pt idx="208">
                  <c:v>8/24/2020</c:v>
                </c:pt>
                <c:pt idx="209">
                  <c:v>8/25/2020</c:v>
                </c:pt>
                <c:pt idx="210">
                  <c:v>8/26/2020</c:v>
                </c:pt>
                <c:pt idx="211">
                  <c:v>8/27/2020</c:v>
                </c:pt>
                <c:pt idx="212">
                  <c:v>8/28/2020</c:v>
                </c:pt>
                <c:pt idx="213">
                  <c:v>8/31/2020</c:v>
                </c:pt>
                <c:pt idx="214">
                  <c:v>9/1/2020</c:v>
                </c:pt>
                <c:pt idx="215">
                  <c:v>9/2/2020</c:v>
                </c:pt>
                <c:pt idx="216">
                  <c:v>9/3/2020</c:v>
                </c:pt>
                <c:pt idx="217">
                  <c:v>9/4/2020</c:v>
                </c:pt>
                <c:pt idx="218">
                  <c:v>9/7/2020</c:v>
                </c:pt>
                <c:pt idx="219">
                  <c:v>9/8/2020</c:v>
                </c:pt>
                <c:pt idx="220">
                  <c:v>9/9/2020</c:v>
                </c:pt>
                <c:pt idx="221">
                  <c:v>9/10/2020</c:v>
                </c:pt>
                <c:pt idx="222">
                  <c:v>9/11/2020</c:v>
                </c:pt>
                <c:pt idx="223">
                  <c:v>9/14/2020</c:v>
                </c:pt>
                <c:pt idx="224">
                  <c:v>9/15/2020</c:v>
                </c:pt>
                <c:pt idx="225">
                  <c:v>9/16/2020</c:v>
                </c:pt>
                <c:pt idx="226">
                  <c:v>9/17/2020</c:v>
                </c:pt>
                <c:pt idx="227">
                  <c:v>9/18/2020</c:v>
                </c:pt>
                <c:pt idx="228">
                  <c:v>9/21/2020</c:v>
                </c:pt>
                <c:pt idx="229">
                  <c:v>9/22/2020</c:v>
                </c:pt>
                <c:pt idx="230">
                  <c:v>9/23/2020</c:v>
                </c:pt>
                <c:pt idx="231">
                  <c:v>9/24/2020</c:v>
                </c:pt>
                <c:pt idx="232">
                  <c:v>9/25/2020</c:v>
                </c:pt>
                <c:pt idx="233">
                  <c:v>9/28/2020</c:v>
                </c:pt>
                <c:pt idx="234">
                  <c:v>9/29/2020</c:v>
                </c:pt>
                <c:pt idx="235">
                  <c:v>9/30/2020</c:v>
                </c:pt>
                <c:pt idx="236">
                  <c:v>10/1/2020</c:v>
                </c:pt>
                <c:pt idx="237">
                  <c:v>10/2/2020</c:v>
                </c:pt>
                <c:pt idx="238">
                  <c:v>10/5/2020</c:v>
                </c:pt>
                <c:pt idx="239">
                  <c:v>10/6/2020</c:v>
                </c:pt>
                <c:pt idx="240">
                  <c:v>10/7/2020</c:v>
                </c:pt>
                <c:pt idx="241">
                  <c:v>10/8/2020</c:v>
                </c:pt>
                <c:pt idx="242">
                  <c:v>10/9/2020</c:v>
                </c:pt>
                <c:pt idx="243">
                  <c:v>10/12/2020</c:v>
                </c:pt>
                <c:pt idx="244">
                  <c:v>10/13/2020</c:v>
                </c:pt>
                <c:pt idx="245">
                  <c:v>10/14/2020</c:v>
                </c:pt>
                <c:pt idx="246">
                  <c:v>10/15/2020</c:v>
                </c:pt>
                <c:pt idx="247">
                  <c:v>10/16/2020</c:v>
                </c:pt>
                <c:pt idx="248">
                  <c:v>10/19/2020</c:v>
                </c:pt>
                <c:pt idx="249">
                  <c:v>10/20/2020</c:v>
                </c:pt>
                <c:pt idx="250">
                  <c:v>10/21/2020</c:v>
                </c:pt>
                <c:pt idx="251">
                  <c:v>10/22/2020</c:v>
                </c:pt>
                <c:pt idx="252">
                  <c:v>10/23/2020</c:v>
                </c:pt>
                <c:pt idx="253">
                  <c:v>10/26/2020</c:v>
                </c:pt>
                <c:pt idx="254">
                  <c:v>10/27/2020</c:v>
                </c:pt>
                <c:pt idx="255">
                  <c:v>10/28/2020</c:v>
                </c:pt>
                <c:pt idx="256">
                  <c:v>10/29/2020</c:v>
                </c:pt>
                <c:pt idx="257">
                  <c:v>10/30/2020</c:v>
                </c:pt>
                <c:pt idx="258">
                  <c:v>11/2/2020</c:v>
                </c:pt>
                <c:pt idx="259">
                  <c:v>11/3/2020</c:v>
                </c:pt>
                <c:pt idx="260">
                  <c:v>11/4/2020</c:v>
                </c:pt>
                <c:pt idx="261">
                  <c:v>11/5/2020</c:v>
                </c:pt>
                <c:pt idx="262">
                  <c:v>11/6/2020</c:v>
                </c:pt>
                <c:pt idx="263">
                  <c:v>11/9/2020</c:v>
                </c:pt>
                <c:pt idx="264">
                  <c:v>11/10/2020</c:v>
                </c:pt>
                <c:pt idx="265">
                  <c:v>11/11/2020</c:v>
                </c:pt>
                <c:pt idx="266">
                  <c:v>11/12/2020</c:v>
                </c:pt>
                <c:pt idx="267">
                  <c:v>11/13/2020</c:v>
                </c:pt>
                <c:pt idx="268">
                  <c:v>11/16/2020</c:v>
                </c:pt>
                <c:pt idx="269">
                  <c:v>11/17/2020</c:v>
                </c:pt>
                <c:pt idx="270">
                  <c:v>11/18/2020</c:v>
                </c:pt>
                <c:pt idx="271">
                  <c:v>11/19/2020</c:v>
                </c:pt>
                <c:pt idx="272">
                  <c:v>11/20/2020</c:v>
                </c:pt>
                <c:pt idx="273">
                  <c:v>11/23/2020</c:v>
                </c:pt>
                <c:pt idx="274">
                  <c:v>11/24/2020</c:v>
                </c:pt>
                <c:pt idx="275">
                  <c:v>11/25/2020</c:v>
                </c:pt>
                <c:pt idx="276">
                  <c:v>11/26/2020</c:v>
                </c:pt>
                <c:pt idx="277">
                  <c:v>11/27/2020</c:v>
                </c:pt>
                <c:pt idx="278">
                  <c:v>11/30/2020</c:v>
                </c:pt>
                <c:pt idx="279">
                  <c:v>12/1/2020</c:v>
                </c:pt>
                <c:pt idx="280">
                  <c:v>12/2/2020</c:v>
                </c:pt>
                <c:pt idx="281">
                  <c:v>12/3/2020</c:v>
                </c:pt>
                <c:pt idx="282">
                  <c:v>12/4/2020</c:v>
                </c:pt>
                <c:pt idx="283">
                  <c:v>12/7/2020</c:v>
                </c:pt>
                <c:pt idx="284">
                  <c:v>12/8/2020</c:v>
                </c:pt>
                <c:pt idx="285">
                  <c:v>12/9/2020</c:v>
                </c:pt>
                <c:pt idx="286">
                  <c:v>12/10/2020</c:v>
                </c:pt>
                <c:pt idx="287">
                  <c:v>12/11/2020</c:v>
                </c:pt>
                <c:pt idx="288">
                  <c:v>12/14/2020</c:v>
                </c:pt>
                <c:pt idx="289">
                  <c:v>12/15/2020</c:v>
                </c:pt>
                <c:pt idx="290">
                  <c:v>12/16/2020</c:v>
                </c:pt>
                <c:pt idx="291">
                  <c:v>12/17/2020</c:v>
                </c:pt>
                <c:pt idx="292">
                  <c:v>12/18/2020</c:v>
                </c:pt>
                <c:pt idx="293">
                  <c:v>12/21/2020</c:v>
                </c:pt>
                <c:pt idx="294">
                  <c:v>12/22/2020</c:v>
                </c:pt>
                <c:pt idx="295">
                  <c:v>12/23/2020</c:v>
                </c:pt>
                <c:pt idx="296">
                  <c:v>12/24/2020</c:v>
                </c:pt>
                <c:pt idx="297">
                  <c:v>12/28/2020</c:v>
                </c:pt>
                <c:pt idx="298">
                  <c:v>12/29/2020</c:v>
                </c:pt>
                <c:pt idx="299">
                  <c:v>12/30/2020</c:v>
                </c:pt>
                <c:pt idx="300">
                  <c:v>12/31/2020</c:v>
                </c:pt>
                <c:pt idx="301">
                  <c:v>1/4/2021</c:v>
                </c:pt>
                <c:pt idx="302">
                  <c:v>1/5/2021</c:v>
                </c:pt>
                <c:pt idx="303">
                  <c:v>1/6/2021</c:v>
                </c:pt>
                <c:pt idx="304">
                  <c:v>1/7/2021</c:v>
                </c:pt>
                <c:pt idx="305">
                  <c:v>1/8/2021</c:v>
                </c:pt>
                <c:pt idx="306">
                  <c:v>1/11/2021</c:v>
                </c:pt>
                <c:pt idx="307">
                  <c:v>1/12/2021</c:v>
                </c:pt>
                <c:pt idx="308">
                  <c:v>1/13/2021</c:v>
                </c:pt>
                <c:pt idx="309">
                  <c:v>1/14/2021</c:v>
                </c:pt>
                <c:pt idx="310">
                  <c:v>1/15/2021</c:v>
                </c:pt>
                <c:pt idx="311">
                  <c:v>1/18/2021</c:v>
                </c:pt>
                <c:pt idx="312">
                  <c:v>1/19/2021</c:v>
                </c:pt>
                <c:pt idx="313">
                  <c:v>1/20/2021</c:v>
                </c:pt>
                <c:pt idx="314">
                  <c:v>1/21/2021</c:v>
                </c:pt>
                <c:pt idx="315">
                  <c:v>1/22/2021</c:v>
                </c:pt>
                <c:pt idx="316">
                  <c:v>1/25/2021</c:v>
                </c:pt>
                <c:pt idx="317">
                  <c:v>1/26/2021</c:v>
                </c:pt>
                <c:pt idx="318">
                  <c:v>1/27/2021</c:v>
                </c:pt>
                <c:pt idx="319">
                  <c:v>1/28/2021</c:v>
                </c:pt>
                <c:pt idx="320">
                  <c:v>1/29/2021</c:v>
                </c:pt>
                <c:pt idx="321">
                  <c:v>2/1/2021</c:v>
                </c:pt>
                <c:pt idx="322">
                  <c:v>2/2/2021</c:v>
                </c:pt>
                <c:pt idx="323">
                  <c:v>2/3/2021</c:v>
                </c:pt>
                <c:pt idx="324">
                  <c:v>2/4/2021</c:v>
                </c:pt>
                <c:pt idx="325">
                  <c:v>2/5/2021</c:v>
                </c:pt>
                <c:pt idx="326">
                  <c:v>2/8/2021</c:v>
                </c:pt>
                <c:pt idx="327">
                  <c:v>2/9/2021</c:v>
                </c:pt>
                <c:pt idx="328">
                  <c:v>2/10/2021</c:v>
                </c:pt>
                <c:pt idx="329">
                  <c:v>2/11/2021</c:v>
                </c:pt>
                <c:pt idx="330">
                  <c:v>2/12/2021</c:v>
                </c:pt>
                <c:pt idx="331">
                  <c:v>2/15/2021</c:v>
                </c:pt>
                <c:pt idx="332">
                  <c:v>2/16/2021</c:v>
                </c:pt>
                <c:pt idx="333">
                  <c:v>2/17/2021</c:v>
                </c:pt>
                <c:pt idx="334">
                  <c:v>2/18/2021</c:v>
                </c:pt>
                <c:pt idx="335">
                  <c:v>2/19/2021</c:v>
                </c:pt>
                <c:pt idx="336">
                  <c:v>2/22/2021</c:v>
                </c:pt>
                <c:pt idx="337">
                  <c:v>2/23/2021</c:v>
                </c:pt>
                <c:pt idx="338">
                  <c:v>2/24/2021</c:v>
                </c:pt>
                <c:pt idx="339">
                  <c:v>2/25/2021</c:v>
                </c:pt>
                <c:pt idx="340">
                  <c:v>2/26/2021</c:v>
                </c:pt>
                <c:pt idx="341">
                  <c:v>3/1/2021</c:v>
                </c:pt>
                <c:pt idx="342">
                  <c:v>3/2/2021</c:v>
                </c:pt>
                <c:pt idx="343">
                  <c:v>3/3/2021</c:v>
                </c:pt>
                <c:pt idx="344">
                  <c:v>3/4/2021</c:v>
                </c:pt>
                <c:pt idx="345">
                  <c:v>3/5/2021</c:v>
                </c:pt>
                <c:pt idx="346">
                  <c:v>3/8/2021</c:v>
                </c:pt>
                <c:pt idx="347">
                  <c:v>3/9/2021</c:v>
                </c:pt>
                <c:pt idx="348">
                  <c:v>3/10/2021</c:v>
                </c:pt>
                <c:pt idx="349">
                  <c:v>3/11/2021</c:v>
                </c:pt>
                <c:pt idx="350">
                  <c:v>3/12/2021</c:v>
                </c:pt>
                <c:pt idx="351">
                  <c:v>3/15/2021</c:v>
                </c:pt>
                <c:pt idx="352">
                  <c:v>3/16/2021</c:v>
                </c:pt>
                <c:pt idx="353">
                  <c:v>3/17/2021</c:v>
                </c:pt>
                <c:pt idx="354">
                  <c:v>3/18/2021</c:v>
                </c:pt>
                <c:pt idx="355">
                  <c:v>3/19/2021</c:v>
                </c:pt>
                <c:pt idx="356">
                  <c:v>3/22/2021</c:v>
                </c:pt>
                <c:pt idx="357">
                  <c:v>3/23/2021</c:v>
                </c:pt>
                <c:pt idx="358">
                  <c:v>3/24/2021</c:v>
                </c:pt>
                <c:pt idx="359">
                  <c:v>3/25/2021</c:v>
                </c:pt>
                <c:pt idx="360">
                  <c:v>3/26/2021</c:v>
                </c:pt>
                <c:pt idx="361">
                  <c:v>3/29/2021</c:v>
                </c:pt>
                <c:pt idx="362">
                  <c:v>3/30/2021</c:v>
                </c:pt>
                <c:pt idx="363">
                  <c:v>3/31/2021</c:v>
                </c:pt>
                <c:pt idx="364">
                  <c:v>4/1/2021</c:v>
                </c:pt>
                <c:pt idx="365">
                  <c:v>4/5/2021</c:v>
                </c:pt>
                <c:pt idx="366">
                  <c:v>4/6/2021</c:v>
                </c:pt>
                <c:pt idx="367">
                  <c:v>4/7/2021</c:v>
                </c:pt>
                <c:pt idx="368">
                  <c:v>4/8/2021</c:v>
                </c:pt>
                <c:pt idx="369">
                  <c:v>4/9/2021</c:v>
                </c:pt>
                <c:pt idx="370">
                  <c:v>4/12/2021</c:v>
                </c:pt>
                <c:pt idx="371">
                  <c:v>4/13/2021</c:v>
                </c:pt>
                <c:pt idx="372">
                  <c:v>4/14/2021</c:v>
                </c:pt>
                <c:pt idx="373">
                  <c:v>4/15/2021</c:v>
                </c:pt>
                <c:pt idx="374">
                  <c:v>4/16/2021</c:v>
                </c:pt>
                <c:pt idx="375">
                  <c:v>4/19/2021</c:v>
                </c:pt>
                <c:pt idx="376">
                  <c:v>4/20/2021</c:v>
                </c:pt>
                <c:pt idx="377">
                  <c:v>4/21/2021</c:v>
                </c:pt>
                <c:pt idx="378">
                  <c:v>4/22/2021</c:v>
                </c:pt>
                <c:pt idx="379">
                  <c:v>4/23/2021</c:v>
                </c:pt>
                <c:pt idx="380">
                  <c:v>4/26/2021</c:v>
                </c:pt>
                <c:pt idx="381">
                  <c:v>4/27/2021</c:v>
                </c:pt>
                <c:pt idx="382">
                  <c:v>4/28/2021</c:v>
                </c:pt>
                <c:pt idx="383">
                  <c:v>4/29/2021</c:v>
                </c:pt>
                <c:pt idx="384">
                  <c:v>4/30/2021</c:v>
                </c:pt>
                <c:pt idx="385">
                  <c:v>5/3/2021</c:v>
                </c:pt>
                <c:pt idx="386">
                  <c:v>5/4/2021</c:v>
                </c:pt>
                <c:pt idx="387">
                  <c:v>5/5/2021</c:v>
                </c:pt>
                <c:pt idx="388">
                  <c:v>5/6/2021</c:v>
                </c:pt>
                <c:pt idx="389">
                  <c:v>5/7/2021</c:v>
                </c:pt>
                <c:pt idx="390">
                  <c:v>5/10/2021</c:v>
                </c:pt>
                <c:pt idx="391">
                  <c:v>5/11/2021</c:v>
                </c:pt>
                <c:pt idx="392">
                  <c:v>5/12/2021</c:v>
                </c:pt>
                <c:pt idx="393">
                  <c:v>5/13/2021</c:v>
                </c:pt>
                <c:pt idx="394">
                  <c:v>5/14/2021</c:v>
                </c:pt>
                <c:pt idx="395">
                  <c:v>5/17/2021</c:v>
                </c:pt>
                <c:pt idx="396">
                  <c:v>5/18/2021</c:v>
                </c:pt>
                <c:pt idx="397">
                  <c:v>5/19/2021</c:v>
                </c:pt>
                <c:pt idx="398">
                  <c:v>5/20/2021</c:v>
                </c:pt>
                <c:pt idx="399">
                  <c:v>5/21/2021</c:v>
                </c:pt>
                <c:pt idx="400">
                  <c:v>5/24/2021</c:v>
                </c:pt>
                <c:pt idx="401">
                  <c:v>5/25/2021</c:v>
                </c:pt>
                <c:pt idx="402">
                  <c:v>5/26/2021</c:v>
                </c:pt>
                <c:pt idx="403">
                  <c:v>5/27/2021</c:v>
                </c:pt>
                <c:pt idx="404">
                  <c:v>5/28/2021</c:v>
                </c:pt>
                <c:pt idx="405">
                  <c:v>5/31/2021</c:v>
                </c:pt>
                <c:pt idx="406">
                  <c:v>6/1/2021</c:v>
                </c:pt>
                <c:pt idx="407">
                  <c:v>6/2/2021</c:v>
                </c:pt>
                <c:pt idx="408">
                  <c:v>6/3/2021</c:v>
                </c:pt>
                <c:pt idx="409">
                  <c:v>6/4/2021</c:v>
                </c:pt>
                <c:pt idx="410">
                  <c:v>6/7/2021</c:v>
                </c:pt>
                <c:pt idx="411">
                  <c:v>6/8/2021</c:v>
                </c:pt>
                <c:pt idx="412">
                  <c:v>6/9/2021</c:v>
                </c:pt>
                <c:pt idx="413">
                  <c:v>6/10/2021</c:v>
                </c:pt>
                <c:pt idx="414">
                  <c:v>6/11/2021</c:v>
                </c:pt>
                <c:pt idx="415">
                  <c:v>6/14/2021</c:v>
                </c:pt>
                <c:pt idx="416">
                  <c:v>6/15/2021</c:v>
                </c:pt>
                <c:pt idx="417">
                  <c:v>6/16/2021</c:v>
                </c:pt>
                <c:pt idx="418">
                  <c:v>6/17/2021</c:v>
                </c:pt>
                <c:pt idx="419">
                  <c:v>6/18/2021</c:v>
                </c:pt>
                <c:pt idx="420">
                  <c:v>6/21/2021</c:v>
                </c:pt>
                <c:pt idx="421">
                  <c:v>6/22/2021</c:v>
                </c:pt>
                <c:pt idx="422">
                  <c:v>6/23/2021</c:v>
                </c:pt>
                <c:pt idx="423">
                  <c:v>6/24/2021</c:v>
                </c:pt>
                <c:pt idx="424">
                  <c:v>6/25/2021</c:v>
                </c:pt>
                <c:pt idx="425">
                  <c:v>6/28/2021</c:v>
                </c:pt>
                <c:pt idx="426">
                  <c:v>6/29/2021</c:v>
                </c:pt>
                <c:pt idx="427">
                  <c:v>6/30/2021</c:v>
                </c:pt>
                <c:pt idx="428">
                  <c:v>7/1/2021</c:v>
                </c:pt>
                <c:pt idx="429">
                  <c:v>7/2/2021</c:v>
                </c:pt>
                <c:pt idx="430">
                  <c:v>7/5/2021</c:v>
                </c:pt>
                <c:pt idx="431">
                  <c:v>7/6/2021</c:v>
                </c:pt>
                <c:pt idx="432">
                  <c:v>7/7/2021</c:v>
                </c:pt>
                <c:pt idx="433">
                  <c:v>7/8/2021</c:v>
                </c:pt>
                <c:pt idx="434">
                  <c:v>7/9/2021</c:v>
                </c:pt>
                <c:pt idx="435">
                  <c:v>7/12/2021</c:v>
                </c:pt>
                <c:pt idx="436">
                  <c:v>7/13/2021</c:v>
                </c:pt>
                <c:pt idx="437">
                  <c:v>7/14/2021</c:v>
                </c:pt>
                <c:pt idx="438">
                  <c:v>7/15/2021</c:v>
                </c:pt>
                <c:pt idx="439">
                  <c:v>7/16/2021</c:v>
                </c:pt>
                <c:pt idx="440">
                  <c:v>7/19/2021</c:v>
                </c:pt>
                <c:pt idx="441">
                  <c:v>7/20/2021</c:v>
                </c:pt>
                <c:pt idx="442">
                  <c:v>7/21/2021</c:v>
                </c:pt>
                <c:pt idx="443">
                  <c:v>7/22/2021</c:v>
                </c:pt>
                <c:pt idx="444">
                  <c:v>7/23/2021</c:v>
                </c:pt>
                <c:pt idx="445">
                  <c:v>7/26/2021</c:v>
                </c:pt>
                <c:pt idx="446">
                  <c:v>7/27/2021</c:v>
                </c:pt>
                <c:pt idx="447">
                  <c:v>7/28/2021</c:v>
                </c:pt>
                <c:pt idx="448">
                  <c:v>7/29/2021</c:v>
                </c:pt>
                <c:pt idx="449">
                  <c:v>7/30/2021</c:v>
                </c:pt>
                <c:pt idx="450">
                  <c:v>8/2/2021</c:v>
                </c:pt>
                <c:pt idx="451">
                  <c:v>8/3/2021</c:v>
                </c:pt>
                <c:pt idx="452">
                  <c:v>8/4/2021</c:v>
                </c:pt>
                <c:pt idx="453">
                  <c:v>8/5/2021</c:v>
                </c:pt>
                <c:pt idx="454">
                  <c:v>8/6/2021</c:v>
                </c:pt>
                <c:pt idx="455">
                  <c:v>8/9/2021</c:v>
                </c:pt>
                <c:pt idx="456">
                  <c:v>8/10/2021</c:v>
                </c:pt>
                <c:pt idx="457">
                  <c:v>8/11/2021</c:v>
                </c:pt>
                <c:pt idx="458">
                  <c:v>8/12/2021</c:v>
                </c:pt>
                <c:pt idx="459">
                  <c:v>8/13/2021</c:v>
                </c:pt>
                <c:pt idx="460">
                  <c:v>8/16/2021</c:v>
                </c:pt>
                <c:pt idx="461">
                  <c:v>8/17/2021</c:v>
                </c:pt>
                <c:pt idx="462">
                  <c:v>8/18/2021</c:v>
                </c:pt>
                <c:pt idx="463">
                  <c:v>8/19/2021</c:v>
                </c:pt>
                <c:pt idx="464">
                  <c:v>8/20/2021</c:v>
                </c:pt>
                <c:pt idx="465">
                  <c:v>8/23/2021</c:v>
                </c:pt>
                <c:pt idx="466">
                  <c:v>8/24/2021</c:v>
                </c:pt>
                <c:pt idx="467">
                  <c:v>8/25/2021</c:v>
                </c:pt>
                <c:pt idx="468">
                  <c:v>8/26/2021</c:v>
                </c:pt>
                <c:pt idx="469">
                  <c:v>8/27/2021</c:v>
                </c:pt>
                <c:pt idx="470">
                  <c:v>8/30/2021</c:v>
                </c:pt>
                <c:pt idx="471">
                  <c:v>8/31/2021</c:v>
                </c:pt>
                <c:pt idx="472">
                  <c:v>9/1/2021</c:v>
                </c:pt>
                <c:pt idx="473">
                  <c:v>9/2/2021</c:v>
                </c:pt>
                <c:pt idx="474">
                  <c:v>9/3/2021</c:v>
                </c:pt>
                <c:pt idx="475">
                  <c:v>9/6/2021</c:v>
                </c:pt>
                <c:pt idx="476">
                  <c:v>9/7/2021</c:v>
                </c:pt>
                <c:pt idx="477">
                  <c:v>9/8/2021</c:v>
                </c:pt>
                <c:pt idx="478">
                  <c:v>9/9/2021</c:v>
                </c:pt>
                <c:pt idx="479">
                  <c:v>9/10/2021</c:v>
                </c:pt>
                <c:pt idx="480">
                  <c:v>9/13/2021</c:v>
                </c:pt>
                <c:pt idx="481">
                  <c:v>9/14/2021</c:v>
                </c:pt>
                <c:pt idx="482">
                  <c:v>9/15/2021</c:v>
                </c:pt>
                <c:pt idx="483">
                  <c:v>9/16/2021</c:v>
                </c:pt>
                <c:pt idx="484">
                  <c:v>9/17/2021</c:v>
                </c:pt>
                <c:pt idx="485">
                  <c:v>9/20/2021</c:v>
                </c:pt>
                <c:pt idx="486">
                  <c:v>9/21/2021</c:v>
                </c:pt>
                <c:pt idx="487">
                  <c:v>9/22/2021</c:v>
                </c:pt>
                <c:pt idx="488">
                  <c:v>9/23/2021</c:v>
                </c:pt>
                <c:pt idx="489">
                  <c:v>9/24/2021</c:v>
                </c:pt>
                <c:pt idx="490">
                  <c:v>9/27/2021</c:v>
                </c:pt>
                <c:pt idx="491">
                  <c:v>9/28/2021</c:v>
                </c:pt>
                <c:pt idx="492">
                  <c:v>9/29/2021</c:v>
                </c:pt>
                <c:pt idx="493">
                  <c:v>9/30/2021</c:v>
                </c:pt>
                <c:pt idx="494">
                  <c:v>10/1/2021</c:v>
                </c:pt>
                <c:pt idx="495">
                  <c:v>10/4/2021</c:v>
                </c:pt>
                <c:pt idx="496">
                  <c:v>10/5/2021</c:v>
                </c:pt>
                <c:pt idx="497">
                  <c:v>10/6/2021</c:v>
                </c:pt>
                <c:pt idx="498">
                  <c:v>10/7/2021</c:v>
                </c:pt>
                <c:pt idx="499">
                  <c:v>10/8/2021</c:v>
                </c:pt>
                <c:pt idx="500">
                  <c:v>10/11/2021</c:v>
                </c:pt>
                <c:pt idx="501">
                  <c:v>10/12/2021</c:v>
                </c:pt>
                <c:pt idx="502">
                  <c:v>10/13/2021</c:v>
                </c:pt>
                <c:pt idx="503">
                  <c:v>10/14/2021</c:v>
                </c:pt>
                <c:pt idx="504">
                  <c:v>10/15/2021</c:v>
                </c:pt>
                <c:pt idx="505">
                  <c:v>10/18/2021</c:v>
                </c:pt>
                <c:pt idx="506">
                  <c:v>10/19/2021</c:v>
                </c:pt>
                <c:pt idx="507">
                  <c:v>10/20/2021</c:v>
                </c:pt>
                <c:pt idx="508">
                  <c:v>10/21/2021</c:v>
                </c:pt>
                <c:pt idx="509">
                  <c:v>10/22/2021</c:v>
                </c:pt>
                <c:pt idx="510">
                  <c:v>10/25/2021</c:v>
                </c:pt>
                <c:pt idx="511">
                  <c:v>10/26/2021</c:v>
                </c:pt>
                <c:pt idx="512">
                  <c:v>10/27/2021</c:v>
                </c:pt>
                <c:pt idx="513">
                  <c:v>10/28/2021</c:v>
                </c:pt>
                <c:pt idx="514">
                  <c:v>10/29/2021</c:v>
                </c:pt>
                <c:pt idx="515">
                  <c:v>11/1/2021</c:v>
                </c:pt>
                <c:pt idx="516">
                  <c:v>11/2/2021</c:v>
                </c:pt>
                <c:pt idx="517">
                  <c:v>11/3/2021</c:v>
                </c:pt>
                <c:pt idx="518">
                  <c:v>11/4/2021</c:v>
                </c:pt>
                <c:pt idx="519">
                  <c:v>11/5/2021</c:v>
                </c:pt>
                <c:pt idx="520">
                  <c:v>11/8/2021</c:v>
                </c:pt>
                <c:pt idx="521">
                  <c:v>11/9/2021</c:v>
                </c:pt>
                <c:pt idx="522">
                  <c:v>11/10/2021</c:v>
                </c:pt>
                <c:pt idx="523">
                  <c:v>11/11/2021</c:v>
                </c:pt>
                <c:pt idx="524">
                  <c:v>11/12/2021</c:v>
                </c:pt>
                <c:pt idx="525">
                  <c:v>11/15/2021</c:v>
                </c:pt>
                <c:pt idx="526">
                  <c:v>11/16/2021</c:v>
                </c:pt>
                <c:pt idx="527">
                  <c:v>11/17/2021</c:v>
                </c:pt>
                <c:pt idx="528">
                  <c:v>11/18/2021</c:v>
                </c:pt>
                <c:pt idx="529">
                  <c:v>11/19/2021</c:v>
                </c:pt>
                <c:pt idx="530">
                  <c:v>11/22/2021</c:v>
                </c:pt>
                <c:pt idx="531">
                  <c:v>11/23/2021</c:v>
                </c:pt>
                <c:pt idx="532">
                  <c:v>11/24/2021</c:v>
                </c:pt>
                <c:pt idx="533">
                  <c:v>11/25/2021</c:v>
                </c:pt>
                <c:pt idx="534">
                  <c:v>11/26/2021</c:v>
                </c:pt>
                <c:pt idx="535">
                  <c:v>11/29/2021</c:v>
                </c:pt>
                <c:pt idx="536">
                  <c:v>11/30/2021</c:v>
                </c:pt>
                <c:pt idx="537">
                  <c:v>12/1/2021</c:v>
                </c:pt>
                <c:pt idx="538">
                  <c:v>12/2/2021</c:v>
                </c:pt>
                <c:pt idx="539">
                  <c:v>12/3/2021</c:v>
                </c:pt>
                <c:pt idx="540">
                  <c:v>12/6/2021</c:v>
                </c:pt>
                <c:pt idx="541">
                  <c:v>12/7/2021</c:v>
                </c:pt>
                <c:pt idx="542">
                  <c:v>12/8/2021</c:v>
                </c:pt>
                <c:pt idx="543">
                  <c:v>12/9/2021</c:v>
                </c:pt>
                <c:pt idx="544">
                  <c:v>12/10/2021</c:v>
                </c:pt>
                <c:pt idx="545">
                  <c:v>12/13/2021</c:v>
                </c:pt>
                <c:pt idx="546">
                  <c:v>12/14/2021</c:v>
                </c:pt>
                <c:pt idx="547">
                  <c:v>12/15/2021</c:v>
                </c:pt>
                <c:pt idx="548">
                  <c:v>12/16/2021</c:v>
                </c:pt>
                <c:pt idx="549">
                  <c:v>12/17/2021</c:v>
                </c:pt>
                <c:pt idx="550">
                  <c:v>12/20/2021</c:v>
                </c:pt>
                <c:pt idx="551">
                  <c:v>12/21/2021</c:v>
                </c:pt>
                <c:pt idx="552">
                  <c:v>12/22/2021</c:v>
                </c:pt>
                <c:pt idx="553">
                  <c:v>12/23/2021</c:v>
                </c:pt>
                <c:pt idx="554">
                  <c:v>12/24/2021</c:v>
                </c:pt>
                <c:pt idx="555">
                  <c:v>12/27/2021</c:v>
                </c:pt>
                <c:pt idx="556">
                  <c:v>12/28/2021</c:v>
                </c:pt>
                <c:pt idx="557">
                  <c:v>12/29/2021</c:v>
                </c:pt>
                <c:pt idx="558">
                  <c:v>12/30/2021</c:v>
                </c:pt>
                <c:pt idx="559">
                  <c:v>12/31/2021</c:v>
                </c:pt>
                <c:pt idx="560">
                  <c:v>1/3/2022</c:v>
                </c:pt>
                <c:pt idx="561">
                  <c:v>1/4/2022</c:v>
                </c:pt>
                <c:pt idx="562">
                  <c:v>1/5/2022</c:v>
                </c:pt>
                <c:pt idx="563">
                  <c:v>1/6/2022</c:v>
                </c:pt>
                <c:pt idx="564">
                  <c:v>1/7/2022</c:v>
                </c:pt>
                <c:pt idx="565">
                  <c:v>1/10/2022</c:v>
                </c:pt>
                <c:pt idx="566">
                  <c:v>1/11/2022</c:v>
                </c:pt>
                <c:pt idx="567">
                  <c:v>1/12/2022</c:v>
                </c:pt>
                <c:pt idx="568">
                  <c:v>1/13/2022</c:v>
                </c:pt>
                <c:pt idx="569">
                  <c:v>1/14/2022</c:v>
                </c:pt>
                <c:pt idx="570">
                  <c:v>1/17/2022</c:v>
                </c:pt>
                <c:pt idx="571">
                  <c:v>1/18/2022</c:v>
                </c:pt>
                <c:pt idx="572">
                  <c:v>1/19/2022</c:v>
                </c:pt>
                <c:pt idx="573">
                  <c:v>1/20/2022</c:v>
                </c:pt>
                <c:pt idx="574">
                  <c:v>1/21/2022</c:v>
                </c:pt>
                <c:pt idx="575">
                  <c:v>1/24/2022</c:v>
                </c:pt>
                <c:pt idx="576">
                  <c:v>1/25/2022</c:v>
                </c:pt>
                <c:pt idx="577">
                  <c:v>1/26/2022</c:v>
                </c:pt>
                <c:pt idx="578">
                  <c:v>1/27/2022</c:v>
                </c:pt>
                <c:pt idx="579">
                  <c:v>1/28/2022</c:v>
                </c:pt>
                <c:pt idx="580">
                  <c:v>1/31/2022</c:v>
                </c:pt>
                <c:pt idx="581">
                  <c:v>2/1/2022</c:v>
                </c:pt>
                <c:pt idx="582">
                  <c:v>2/2/2022</c:v>
                </c:pt>
                <c:pt idx="583">
                  <c:v>2/3/2022</c:v>
                </c:pt>
                <c:pt idx="584">
                  <c:v>2/4/2022</c:v>
                </c:pt>
                <c:pt idx="585">
                  <c:v>2/7/2022</c:v>
                </c:pt>
                <c:pt idx="586">
                  <c:v>2/8/2022</c:v>
                </c:pt>
                <c:pt idx="587">
                  <c:v>2/9/2022</c:v>
                </c:pt>
                <c:pt idx="588">
                  <c:v>2/10/2022</c:v>
                </c:pt>
                <c:pt idx="589">
                  <c:v>2/11/2022</c:v>
                </c:pt>
                <c:pt idx="590">
                  <c:v>2/14/2022</c:v>
                </c:pt>
                <c:pt idx="591">
                  <c:v>2/15/2022</c:v>
                </c:pt>
                <c:pt idx="592">
                  <c:v>2/16/2022</c:v>
                </c:pt>
                <c:pt idx="593">
                  <c:v>2/17/2022</c:v>
                </c:pt>
                <c:pt idx="594">
                  <c:v>2/18/2022</c:v>
                </c:pt>
                <c:pt idx="595">
                  <c:v>2/21/2022</c:v>
                </c:pt>
                <c:pt idx="596">
                  <c:v>2/22/2022</c:v>
                </c:pt>
                <c:pt idx="597">
                  <c:v>2/23/2022</c:v>
                </c:pt>
                <c:pt idx="598">
                  <c:v>2/24/2022</c:v>
                </c:pt>
                <c:pt idx="599">
                  <c:v>2/25/2022</c:v>
                </c:pt>
                <c:pt idx="600">
                  <c:v>2/28/2022</c:v>
                </c:pt>
                <c:pt idx="601">
                  <c:v>3/1/2022</c:v>
                </c:pt>
                <c:pt idx="602">
                  <c:v>3/2/2022</c:v>
                </c:pt>
                <c:pt idx="603">
                  <c:v>3/3/2022</c:v>
                </c:pt>
                <c:pt idx="604">
                  <c:v>3/4/2022</c:v>
                </c:pt>
                <c:pt idx="605">
                  <c:v>3/7/2022</c:v>
                </c:pt>
                <c:pt idx="606">
                  <c:v>3/8/2022</c:v>
                </c:pt>
                <c:pt idx="607">
                  <c:v>3/9/2022</c:v>
                </c:pt>
                <c:pt idx="608">
                  <c:v>3/10/2022</c:v>
                </c:pt>
                <c:pt idx="609">
                  <c:v>3/11/2022</c:v>
                </c:pt>
                <c:pt idx="610">
                  <c:v>3/14/2022</c:v>
                </c:pt>
                <c:pt idx="611">
                  <c:v>3/15/2022</c:v>
                </c:pt>
                <c:pt idx="612">
                  <c:v>3/16/2022</c:v>
                </c:pt>
                <c:pt idx="613">
                  <c:v>3/17/2022</c:v>
                </c:pt>
                <c:pt idx="614">
                  <c:v>3/18/2022</c:v>
                </c:pt>
                <c:pt idx="615">
                  <c:v>3/21/2022</c:v>
                </c:pt>
                <c:pt idx="616">
                  <c:v>3/22/2022</c:v>
                </c:pt>
                <c:pt idx="617">
                  <c:v>3/23/2022</c:v>
                </c:pt>
                <c:pt idx="618">
                  <c:v>3/24/2022</c:v>
                </c:pt>
                <c:pt idx="619">
                  <c:v>3/25/2022</c:v>
                </c:pt>
                <c:pt idx="620">
                  <c:v>3/28/2022</c:v>
                </c:pt>
                <c:pt idx="621">
                  <c:v>3/29/2022</c:v>
                </c:pt>
                <c:pt idx="622">
                  <c:v>3/30/2022</c:v>
                </c:pt>
                <c:pt idx="623">
                  <c:v>3/31/2022</c:v>
                </c:pt>
                <c:pt idx="624">
                  <c:v>4/1/2022</c:v>
                </c:pt>
                <c:pt idx="625">
                  <c:v>4/4/2022</c:v>
                </c:pt>
                <c:pt idx="626">
                  <c:v>4/5/2022</c:v>
                </c:pt>
                <c:pt idx="627">
                  <c:v>4/6/2022</c:v>
                </c:pt>
                <c:pt idx="628">
                  <c:v>4/7/2022</c:v>
                </c:pt>
                <c:pt idx="629">
                  <c:v>4/8/2022</c:v>
                </c:pt>
                <c:pt idx="630">
                  <c:v>4/11/2022</c:v>
                </c:pt>
                <c:pt idx="631">
                  <c:v>4/12/2022</c:v>
                </c:pt>
                <c:pt idx="632">
                  <c:v>4/13/2022</c:v>
                </c:pt>
                <c:pt idx="633">
                  <c:v>4/14/2022</c:v>
                </c:pt>
                <c:pt idx="634">
                  <c:v>4/18/2022</c:v>
                </c:pt>
                <c:pt idx="635">
                  <c:v>4/19/2022</c:v>
                </c:pt>
                <c:pt idx="636">
                  <c:v>4/20/2022</c:v>
                </c:pt>
                <c:pt idx="637">
                  <c:v>4/21/2022</c:v>
                </c:pt>
                <c:pt idx="638">
                  <c:v>4/22/2022</c:v>
                </c:pt>
                <c:pt idx="639">
                  <c:v>4/25/2022</c:v>
                </c:pt>
                <c:pt idx="640">
                  <c:v>4/26/2022</c:v>
                </c:pt>
                <c:pt idx="641">
                  <c:v>4/27/2022</c:v>
                </c:pt>
                <c:pt idx="642">
                  <c:v>4/28/2022</c:v>
                </c:pt>
                <c:pt idx="643">
                  <c:v>4/29/2022</c:v>
                </c:pt>
                <c:pt idx="644">
                  <c:v>5/2/2022</c:v>
                </c:pt>
                <c:pt idx="645">
                  <c:v>5/3/2022</c:v>
                </c:pt>
                <c:pt idx="646">
                  <c:v>5/4/2022</c:v>
                </c:pt>
                <c:pt idx="647">
                  <c:v>5/5/2022</c:v>
                </c:pt>
                <c:pt idx="648">
                  <c:v>5/6/2022</c:v>
                </c:pt>
                <c:pt idx="649">
                  <c:v>5/9/2022</c:v>
                </c:pt>
                <c:pt idx="650">
                  <c:v>5/10/2022</c:v>
                </c:pt>
                <c:pt idx="651">
                  <c:v>5/11/2022</c:v>
                </c:pt>
                <c:pt idx="652">
                  <c:v>5/12/2022</c:v>
                </c:pt>
                <c:pt idx="653">
                  <c:v>5/13/2022</c:v>
                </c:pt>
                <c:pt idx="654">
                  <c:v>5/16/2022</c:v>
                </c:pt>
                <c:pt idx="655">
                  <c:v>5/17/2022</c:v>
                </c:pt>
                <c:pt idx="656">
                  <c:v>5/18/2022</c:v>
                </c:pt>
                <c:pt idx="657">
                  <c:v>5/19/2022</c:v>
                </c:pt>
                <c:pt idx="658">
                  <c:v>5/20/2022</c:v>
                </c:pt>
                <c:pt idx="659">
                  <c:v>5/23/2022</c:v>
                </c:pt>
                <c:pt idx="660">
                  <c:v>5/24/2022</c:v>
                </c:pt>
                <c:pt idx="661">
                  <c:v>5/25/2022</c:v>
                </c:pt>
                <c:pt idx="662">
                  <c:v>5/26/2022</c:v>
                </c:pt>
                <c:pt idx="663">
                  <c:v>5/27/2022</c:v>
                </c:pt>
                <c:pt idx="664">
                  <c:v>5/30/2022</c:v>
                </c:pt>
                <c:pt idx="665">
                  <c:v>5/31/2022</c:v>
                </c:pt>
                <c:pt idx="666">
                  <c:v>6/1/2022</c:v>
                </c:pt>
                <c:pt idx="667">
                  <c:v>6/2/2022</c:v>
                </c:pt>
                <c:pt idx="668">
                  <c:v>6/3/2022</c:v>
                </c:pt>
                <c:pt idx="669">
                  <c:v>6/6/2022</c:v>
                </c:pt>
                <c:pt idx="670">
                  <c:v>6/7/2022</c:v>
                </c:pt>
                <c:pt idx="671">
                  <c:v>6/8/2022</c:v>
                </c:pt>
                <c:pt idx="672">
                  <c:v>6/9/2022</c:v>
                </c:pt>
                <c:pt idx="673">
                  <c:v>6/10/2022</c:v>
                </c:pt>
                <c:pt idx="674">
                  <c:v>6/13/2022</c:v>
                </c:pt>
                <c:pt idx="675">
                  <c:v>6/14/2022</c:v>
                </c:pt>
                <c:pt idx="676">
                  <c:v>6/15/2022</c:v>
                </c:pt>
                <c:pt idx="677">
                  <c:v>6/16/2022</c:v>
                </c:pt>
                <c:pt idx="678">
                  <c:v>6/17/2022</c:v>
                </c:pt>
                <c:pt idx="679">
                  <c:v>6/21/2022</c:v>
                </c:pt>
                <c:pt idx="680">
                  <c:v>6/22/2022</c:v>
                </c:pt>
                <c:pt idx="681">
                  <c:v>6/23/2022</c:v>
                </c:pt>
                <c:pt idx="682">
                  <c:v>6/24/2022</c:v>
                </c:pt>
                <c:pt idx="683">
                  <c:v>6/27/2022</c:v>
                </c:pt>
              </c:strCache>
            </c:strRef>
          </c:cat>
          <c:val>
            <c:numRef>
              <c:f>'Crude to Gas Correlation '!$C$4:$C$688</c:f>
              <c:numCache>
                <c:formatCode>"$"#,##0.00</c:formatCode>
                <c:ptCount val="684"/>
                <c:pt idx="0">
                  <c:v>1.5871</c:v>
                </c:pt>
                <c:pt idx="1">
                  <c:v>1.6233</c:v>
                </c:pt>
                <c:pt idx="2">
                  <c:v>1.6388</c:v>
                </c:pt>
                <c:pt idx="3">
                  <c:v>1.5702</c:v>
                </c:pt>
                <c:pt idx="4">
                  <c:v>1.5704</c:v>
                </c:pt>
                <c:pt idx="5">
                  <c:v>1.5842000000000001</c:v>
                </c:pt>
                <c:pt idx="6">
                  <c:v>1.5819000000000001</c:v>
                </c:pt>
                <c:pt idx="7">
                  <c:v>1.5778000000000001</c:v>
                </c:pt>
                <c:pt idx="8">
                  <c:v>1.5637000000000001</c:v>
                </c:pt>
                <c:pt idx="9">
                  <c:v>1.569</c:v>
                </c:pt>
                <c:pt idx="10">
                  <c:v>1.6133</c:v>
                </c:pt>
                <c:pt idx="11">
                  <c:v>1.6258999999999999</c:v>
                </c:pt>
                <c:pt idx="12">
                  <c:v>1.6355999999999999</c:v>
                </c:pt>
                <c:pt idx="13">
                  <c:v>1.6344000000000001</c:v>
                </c:pt>
                <c:pt idx="14">
                  <c:v>1.6415999999999999</c:v>
                </c:pt>
                <c:pt idx="15">
                  <c:v>1.6645000000000001</c:v>
                </c:pt>
                <c:pt idx="16">
                  <c:v>1.5946</c:v>
                </c:pt>
                <c:pt idx="17">
                  <c:v>1.6556999999999999</c:v>
                </c:pt>
                <c:pt idx="18">
                  <c:v>1.6637</c:v>
                </c:pt>
                <c:pt idx="19">
                  <c:v>1.6746000000000001</c:v>
                </c:pt>
                <c:pt idx="20">
                  <c:v>1.6262000000000001</c:v>
                </c:pt>
                <c:pt idx="21">
                  <c:v>1.6355</c:v>
                </c:pt>
                <c:pt idx="22">
                  <c:v>1.6336999999999999</c:v>
                </c:pt>
                <c:pt idx="23">
                  <c:v>1.6099000000000001</c:v>
                </c:pt>
                <c:pt idx="24">
                  <c:v>1.6144000000000001</c:v>
                </c:pt>
                <c:pt idx="25">
                  <c:v>1.6309</c:v>
                </c:pt>
                <c:pt idx="26">
                  <c:v>1.6115999999999999</c:v>
                </c:pt>
                <c:pt idx="27">
                  <c:v>1.6308</c:v>
                </c:pt>
                <c:pt idx="28">
                  <c:v>1.6160000000000001</c:v>
                </c:pt>
                <c:pt idx="29">
                  <c:v>1.6036999999999999</c:v>
                </c:pt>
                <c:pt idx="30">
                  <c:v>1.6563000000000001</c:v>
                </c:pt>
                <c:pt idx="31">
                  <c:v>1.6982999999999999</c:v>
                </c:pt>
                <c:pt idx="32">
                  <c:v>1.6742999999999999</c:v>
                </c:pt>
                <c:pt idx="33">
                  <c:v>1.6715</c:v>
                </c:pt>
                <c:pt idx="34">
                  <c:v>1.6976</c:v>
                </c:pt>
                <c:pt idx="35">
                  <c:v>1.6792</c:v>
                </c:pt>
                <c:pt idx="36">
                  <c:v>1.591</c:v>
                </c:pt>
                <c:pt idx="37">
                  <c:v>1.5732999999999999</c:v>
                </c:pt>
                <c:pt idx="38">
                  <c:v>1.5629</c:v>
                </c:pt>
                <c:pt idx="39">
                  <c:v>1.6042000000000001</c:v>
                </c:pt>
                <c:pt idx="40">
                  <c:v>1.6211</c:v>
                </c:pt>
                <c:pt idx="41">
                  <c:v>1.6474</c:v>
                </c:pt>
                <c:pt idx="42">
                  <c:v>1.6548</c:v>
                </c:pt>
                <c:pt idx="43">
                  <c:v>1.6525000000000001</c:v>
                </c:pt>
                <c:pt idx="44">
                  <c:v>1.6261000000000001</c:v>
                </c:pt>
                <c:pt idx="45">
                  <c:v>1.6283000000000001</c:v>
                </c:pt>
                <c:pt idx="46">
                  <c:v>1.6632</c:v>
                </c:pt>
                <c:pt idx="47">
                  <c:v>1.6677999999999999</c:v>
                </c:pt>
                <c:pt idx="48">
                  <c:v>1.6899</c:v>
                </c:pt>
                <c:pt idx="49">
                  <c:v>1.6904999999999999</c:v>
                </c:pt>
                <c:pt idx="50">
                  <c:v>1.7097</c:v>
                </c:pt>
                <c:pt idx="51">
                  <c:v>1.7072000000000001</c:v>
                </c:pt>
                <c:pt idx="52">
                  <c:v>1.7064999999999999</c:v>
                </c:pt>
                <c:pt idx="53">
                  <c:v>1.7274</c:v>
                </c:pt>
                <c:pt idx="54">
                  <c:v>1.7539</c:v>
                </c:pt>
                <c:pt idx="55">
                  <c:v>1.7446999999999999</c:v>
                </c:pt>
                <c:pt idx="56">
                  <c:v>1.724</c:v>
                </c:pt>
                <c:pt idx="57">
                  <c:v>1.6904999999999999</c:v>
                </c:pt>
                <c:pt idx="58">
                  <c:v>1.7041999999999999</c:v>
                </c:pt>
                <c:pt idx="59">
                  <c:v>1.7487999999999999</c:v>
                </c:pt>
                <c:pt idx="60">
                  <c:v>1.7544</c:v>
                </c:pt>
                <c:pt idx="61">
                  <c:v>1.7222</c:v>
                </c:pt>
                <c:pt idx="62">
                  <c:v>1.6488</c:v>
                </c:pt>
                <c:pt idx="63">
                  <c:v>1.6527000000000001</c:v>
                </c:pt>
                <c:pt idx="64">
                  <c:v>1.6596</c:v>
                </c:pt>
                <c:pt idx="65">
                  <c:v>1.6573</c:v>
                </c:pt>
                <c:pt idx="66">
                  <c:v>1.6641999999999999</c:v>
                </c:pt>
                <c:pt idx="67">
                  <c:v>1.6492</c:v>
                </c:pt>
                <c:pt idx="68">
                  <c:v>1.667</c:v>
                </c:pt>
                <c:pt idx="69">
                  <c:v>1.6549</c:v>
                </c:pt>
                <c:pt idx="70">
                  <c:v>1.6365000000000001</c:v>
                </c:pt>
                <c:pt idx="71">
                  <c:v>1.5933999999999999</c:v>
                </c:pt>
                <c:pt idx="72">
                  <c:v>1.573</c:v>
                </c:pt>
                <c:pt idx="73">
                  <c:v>1.5259</c:v>
                </c:pt>
                <c:pt idx="74">
                  <c:v>1.4930000000000001</c:v>
                </c:pt>
                <c:pt idx="75">
                  <c:v>1.5143</c:v>
                </c:pt>
                <c:pt idx="76">
                  <c:v>1.5407999999999999</c:v>
                </c:pt>
                <c:pt idx="77">
                  <c:v>1.5055000000000001</c:v>
                </c:pt>
                <c:pt idx="78">
                  <c:v>1.5041</c:v>
                </c:pt>
                <c:pt idx="79">
                  <c:v>1.4737</c:v>
                </c:pt>
                <c:pt idx="80">
                  <c:v>1.4432</c:v>
                </c:pt>
                <c:pt idx="81">
                  <c:v>1.4863</c:v>
                </c:pt>
                <c:pt idx="82">
                  <c:v>1.498</c:v>
                </c:pt>
                <c:pt idx="83">
                  <c:v>1.5239</c:v>
                </c:pt>
                <c:pt idx="84">
                  <c:v>1.5213000000000001</c:v>
                </c:pt>
                <c:pt idx="85">
                  <c:v>1.5142</c:v>
                </c:pt>
                <c:pt idx="86">
                  <c:v>1.581</c:v>
                </c:pt>
                <c:pt idx="87">
                  <c:v>1.7226999999999999</c:v>
                </c:pt>
                <c:pt idx="88">
                  <c:v>1.5832999999999999</c:v>
                </c:pt>
                <c:pt idx="89">
                  <c:v>1.6148</c:v>
                </c:pt>
                <c:pt idx="90">
                  <c:v>1.7819</c:v>
                </c:pt>
                <c:pt idx="91">
                  <c:v>1.7845</c:v>
                </c:pt>
                <c:pt idx="92">
                  <c:v>1.7612000000000001</c:v>
                </c:pt>
                <c:pt idx="93">
                  <c:v>1.7132000000000001</c:v>
                </c:pt>
                <c:pt idx="94">
                  <c:v>1.6418999999999999</c:v>
                </c:pt>
                <c:pt idx="95">
                  <c:v>1.5645</c:v>
                </c:pt>
                <c:pt idx="96">
                  <c:v>1.5206</c:v>
                </c:pt>
                <c:pt idx="97">
                  <c:v>1.4827999999999999</c:v>
                </c:pt>
                <c:pt idx="98">
                  <c:v>1.5396000000000001</c:v>
                </c:pt>
                <c:pt idx="99">
                  <c:v>1.5313000000000001</c:v>
                </c:pt>
                <c:pt idx="100">
                  <c:v>1.5555000000000001</c:v>
                </c:pt>
                <c:pt idx="101">
                  <c:v>1.5218</c:v>
                </c:pt>
                <c:pt idx="102">
                  <c:v>1.389</c:v>
                </c:pt>
                <c:pt idx="103">
                  <c:v>1.1369</c:v>
                </c:pt>
                <c:pt idx="104">
                  <c:v>1.1571</c:v>
                </c:pt>
                <c:pt idx="105">
                  <c:v>1.1103000000000001</c:v>
                </c:pt>
                <c:pt idx="106">
                  <c:v>0.91900000000000004</c:v>
                </c:pt>
                <c:pt idx="107">
                  <c:v>0.91349999999999998</c:v>
                </c:pt>
                <c:pt idx="108">
                  <c:v>0.70169999999999999</c:v>
                </c:pt>
                <c:pt idx="109">
                  <c:v>0.71140000000000003</c:v>
                </c:pt>
                <c:pt idx="110">
                  <c:v>0.64590000000000003</c:v>
                </c:pt>
                <c:pt idx="111">
                  <c:v>0.69320000000000004</c:v>
                </c:pt>
                <c:pt idx="112">
                  <c:v>0.60540000000000005</c:v>
                </c:pt>
                <c:pt idx="113">
                  <c:v>0.49469999999999997</c:v>
                </c:pt>
                <c:pt idx="114">
                  <c:v>0.51049999999999995</c:v>
                </c:pt>
                <c:pt idx="115">
                  <c:v>0.60540000000000005</c:v>
                </c:pt>
                <c:pt idx="116">
                  <c:v>0.59799999999999998</c:v>
                </c:pt>
                <c:pt idx="117">
                  <c:v>0.61360000000000003</c:v>
                </c:pt>
                <c:pt idx="118">
                  <c:v>0.61680000000000001</c:v>
                </c:pt>
                <c:pt idx="119">
                  <c:v>0.5927</c:v>
                </c:pt>
                <c:pt idx="120">
                  <c:v>0.54649999999999999</c:v>
                </c:pt>
                <c:pt idx="121">
                  <c:v>0.66279999999999994</c:v>
                </c:pt>
                <c:pt idx="122">
                  <c:v>0.69159999999999999</c:v>
                </c:pt>
                <c:pt idx="123">
                  <c:v>0.7016</c:v>
                </c:pt>
                <c:pt idx="124">
                  <c:v>0.6482</c:v>
                </c:pt>
                <c:pt idx="125">
                  <c:v>0.67800000000000005</c:v>
                </c:pt>
                <c:pt idx="126">
                  <c:v>0.67730000000000001</c:v>
                </c:pt>
                <c:pt idx="127">
                  <c:v>0.70330000000000004</c:v>
                </c:pt>
                <c:pt idx="128">
                  <c:v>0.72</c:v>
                </c:pt>
                <c:pt idx="129">
                  <c:v>0.72040000000000004</c:v>
                </c:pt>
                <c:pt idx="130">
                  <c:v>0.75690000000000002</c:v>
                </c:pt>
                <c:pt idx="131">
                  <c:v>0.76459999999999995</c:v>
                </c:pt>
                <c:pt idx="132">
                  <c:v>0.72550000000000003</c:v>
                </c:pt>
                <c:pt idx="133">
                  <c:v>0.62529999999999997</c:v>
                </c:pt>
                <c:pt idx="134">
                  <c:v>0.6875</c:v>
                </c:pt>
                <c:pt idx="135">
                  <c:v>0.68210000000000004</c:v>
                </c:pt>
                <c:pt idx="136">
                  <c:v>0.70009999999999994</c:v>
                </c:pt>
                <c:pt idx="137">
                  <c:v>0.68489999999999995</c:v>
                </c:pt>
                <c:pt idx="138">
                  <c:v>0.70399999999999996</c:v>
                </c:pt>
                <c:pt idx="139">
                  <c:v>0.72719999999999996</c:v>
                </c:pt>
                <c:pt idx="140">
                  <c:v>0.78369999999999995</c:v>
                </c:pt>
                <c:pt idx="141">
                  <c:v>0.76629999999999998</c:v>
                </c:pt>
                <c:pt idx="142">
                  <c:v>0.82150000000000001</c:v>
                </c:pt>
                <c:pt idx="143">
                  <c:v>0.90129999999999999</c:v>
                </c:pt>
                <c:pt idx="144">
                  <c:v>0.87690000000000001</c:v>
                </c:pt>
                <c:pt idx="145">
                  <c:v>0.93140000000000001</c:v>
                </c:pt>
                <c:pt idx="146">
                  <c:v>0.95220000000000005</c:v>
                </c:pt>
                <c:pt idx="147">
                  <c:v>0.92420000000000002</c:v>
                </c:pt>
                <c:pt idx="148">
                  <c:v>0.93630000000000002</c:v>
                </c:pt>
                <c:pt idx="149">
                  <c:v>0.88180000000000003</c:v>
                </c:pt>
                <c:pt idx="150">
                  <c:v>0.93689999999999996</c:v>
                </c:pt>
                <c:pt idx="151">
                  <c:v>0.98380000000000001</c:v>
                </c:pt>
                <c:pt idx="152">
                  <c:v>1.0426</c:v>
                </c:pt>
                <c:pt idx="153">
                  <c:v>1.0549999999999999</c:v>
                </c:pt>
                <c:pt idx="154">
                  <c:v>1.0438000000000001</c:v>
                </c:pt>
                <c:pt idx="155">
                  <c:v>1.0618000000000001</c:v>
                </c:pt>
                <c:pt idx="156">
                  <c:v>1.0518000000000001</c:v>
                </c:pt>
                <c:pt idx="157">
                  <c:v>1.0648</c:v>
                </c:pt>
                <c:pt idx="158">
                  <c:v>1.0177</c:v>
                </c:pt>
                <c:pt idx="159">
                  <c:v>1.026</c:v>
                </c:pt>
                <c:pt idx="160">
                  <c:v>1.0785</c:v>
                </c:pt>
                <c:pt idx="161">
                  <c:v>1.0667</c:v>
                </c:pt>
                <c:pt idx="162">
                  <c:v>1.1183000000000001</c:v>
                </c:pt>
                <c:pt idx="163">
                  <c:v>1.1193</c:v>
                </c:pt>
                <c:pt idx="164">
                  <c:v>1.149</c:v>
                </c:pt>
                <c:pt idx="165">
                  <c:v>1.2136</c:v>
                </c:pt>
                <c:pt idx="166">
                  <c:v>1.1950000000000001</c:v>
                </c:pt>
                <c:pt idx="167">
                  <c:v>1.2102999999999999</c:v>
                </c:pt>
                <c:pt idx="168">
                  <c:v>1.2099</c:v>
                </c:pt>
                <c:pt idx="169">
                  <c:v>1.1188</c:v>
                </c:pt>
                <c:pt idx="170">
                  <c:v>1.1367</c:v>
                </c:pt>
                <c:pt idx="171">
                  <c:v>1.1732</c:v>
                </c:pt>
                <c:pt idx="172">
                  <c:v>1.2149000000000001</c:v>
                </c:pt>
                <c:pt idx="173">
                  <c:v>1.2219</c:v>
                </c:pt>
                <c:pt idx="174">
                  <c:v>1.2575000000000001</c:v>
                </c:pt>
                <c:pt idx="175">
                  <c:v>1.2709999999999999</c:v>
                </c:pt>
                <c:pt idx="176">
                  <c:v>1.2904</c:v>
                </c:pt>
                <c:pt idx="177">
                  <c:v>1.2983</c:v>
                </c:pt>
                <c:pt idx="178">
                  <c:v>1.1992</c:v>
                </c:pt>
                <c:pt idx="179">
                  <c:v>1.1972</c:v>
                </c:pt>
                <c:pt idx="180">
                  <c:v>1.1569</c:v>
                </c:pt>
                <c:pt idx="181">
                  <c:v>1.1878</c:v>
                </c:pt>
                <c:pt idx="182">
                  <c:v>1.2015</c:v>
                </c:pt>
                <c:pt idx="183">
                  <c:v>1.2169000000000001</c:v>
                </c:pt>
                <c:pt idx="184">
                  <c:v>1.2592000000000001</c:v>
                </c:pt>
                <c:pt idx="185">
                  <c:v>1.2407999999999999</c:v>
                </c:pt>
                <c:pt idx="186">
                  <c:v>1.2749999999999999</c:v>
                </c:pt>
                <c:pt idx="187">
                  <c:v>1.2908999999999999</c:v>
                </c:pt>
                <c:pt idx="188">
                  <c:v>1.2504999999999999</c:v>
                </c:pt>
                <c:pt idx="189">
                  <c:v>1.2830999999999999</c:v>
                </c:pt>
                <c:pt idx="190">
                  <c:v>1.2471000000000001</c:v>
                </c:pt>
                <c:pt idx="191">
                  <c:v>1.2262</c:v>
                </c:pt>
                <c:pt idx="192">
                  <c:v>1.2427999999999999</c:v>
                </c:pt>
                <c:pt idx="193">
                  <c:v>1.2157</c:v>
                </c:pt>
                <c:pt idx="194">
                  <c:v>1.2061999999999999</c:v>
                </c:pt>
                <c:pt idx="195">
                  <c:v>1.2131000000000001</c:v>
                </c:pt>
                <c:pt idx="196">
                  <c:v>1.2604</c:v>
                </c:pt>
                <c:pt idx="197">
                  <c:v>1.2603</c:v>
                </c:pt>
                <c:pt idx="198">
                  <c:v>1.2363</c:v>
                </c:pt>
                <c:pt idx="199">
                  <c:v>1.256</c:v>
                </c:pt>
                <c:pt idx="200">
                  <c:v>1.2446999999999999</c:v>
                </c:pt>
                <c:pt idx="201">
                  <c:v>1.2352000000000001</c:v>
                </c:pt>
                <c:pt idx="202">
                  <c:v>1.2132000000000001</c:v>
                </c:pt>
                <c:pt idx="203">
                  <c:v>1.1908000000000001</c:v>
                </c:pt>
                <c:pt idx="204">
                  <c:v>1.1711</c:v>
                </c:pt>
                <c:pt idx="205">
                  <c:v>1.2131000000000001</c:v>
                </c:pt>
                <c:pt idx="206">
                  <c:v>1.2142999999999999</c:v>
                </c:pt>
                <c:pt idx="207">
                  <c:v>1.2228000000000001</c:v>
                </c:pt>
                <c:pt idx="208">
                  <c:v>1.2281</c:v>
                </c:pt>
                <c:pt idx="209">
                  <c:v>1.2076</c:v>
                </c:pt>
                <c:pt idx="210">
                  <c:v>1.2293000000000001</c:v>
                </c:pt>
                <c:pt idx="211">
                  <c:v>1.2044999999999999</c:v>
                </c:pt>
                <c:pt idx="212">
                  <c:v>1.1858</c:v>
                </c:pt>
                <c:pt idx="213">
                  <c:v>1.1789000000000001</c:v>
                </c:pt>
                <c:pt idx="214">
                  <c:v>1.1879999999999999</c:v>
                </c:pt>
                <c:pt idx="215">
                  <c:v>1.2134</c:v>
                </c:pt>
                <c:pt idx="216">
                  <c:v>1.2249000000000001</c:v>
                </c:pt>
                <c:pt idx="217">
                  <c:v>1.2284999999999999</c:v>
                </c:pt>
                <c:pt idx="218">
                  <c:v>1.2263999999999999</c:v>
                </c:pt>
                <c:pt idx="219">
                  <c:v>1.2130000000000001</c:v>
                </c:pt>
                <c:pt idx="220">
                  <c:v>1.2598</c:v>
                </c:pt>
                <c:pt idx="221">
                  <c:v>1.2685</c:v>
                </c:pt>
                <c:pt idx="222">
                  <c:v>1.2634000000000001</c:v>
                </c:pt>
                <c:pt idx="223">
                  <c:v>1.2181999999999999</c:v>
                </c:pt>
                <c:pt idx="224">
                  <c:v>1.2464999999999999</c:v>
                </c:pt>
                <c:pt idx="225">
                  <c:v>1.2137</c:v>
                </c:pt>
                <c:pt idx="226">
                  <c:v>1.2246999999999999</c:v>
                </c:pt>
                <c:pt idx="227">
                  <c:v>1.202</c:v>
                </c:pt>
                <c:pt idx="228">
                  <c:v>1.2049000000000001</c:v>
                </c:pt>
                <c:pt idx="229">
                  <c:v>1.1772</c:v>
                </c:pt>
                <c:pt idx="230">
                  <c:v>1.1028</c:v>
                </c:pt>
                <c:pt idx="231">
                  <c:v>1.1193</c:v>
                </c:pt>
                <c:pt idx="232">
                  <c:v>1.0976999999999999</c:v>
                </c:pt>
                <c:pt idx="233">
                  <c:v>1.0949</c:v>
                </c:pt>
                <c:pt idx="234">
                  <c:v>1.0922000000000001</c:v>
                </c:pt>
                <c:pt idx="235">
                  <c:v>1.1198999999999999</c:v>
                </c:pt>
                <c:pt idx="236">
                  <c:v>1.1694</c:v>
                </c:pt>
                <c:pt idx="237">
                  <c:v>1.2017</c:v>
                </c:pt>
                <c:pt idx="238">
                  <c:v>1.2097</c:v>
                </c:pt>
                <c:pt idx="239">
                  <c:v>1.1544000000000001</c:v>
                </c:pt>
                <c:pt idx="240">
                  <c:v>1.1437999999999999</c:v>
                </c:pt>
                <c:pt idx="241">
                  <c:v>1.1577999999999999</c:v>
                </c:pt>
                <c:pt idx="242">
                  <c:v>1.1732</c:v>
                </c:pt>
                <c:pt idx="243">
                  <c:v>1.1898</c:v>
                </c:pt>
                <c:pt idx="244">
                  <c:v>1.2132000000000001</c:v>
                </c:pt>
                <c:pt idx="245">
                  <c:v>1.1711</c:v>
                </c:pt>
                <c:pt idx="246">
                  <c:v>1.1816</c:v>
                </c:pt>
                <c:pt idx="247">
                  <c:v>1.1524000000000001</c:v>
                </c:pt>
                <c:pt idx="248">
                  <c:v>1.1234999999999999</c:v>
                </c:pt>
                <c:pt idx="249">
                  <c:v>1.1940999999999999</c:v>
                </c:pt>
                <c:pt idx="250">
                  <c:v>1.2351000000000001</c:v>
                </c:pt>
                <c:pt idx="251">
                  <c:v>1.2009000000000001</c:v>
                </c:pt>
                <c:pt idx="252">
                  <c:v>1.2316</c:v>
                </c:pt>
                <c:pt idx="253">
                  <c:v>1.2032</c:v>
                </c:pt>
                <c:pt idx="254">
                  <c:v>1.1757</c:v>
                </c:pt>
                <c:pt idx="255">
                  <c:v>1.1633</c:v>
                </c:pt>
                <c:pt idx="256">
                  <c:v>1.1795</c:v>
                </c:pt>
                <c:pt idx="257">
                  <c:v>1.1637</c:v>
                </c:pt>
                <c:pt idx="258">
                  <c:v>1.1535</c:v>
                </c:pt>
                <c:pt idx="259">
                  <c:v>1.1485000000000001</c:v>
                </c:pt>
                <c:pt idx="260">
                  <c:v>1.1725000000000001</c:v>
                </c:pt>
                <c:pt idx="261">
                  <c:v>1.1271</c:v>
                </c:pt>
                <c:pt idx="262">
                  <c:v>1.1452</c:v>
                </c:pt>
                <c:pt idx="263">
                  <c:v>1.127</c:v>
                </c:pt>
                <c:pt idx="264">
                  <c:v>1.0969</c:v>
                </c:pt>
                <c:pt idx="265">
                  <c:v>1.1288</c:v>
                </c:pt>
                <c:pt idx="266">
                  <c:v>1.0636000000000001</c:v>
                </c:pt>
                <c:pt idx="267">
                  <c:v>1.028</c:v>
                </c:pt>
                <c:pt idx="268">
                  <c:v>1.0322</c:v>
                </c:pt>
                <c:pt idx="269">
                  <c:v>1.052</c:v>
                </c:pt>
                <c:pt idx="270">
                  <c:v>1.0769</c:v>
                </c:pt>
                <c:pt idx="271">
                  <c:v>1.1081000000000001</c:v>
                </c:pt>
                <c:pt idx="272">
                  <c:v>1.1158999999999999</c:v>
                </c:pt>
                <c:pt idx="273">
                  <c:v>1.0844</c:v>
                </c:pt>
                <c:pt idx="274">
                  <c:v>1.1607000000000001</c:v>
                </c:pt>
                <c:pt idx="275">
                  <c:v>1.1940999999999999</c:v>
                </c:pt>
                <c:pt idx="276">
                  <c:v>1.1758999999999999</c:v>
                </c:pt>
                <c:pt idx="277">
                  <c:v>1.1557999999999999</c:v>
                </c:pt>
                <c:pt idx="278">
                  <c:v>1.125</c:v>
                </c:pt>
                <c:pt idx="279">
                  <c:v>1.147</c:v>
                </c:pt>
                <c:pt idx="280">
                  <c:v>1.1528</c:v>
                </c:pt>
                <c:pt idx="281">
                  <c:v>1.1626000000000001</c:v>
                </c:pt>
                <c:pt idx="282">
                  <c:v>1.1596</c:v>
                </c:pt>
                <c:pt idx="283">
                  <c:v>1.1702999999999999</c:v>
                </c:pt>
                <c:pt idx="284">
                  <c:v>1.1971000000000001</c:v>
                </c:pt>
                <c:pt idx="285">
                  <c:v>1.2509999999999999</c:v>
                </c:pt>
                <c:pt idx="286">
                  <c:v>1.2709999999999999</c:v>
                </c:pt>
                <c:pt idx="287">
                  <c:v>1.266</c:v>
                </c:pt>
                <c:pt idx="288">
                  <c:v>1.2416</c:v>
                </c:pt>
                <c:pt idx="289">
                  <c:v>1.2203999999999999</c:v>
                </c:pt>
                <c:pt idx="290">
                  <c:v>1.2399</c:v>
                </c:pt>
                <c:pt idx="291">
                  <c:v>1.2617</c:v>
                </c:pt>
                <c:pt idx="292">
                  <c:v>1.2685</c:v>
                </c:pt>
                <c:pt idx="293">
                  <c:v>1.2558</c:v>
                </c:pt>
                <c:pt idx="294">
                  <c:v>1.2559</c:v>
                </c:pt>
                <c:pt idx="295">
                  <c:v>1.2759</c:v>
                </c:pt>
                <c:pt idx="296">
                  <c:v>1.3166</c:v>
                </c:pt>
                <c:pt idx="297">
                  <c:v>1.3077000000000001</c:v>
                </c:pt>
                <c:pt idx="298">
                  <c:v>1.3190999999999999</c:v>
                </c:pt>
                <c:pt idx="299">
                  <c:v>1.3268</c:v>
                </c:pt>
                <c:pt idx="300">
                  <c:v>1.3514999999999999</c:v>
                </c:pt>
                <c:pt idx="301">
                  <c:v>1.3816999999999999</c:v>
                </c:pt>
                <c:pt idx="302">
                  <c:v>1.391</c:v>
                </c:pt>
                <c:pt idx="303">
                  <c:v>1.3548</c:v>
                </c:pt>
                <c:pt idx="304">
                  <c:v>1.3354999999999999</c:v>
                </c:pt>
                <c:pt idx="305">
                  <c:v>1.3762000000000001</c:v>
                </c:pt>
                <c:pt idx="306">
                  <c:v>1.3722000000000001</c:v>
                </c:pt>
                <c:pt idx="307">
                  <c:v>1.3607</c:v>
                </c:pt>
                <c:pt idx="308">
                  <c:v>1.3783000000000001</c:v>
                </c:pt>
                <c:pt idx="309">
                  <c:v>1.4013</c:v>
                </c:pt>
                <c:pt idx="310">
                  <c:v>1.4100999999999999</c:v>
                </c:pt>
                <c:pt idx="311">
                  <c:v>1.3729</c:v>
                </c:pt>
                <c:pt idx="312">
                  <c:v>1.4520999999999999</c:v>
                </c:pt>
                <c:pt idx="313">
                  <c:v>1.4750000000000001</c:v>
                </c:pt>
                <c:pt idx="314">
                  <c:v>1.4826999999999999</c:v>
                </c:pt>
                <c:pt idx="315">
                  <c:v>1.5423</c:v>
                </c:pt>
                <c:pt idx="316">
                  <c:v>1.5207999999999999</c:v>
                </c:pt>
                <c:pt idx="317">
                  <c:v>1.5518000000000001</c:v>
                </c:pt>
                <c:pt idx="318">
                  <c:v>1.5467</c:v>
                </c:pt>
                <c:pt idx="319">
                  <c:v>1.5538000000000001</c:v>
                </c:pt>
                <c:pt idx="320">
                  <c:v>1.5277000000000001</c:v>
                </c:pt>
                <c:pt idx="321">
                  <c:v>1.5379</c:v>
                </c:pt>
                <c:pt idx="322">
                  <c:v>1.5437000000000001</c:v>
                </c:pt>
                <c:pt idx="323">
                  <c:v>1.5471999999999999</c:v>
                </c:pt>
                <c:pt idx="324">
                  <c:v>1.5449999999999999</c:v>
                </c:pt>
                <c:pt idx="325">
                  <c:v>1.5579000000000001</c:v>
                </c:pt>
                <c:pt idx="326">
                  <c:v>1.5748</c:v>
                </c:pt>
                <c:pt idx="327">
                  <c:v>1.5716000000000001</c:v>
                </c:pt>
                <c:pt idx="328">
                  <c:v>1.5753999999999999</c:v>
                </c:pt>
                <c:pt idx="329">
                  <c:v>1.5527</c:v>
                </c:pt>
                <c:pt idx="330">
                  <c:v>1.5901000000000001</c:v>
                </c:pt>
                <c:pt idx="331">
                  <c:v>1.6160000000000001</c:v>
                </c:pt>
                <c:pt idx="332">
                  <c:v>1.6486000000000001</c:v>
                </c:pt>
                <c:pt idx="333">
                  <c:v>1.6448</c:v>
                </c:pt>
                <c:pt idx="334">
                  <c:v>1.6493</c:v>
                </c:pt>
                <c:pt idx="335">
                  <c:v>1.6748000000000001</c:v>
                </c:pt>
                <c:pt idx="336">
                  <c:v>1.6736</c:v>
                </c:pt>
                <c:pt idx="337">
                  <c:v>1.7841</c:v>
                </c:pt>
                <c:pt idx="338">
                  <c:v>1.7786</c:v>
                </c:pt>
                <c:pt idx="339">
                  <c:v>1.8139000000000001</c:v>
                </c:pt>
                <c:pt idx="340">
                  <c:v>1.8636999999999999</c:v>
                </c:pt>
                <c:pt idx="341">
                  <c:v>1.8937999999999999</c:v>
                </c:pt>
                <c:pt idx="342">
                  <c:v>1.8872</c:v>
                </c:pt>
                <c:pt idx="343">
                  <c:v>1.8889</c:v>
                </c:pt>
                <c:pt idx="344">
                  <c:v>1.9309000000000001</c:v>
                </c:pt>
                <c:pt idx="345">
                  <c:v>1.9424999999999999</c:v>
                </c:pt>
                <c:pt idx="346">
                  <c:v>1.9777</c:v>
                </c:pt>
                <c:pt idx="347">
                  <c:v>1.9763999999999999</c:v>
                </c:pt>
                <c:pt idx="348">
                  <c:v>1.9504999999999999</c:v>
                </c:pt>
                <c:pt idx="349">
                  <c:v>1.9429000000000001</c:v>
                </c:pt>
                <c:pt idx="350">
                  <c:v>1.9363999999999999</c:v>
                </c:pt>
                <c:pt idx="351">
                  <c:v>1.9518</c:v>
                </c:pt>
                <c:pt idx="352">
                  <c:v>1.9979</c:v>
                </c:pt>
                <c:pt idx="353">
                  <c:v>2.0647000000000002</c:v>
                </c:pt>
                <c:pt idx="354">
                  <c:v>2.0487000000000002</c:v>
                </c:pt>
                <c:pt idx="355">
                  <c:v>2.0501999999999998</c:v>
                </c:pt>
                <c:pt idx="356">
                  <c:v>2.0747</c:v>
                </c:pt>
                <c:pt idx="357">
                  <c:v>2.1273</c:v>
                </c:pt>
                <c:pt idx="358">
                  <c:v>2.1347999999999998</c:v>
                </c:pt>
                <c:pt idx="359">
                  <c:v>2.0994000000000002</c:v>
                </c:pt>
                <c:pt idx="360">
                  <c:v>2.0956999999999999</c:v>
                </c:pt>
                <c:pt idx="361">
                  <c:v>2.0474999999999999</c:v>
                </c:pt>
                <c:pt idx="362">
                  <c:v>1.9407000000000001</c:v>
                </c:pt>
                <c:pt idx="363">
                  <c:v>1.9437</c:v>
                </c:pt>
                <c:pt idx="364">
                  <c:v>1.9583999999999999</c:v>
                </c:pt>
                <c:pt idx="365">
                  <c:v>1.8958999999999999</c:v>
                </c:pt>
                <c:pt idx="366">
                  <c:v>1.9875</c:v>
                </c:pt>
                <c:pt idx="367">
                  <c:v>1.9196</c:v>
                </c:pt>
                <c:pt idx="368">
                  <c:v>1.9709000000000001</c:v>
                </c:pt>
                <c:pt idx="369">
                  <c:v>2.0009000000000001</c:v>
                </c:pt>
                <c:pt idx="370">
                  <c:v>1.9964</c:v>
                </c:pt>
                <c:pt idx="371">
                  <c:v>1.9597</c:v>
                </c:pt>
                <c:pt idx="372">
                  <c:v>2.0223</c:v>
                </c:pt>
                <c:pt idx="373">
                  <c:v>1.9611000000000001</c:v>
                </c:pt>
                <c:pt idx="374">
                  <c:v>1.9662999999999999</c:v>
                </c:pt>
                <c:pt idx="375">
                  <c:v>1.9518</c:v>
                </c:pt>
                <c:pt idx="376">
                  <c:v>1.9593</c:v>
                </c:pt>
                <c:pt idx="377">
                  <c:v>1.9621</c:v>
                </c:pt>
                <c:pt idx="378">
                  <c:v>1.97</c:v>
                </c:pt>
                <c:pt idx="379">
                  <c:v>1.9757</c:v>
                </c:pt>
                <c:pt idx="380">
                  <c:v>2.0409000000000002</c:v>
                </c:pt>
                <c:pt idx="381">
                  <c:v>2.0526</c:v>
                </c:pt>
                <c:pt idx="382">
                  <c:v>2.0426000000000002</c:v>
                </c:pt>
                <c:pt idx="383">
                  <c:v>2.0463</c:v>
                </c:pt>
                <c:pt idx="384">
                  <c:v>2.0209000000000001</c:v>
                </c:pt>
                <c:pt idx="385">
                  <c:v>1.9881</c:v>
                </c:pt>
                <c:pt idx="386">
                  <c:v>1.9811000000000001</c:v>
                </c:pt>
                <c:pt idx="387">
                  <c:v>2.0051000000000001</c:v>
                </c:pt>
                <c:pt idx="388">
                  <c:v>1.9902</c:v>
                </c:pt>
                <c:pt idx="389">
                  <c:v>2.0287999999999999</c:v>
                </c:pt>
                <c:pt idx="390">
                  <c:v>2.0743</c:v>
                </c:pt>
                <c:pt idx="391">
                  <c:v>2.0988000000000002</c:v>
                </c:pt>
                <c:pt idx="392">
                  <c:v>2.0762999999999998</c:v>
                </c:pt>
                <c:pt idx="393">
                  <c:v>2.1015000000000001</c:v>
                </c:pt>
                <c:pt idx="394">
                  <c:v>2.1511999999999998</c:v>
                </c:pt>
                <c:pt idx="395">
                  <c:v>2.1513</c:v>
                </c:pt>
                <c:pt idx="396">
                  <c:v>2.1137000000000001</c:v>
                </c:pt>
                <c:pt idx="397">
                  <c:v>2.1269</c:v>
                </c:pt>
                <c:pt idx="398">
                  <c:v>2.1334</c:v>
                </c:pt>
                <c:pt idx="399">
                  <c:v>2.1398999999999999</c:v>
                </c:pt>
                <c:pt idx="400">
                  <c:v>2.161</c:v>
                </c:pt>
                <c:pt idx="401">
                  <c:v>2.093</c:v>
                </c:pt>
                <c:pt idx="402">
                  <c:v>2.1223999999999998</c:v>
                </c:pt>
                <c:pt idx="403">
                  <c:v>2.1536</c:v>
                </c:pt>
                <c:pt idx="404">
                  <c:v>2.1554000000000002</c:v>
                </c:pt>
                <c:pt idx="405">
                  <c:v>2.0979000000000001</c:v>
                </c:pt>
                <c:pt idx="406">
                  <c:v>2.0461999999999998</c:v>
                </c:pt>
                <c:pt idx="407">
                  <c:v>2.0709</c:v>
                </c:pt>
                <c:pt idx="408">
                  <c:v>2.1217000000000001</c:v>
                </c:pt>
                <c:pt idx="409">
                  <c:v>2.1229</c:v>
                </c:pt>
                <c:pt idx="410">
                  <c:v>2.1511999999999998</c:v>
                </c:pt>
                <c:pt idx="411">
                  <c:v>2.1551999999999998</c:v>
                </c:pt>
                <c:pt idx="412">
                  <c:v>2.1368999999999998</c:v>
                </c:pt>
                <c:pt idx="413">
                  <c:v>2.1703999999999999</c:v>
                </c:pt>
                <c:pt idx="414">
                  <c:v>2.1941000000000002</c:v>
                </c:pt>
                <c:pt idx="415">
                  <c:v>2.2018</c:v>
                </c:pt>
                <c:pt idx="416">
                  <c:v>2.2115</c:v>
                </c:pt>
                <c:pt idx="417">
                  <c:v>2.1930999999999998</c:v>
                </c:pt>
                <c:pt idx="418">
                  <c:v>2.2189999999999999</c:v>
                </c:pt>
                <c:pt idx="419">
                  <c:v>2.2025000000000001</c:v>
                </c:pt>
                <c:pt idx="420">
                  <c:v>2.2122000000000002</c:v>
                </c:pt>
                <c:pt idx="421">
                  <c:v>2.1861000000000002</c:v>
                </c:pt>
                <c:pt idx="422">
                  <c:v>2.173</c:v>
                </c:pt>
                <c:pt idx="423">
                  <c:v>2.1728999999999998</c:v>
                </c:pt>
                <c:pt idx="424">
                  <c:v>2.16</c:v>
                </c:pt>
                <c:pt idx="425">
                  <c:v>2.1387999999999998</c:v>
                </c:pt>
                <c:pt idx="426">
                  <c:v>2.1739999999999999</c:v>
                </c:pt>
                <c:pt idx="427">
                  <c:v>2.2031000000000001</c:v>
                </c:pt>
                <c:pt idx="428">
                  <c:v>2.2301000000000002</c:v>
                </c:pt>
                <c:pt idx="429">
                  <c:v>2.2698999999999998</c:v>
                </c:pt>
                <c:pt idx="430">
                  <c:v>2.2799999999999998</c:v>
                </c:pt>
                <c:pt idx="431">
                  <c:v>2.2612000000000001</c:v>
                </c:pt>
                <c:pt idx="432">
                  <c:v>2.2176999999999998</c:v>
                </c:pt>
                <c:pt idx="433">
                  <c:v>2.2414999999999998</c:v>
                </c:pt>
                <c:pt idx="434">
                  <c:v>2.2418</c:v>
                </c:pt>
                <c:pt idx="435">
                  <c:v>2.2675999999999998</c:v>
                </c:pt>
                <c:pt idx="436">
                  <c:v>2.2997999999999998</c:v>
                </c:pt>
                <c:pt idx="437">
                  <c:v>2.2282000000000002</c:v>
                </c:pt>
                <c:pt idx="438">
                  <c:v>2.206</c:v>
                </c:pt>
                <c:pt idx="439">
                  <c:v>2.2551999999999999</c:v>
                </c:pt>
                <c:pt idx="440">
                  <c:v>2.2919999999999998</c:v>
                </c:pt>
                <c:pt idx="441">
                  <c:v>2.2772000000000001</c:v>
                </c:pt>
                <c:pt idx="442">
                  <c:v>2.3016999999999999</c:v>
                </c:pt>
                <c:pt idx="443">
                  <c:v>2.2722000000000002</c:v>
                </c:pt>
                <c:pt idx="444">
                  <c:v>2.2317999999999998</c:v>
                </c:pt>
                <c:pt idx="445">
                  <c:v>2.2345000000000002</c:v>
                </c:pt>
                <c:pt idx="446">
                  <c:v>2.0903</c:v>
                </c:pt>
                <c:pt idx="447">
                  <c:v>2.1103999999999998</c:v>
                </c:pt>
                <c:pt idx="448">
                  <c:v>2.1941000000000002</c:v>
                </c:pt>
                <c:pt idx="449">
                  <c:v>2.2473999999999998</c:v>
                </c:pt>
                <c:pt idx="450">
                  <c:v>2.2612000000000001</c:v>
                </c:pt>
                <c:pt idx="451">
                  <c:v>2.2753999999999999</c:v>
                </c:pt>
                <c:pt idx="452">
                  <c:v>2.2812999999999999</c:v>
                </c:pt>
                <c:pt idx="453">
                  <c:v>2.282</c:v>
                </c:pt>
                <c:pt idx="454">
                  <c:v>2.3250999999999999</c:v>
                </c:pt>
                <c:pt idx="455">
                  <c:v>2.3347000000000002</c:v>
                </c:pt>
                <c:pt idx="456">
                  <c:v>2.2747000000000002</c:v>
                </c:pt>
                <c:pt idx="457">
                  <c:v>2.2707999999999999</c:v>
                </c:pt>
                <c:pt idx="458">
                  <c:v>2.25</c:v>
                </c:pt>
                <c:pt idx="459">
                  <c:v>2.294</c:v>
                </c:pt>
                <c:pt idx="460">
                  <c:v>2.2568999999999999</c:v>
                </c:pt>
                <c:pt idx="461">
                  <c:v>2.2347999999999999</c:v>
                </c:pt>
                <c:pt idx="462">
                  <c:v>2.2679</c:v>
                </c:pt>
                <c:pt idx="463">
                  <c:v>2.3022</c:v>
                </c:pt>
                <c:pt idx="464">
                  <c:v>2.13</c:v>
                </c:pt>
                <c:pt idx="465">
                  <c:v>2.1128999999999998</c:v>
                </c:pt>
                <c:pt idx="466">
                  <c:v>2.0668000000000002</c:v>
                </c:pt>
                <c:pt idx="467">
                  <c:v>2.0396999999999998</c:v>
                </c:pt>
                <c:pt idx="468">
                  <c:v>2.0162</c:v>
                </c:pt>
                <c:pt idx="469">
                  <c:v>1.9524999999999999</c:v>
                </c:pt>
                <c:pt idx="470">
                  <c:v>1.8902000000000001</c:v>
                </c:pt>
                <c:pt idx="471">
                  <c:v>1.9865999999999999</c:v>
                </c:pt>
                <c:pt idx="472">
                  <c:v>2.0575999999999999</c:v>
                </c:pt>
                <c:pt idx="473">
                  <c:v>2.145</c:v>
                </c:pt>
                <c:pt idx="474">
                  <c:v>2.0922999999999998</c:v>
                </c:pt>
                <c:pt idx="475">
                  <c:v>2.1196000000000002</c:v>
                </c:pt>
                <c:pt idx="476">
                  <c:v>2.1537999999999999</c:v>
                </c:pt>
                <c:pt idx="477">
                  <c:v>2.1419000000000001</c:v>
                </c:pt>
                <c:pt idx="478">
                  <c:v>2.1109</c:v>
                </c:pt>
                <c:pt idx="479">
                  <c:v>2.1635</c:v>
                </c:pt>
                <c:pt idx="480">
                  <c:v>2.1539999999999999</c:v>
                </c:pt>
                <c:pt idx="481">
                  <c:v>2.13</c:v>
                </c:pt>
                <c:pt idx="482">
                  <c:v>2.1320999999999999</c:v>
                </c:pt>
                <c:pt idx="483">
                  <c:v>2.0996999999999999</c:v>
                </c:pt>
                <c:pt idx="484">
                  <c:v>2.1539999999999999</c:v>
                </c:pt>
                <c:pt idx="485">
                  <c:v>2.1608999999999998</c:v>
                </c:pt>
                <c:pt idx="486">
                  <c:v>2.1118999999999999</c:v>
                </c:pt>
                <c:pt idx="487">
                  <c:v>2.1438000000000001</c:v>
                </c:pt>
                <c:pt idx="488">
                  <c:v>2.1269</c:v>
                </c:pt>
                <c:pt idx="489">
                  <c:v>2.1156999999999999</c:v>
                </c:pt>
                <c:pt idx="490">
                  <c:v>2.0602999999999998</c:v>
                </c:pt>
                <c:pt idx="491">
                  <c:v>2.0598000000000001</c:v>
                </c:pt>
                <c:pt idx="492">
                  <c:v>2.0836999999999999</c:v>
                </c:pt>
                <c:pt idx="493">
                  <c:v>2.1261000000000001</c:v>
                </c:pt>
                <c:pt idx="494">
                  <c:v>2.1377000000000002</c:v>
                </c:pt>
                <c:pt idx="495">
                  <c:v>2.17</c:v>
                </c:pt>
                <c:pt idx="496">
                  <c:v>2.1475</c:v>
                </c:pt>
                <c:pt idx="497">
                  <c:v>2.1749999999999998</c:v>
                </c:pt>
                <c:pt idx="498">
                  <c:v>2.194</c:v>
                </c:pt>
                <c:pt idx="499">
                  <c:v>2.25</c:v>
                </c:pt>
                <c:pt idx="500">
                  <c:v>2.3085</c:v>
                </c:pt>
                <c:pt idx="501">
                  <c:v>2.3578999999999999</c:v>
                </c:pt>
                <c:pt idx="502">
                  <c:v>2.3081999999999998</c:v>
                </c:pt>
                <c:pt idx="503">
                  <c:v>2.3344</c:v>
                </c:pt>
                <c:pt idx="504">
                  <c:v>2.3662000000000001</c:v>
                </c:pt>
                <c:pt idx="505">
                  <c:v>2.3778999999999999</c:v>
                </c:pt>
                <c:pt idx="506">
                  <c:v>2.3828999999999998</c:v>
                </c:pt>
                <c:pt idx="507">
                  <c:v>2.4055</c:v>
                </c:pt>
                <c:pt idx="508">
                  <c:v>2.3824000000000001</c:v>
                </c:pt>
                <c:pt idx="509">
                  <c:v>2.4251</c:v>
                </c:pt>
                <c:pt idx="510">
                  <c:v>2.4222999999999999</c:v>
                </c:pt>
                <c:pt idx="511">
                  <c:v>2.4176000000000002</c:v>
                </c:pt>
                <c:pt idx="512">
                  <c:v>2.4468999999999999</c:v>
                </c:pt>
                <c:pt idx="513">
                  <c:v>2.419</c:v>
                </c:pt>
                <c:pt idx="514">
                  <c:v>2.4156</c:v>
                </c:pt>
                <c:pt idx="515">
                  <c:v>2.4426999999999999</c:v>
                </c:pt>
                <c:pt idx="516">
                  <c:v>2.4472</c:v>
                </c:pt>
                <c:pt idx="517">
                  <c:v>2.3792</c:v>
                </c:pt>
                <c:pt idx="518">
                  <c:v>2.3589000000000002</c:v>
                </c:pt>
                <c:pt idx="519">
                  <c:v>2.3696999999999999</c:v>
                </c:pt>
                <c:pt idx="520">
                  <c:v>2.4093</c:v>
                </c:pt>
                <c:pt idx="521">
                  <c:v>2.4500999999999999</c:v>
                </c:pt>
                <c:pt idx="522">
                  <c:v>2.3384999999999998</c:v>
                </c:pt>
                <c:pt idx="523">
                  <c:v>2.2926000000000002</c:v>
                </c:pt>
                <c:pt idx="524">
                  <c:v>2.3209</c:v>
                </c:pt>
                <c:pt idx="525">
                  <c:v>2.3222</c:v>
                </c:pt>
                <c:pt idx="526">
                  <c:v>2.3752</c:v>
                </c:pt>
                <c:pt idx="527">
                  <c:v>2.2646000000000002</c:v>
                </c:pt>
                <c:pt idx="528">
                  <c:v>2.2806000000000002</c:v>
                </c:pt>
                <c:pt idx="529">
                  <c:v>2.2685</c:v>
                </c:pt>
                <c:pt idx="530">
                  <c:v>2.2761999999999998</c:v>
                </c:pt>
                <c:pt idx="531">
                  <c:v>2.2936000000000001</c:v>
                </c:pt>
                <c:pt idx="532">
                  <c:v>2.2305000000000001</c:v>
                </c:pt>
                <c:pt idx="533">
                  <c:v>2.2427000000000001</c:v>
                </c:pt>
                <c:pt idx="534">
                  <c:v>2.1568999999999998</c:v>
                </c:pt>
                <c:pt idx="535">
                  <c:v>2.2033</c:v>
                </c:pt>
                <c:pt idx="536">
                  <c:v>2.2783000000000002</c:v>
                </c:pt>
                <c:pt idx="537">
                  <c:v>2.2658999999999998</c:v>
                </c:pt>
                <c:pt idx="538">
                  <c:v>1.9811000000000001</c:v>
                </c:pt>
                <c:pt idx="539">
                  <c:v>2.0329999999999999</c:v>
                </c:pt>
                <c:pt idx="540">
                  <c:v>1.9400999999999999</c:v>
                </c:pt>
                <c:pt idx="541">
                  <c:v>1.9511000000000001</c:v>
                </c:pt>
                <c:pt idx="542">
                  <c:v>1.9677</c:v>
                </c:pt>
                <c:pt idx="543">
                  <c:v>1.9529000000000001</c:v>
                </c:pt>
                <c:pt idx="544">
                  <c:v>2.0432999999999999</c:v>
                </c:pt>
                <c:pt idx="545">
                  <c:v>2.1</c:v>
                </c:pt>
                <c:pt idx="546">
                  <c:v>2.1484999999999999</c:v>
                </c:pt>
                <c:pt idx="547">
                  <c:v>2.1284000000000001</c:v>
                </c:pt>
                <c:pt idx="548">
                  <c:v>2.1372</c:v>
                </c:pt>
                <c:pt idx="549">
                  <c:v>2.1164999999999998</c:v>
                </c:pt>
                <c:pt idx="550">
                  <c:v>2.1107999999999998</c:v>
                </c:pt>
                <c:pt idx="551">
                  <c:v>2.1122999999999998</c:v>
                </c:pt>
                <c:pt idx="552">
                  <c:v>2.1644000000000001</c:v>
                </c:pt>
                <c:pt idx="553">
                  <c:v>2.1126</c:v>
                </c:pt>
                <c:pt idx="554">
                  <c:v>2.0785999999999998</c:v>
                </c:pt>
                <c:pt idx="555">
                  <c:v>2.1448</c:v>
                </c:pt>
                <c:pt idx="556">
                  <c:v>2.165</c:v>
                </c:pt>
                <c:pt idx="557">
                  <c:v>2.2033</c:v>
                </c:pt>
                <c:pt idx="558">
                  <c:v>2.2303999999999999</c:v>
                </c:pt>
                <c:pt idx="559">
                  <c:v>2.246</c:v>
                </c:pt>
                <c:pt idx="560">
                  <c:v>2.2665999999999999</c:v>
                </c:pt>
                <c:pt idx="561">
                  <c:v>2.2913999999999999</c:v>
                </c:pt>
                <c:pt idx="562">
                  <c:v>2.2246000000000001</c:v>
                </c:pt>
                <c:pt idx="563">
                  <c:v>2.2565</c:v>
                </c:pt>
                <c:pt idx="564">
                  <c:v>2.2763</c:v>
                </c:pt>
                <c:pt idx="565">
                  <c:v>2.2921</c:v>
                </c:pt>
                <c:pt idx="566">
                  <c:v>2.3043</c:v>
                </c:pt>
                <c:pt idx="567">
                  <c:v>2.2989000000000002</c:v>
                </c:pt>
                <c:pt idx="568">
                  <c:v>2.2753999999999999</c:v>
                </c:pt>
                <c:pt idx="569">
                  <c:v>2.3574000000000002</c:v>
                </c:pt>
                <c:pt idx="570">
                  <c:v>2.3908</c:v>
                </c:pt>
                <c:pt idx="571">
                  <c:v>2.3877000000000002</c:v>
                </c:pt>
                <c:pt idx="572">
                  <c:v>2.4237000000000002</c:v>
                </c:pt>
                <c:pt idx="573">
                  <c:v>2.4386999999999999</c:v>
                </c:pt>
                <c:pt idx="574">
                  <c:v>2.4615</c:v>
                </c:pt>
                <c:pt idx="575">
                  <c:v>2.4662000000000002</c:v>
                </c:pt>
                <c:pt idx="576">
                  <c:v>2.4464999999999999</c:v>
                </c:pt>
                <c:pt idx="577">
                  <c:v>2.4020999999999999</c:v>
                </c:pt>
                <c:pt idx="578">
                  <c:v>2.4626000000000001</c:v>
                </c:pt>
                <c:pt idx="579">
                  <c:v>2.5232000000000001</c:v>
                </c:pt>
                <c:pt idx="580">
                  <c:v>2.5209999999999999</c:v>
                </c:pt>
                <c:pt idx="581">
                  <c:v>2.5379</c:v>
                </c:pt>
                <c:pt idx="582">
                  <c:v>2.5543999999999998</c:v>
                </c:pt>
                <c:pt idx="583">
                  <c:v>2.5752000000000002</c:v>
                </c:pt>
                <c:pt idx="584">
                  <c:v>2.6070000000000002</c:v>
                </c:pt>
                <c:pt idx="585">
                  <c:v>2.6427</c:v>
                </c:pt>
                <c:pt idx="586">
                  <c:v>2.6785000000000001</c:v>
                </c:pt>
                <c:pt idx="587">
                  <c:v>2.6852999999999998</c:v>
                </c:pt>
                <c:pt idx="588">
                  <c:v>2.6251000000000002</c:v>
                </c:pt>
                <c:pt idx="589">
                  <c:v>2.6534</c:v>
                </c:pt>
                <c:pt idx="590">
                  <c:v>2.6654</c:v>
                </c:pt>
                <c:pt idx="591">
                  <c:v>2.7385999999999999</c:v>
                </c:pt>
                <c:pt idx="592">
                  <c:v>2.9068000000000001</c:v>
                </c:pt>
                <c:pt idx="593">
                  <c:v>2.8094999999999999</c:v>
                </c:pt>
                <c:pt idx="594">
                  <c:v>2.8283</c:v>
                </c:pt>
                <c:pt idx="595">
                  <c:v>2.7959999999999998</c:v>
                </c:pt>
                <c:pt idx="596">
                  <c:v>2.8119000000000001</c:v>
                </c:pt>
                <c:pt idx="597">
                  <c:v>2.8542999999999998</c:v>
                </c:pt>
                <c:pt idx="598">
                  <c:v>2.8759999999999999</c:v>
                </c:pt>
                <c:pt idx="599">
                  <c:v>2.9165000000000001</c:v>
                </c:pt>
                <c:pt idx="600">
                  <c:v>2.8740999999999999</c:v>
                </c:pt>
                <c:pt idx="601">
                  <c:v>2.9325000000000001</c:v>
                </c:pt>
                <c:pt idx="602">
                  <c:v>3.0886999999999998</c:v>
                </c:pt>
                <c:pt idx="603">
                  <c:v>3.3083</c:v>
                </c:pt>
                <c:pt idx="604">
                  <c:v>3.2844000000000002</c:v>
                </c:pt>
                <c:pt idx="605">
                  <c:v>3.544</c:v>
                </c:pt>
                <c:pt idx="606">
                  <c:v>3.5720999999999998</c:v>
                </c:pt>
                <c:pt idx="607">
                  <c:v>3.6825999999999999</c:v>
                </c:pt>
                <c:pt idx="608">
                  <c:v>3.2938000000000001</c:v>
                </c:pt>
                <c:pt idx="609">
                  <c:v>3.1566999999999998</c:v>
                </c:pt>
                <c:pt idx="610">
                  <c:v>3.3121</c:v>
                </c:pt>
                <c:pt idx="611">
                  <c:v>3.1339000000000001</c:v>
                </c:pt>
                <c:pt idx="612">
                  <c:v>2.9657</c:v>
                </c:pt>
                <c:pt idx="613">
                  <c:v>2.952</c:v>
                </c:pt>
                <c:pt idx="614">
                  <c:v>3.1821999999999999</c:v>
                </c:pt>
                <c:pt idx="615">
                  <c:v>3.2059000000000002</c:v>
                </c:pt>
                <c:pt idx="616">
                  <c:v>3.3378999999999999</c:v>
                </c:pt>
                <c:pt idx="617">
                  <c:v>3.3046000000000002</c:v>
                </c:pt>
                <c:pt idx="618">
                  <c:v>3.4195000000000002</c:v>
                </c:pt>
                <c:pt idx="619">
                  <c:v>3.3689</c:v>
                </c:pt>
                <c:pt idx="620">
                  <c:v>3.4363000000000001</c:v>
                </c:pt>
                <c:pt idx="621">
                  <c:v>3.1962000000000002</c:v>
                </c:pt>
                <c:pt idx="622">
                  <c:v>3.1766999999999999</c:v>
                </c:pt>
                <c:pt idx="623">
                  <c:v>3.2864</c:v>
                </c:pt>
                <c:pt idx="624">
                  <c:v>3.1509</c:v>
                </c:pt>
                <c:pt idx="625">
                  <c:v>3.1535000000000002</c:v>
                </c:pt>
                <c:pt idx="626">
                  <c:v>3.1981000000000002</c:v>
                </c:pt>
                <c:pt idx="627">
                  <c:v>3.1648999999999998</c:v>
                </c:pt>
                <c:pt idx="628">
                  <c:v>3.0461999999999998</c:v>
                </c:pt>
                <c:pt idx="629">
                  <c:v>3.0398000000000001</c:v>
                </c:pt>
                <c:pt idx="630">
                  <c:v>3.1316000000000002</c:v>
                </c:pt>
                <c:pt idx="631">
                  <c:v>3.0030999999999999</c:v>
                </c:pt>
                <c:pt idx="632">
                  <c:v>3.1537999999999999</c:v>
                </c:pt>
                <c:pt idx="633">
                  <c:v>3.2913000000000001</c:v>
                </c:pt>
                <c:pt idx="634">
                  <c:v>3.3814000000000002</c:v>
                </c:pt>
                <c:pt idx="635">
                  <c:v>3.3580000000000001</c:v>
                </c:pt>
                <c:pt idx="636">
                  <c:v>3.2288999999999999</c:v>
                </c:pt>
                <c:pt idx="637">
                  <c:v>3.2618</c:v>
                </c:pt>
                <c:pt idx="638">
                  <c:v>3.3174999999999999</c:v>
                </c:pt>
                <c:pt idx="639">
                  <c:v>3.286</c:v>
                </c:pt>
                <c:pt idx="640">
                  <c:v>3.2206000000000001</c:v>
                </c:pt>
                <c:pt idx="641">
                  <c:v>3.3109999999999999</c:v>
                </c:pt>
                <c:pt idx="642">
                  <c:v>3.4135</c:v>
                </c:pt>
                <c:pt idx="643">
                  <c:v>3.4759000000000002</c:v>
                </c:pt>
                <c:pt idx="644">
                  <c:v>3.4424000000000001</c:v>
                </c:pt>
                <c:pt idx="645">
                  <c:v>3.5101</c:v>
                </c:pt>
                <c:pt idx="646">
                  <c:v>3.5011999999999999</c:v>
                </c:pt>
                <c:pt idx="647">
                  <c:v>3.6522999999999999</c:v>
                </c:pt>
                <c:pt idx="648">
                  <c:v>3.6587000000000001</c:v>
                </c:pt>
                <c:pt idx="649">
                  <c:v>3.7589999999999999</c:v>
                </c:pt>
                <c:pt idx="650">
                  <c:v>3.6419000000000001</c:v>
                </c:pt>
                <c:pt idx="651">
                  <c:v>3.5415000000000001</c:v>
                </c:pt>
                <c:pt idx="652">
                  <c:v>3.6855000000000002</c:v>
                </c:pt>
                <c:pt idx="653">
                  <c:v>3.7917000000000001</c:v>
                </c:pt>
                <c:pt idx="654">
                  <c:v>3.9578000000000002</c:v>
                </c:pt>
                <c:pt idx="655">
                  <c:v>3.8405</c:v>
                </c:pt>
                <c:pt idx="656">
                  <c:v>3.7763</c:v>
                </c:pt>
                <c:pt idx="657">
                  <c:v>3.5912999999999999</c:v>
                </c:pt>
                <c:pt idx="658">
                  <c:v>3.6776</c:v>
                </c:pt>
                <c:pt idx="659">
                  <c:v>3.6897000000000002</c:v>
                </c:pt>
                <c:pt idx="660">
                  <c:v>3.6802000000000001</c:v>
                </c:pt>
                <c:pt idx="661">
                  <c:v>3.6897000000000002</c:v>
                </c:pt>
                <c:pt idx="662">
                  <c:v>3.7252999999999998</c:v>
                </c:pt>
                <c:pt idx="663">
                  <c:v>3.7924000000000002</c:v>
                </c:pt>
                <c:pt idx="664">
                  <c:v>3.9119000000000002</c:v>
                </c:pt>
                <c:pt idx="665">
                  <c:v>3.9161999999999999</c:v>
                </c:pt>
                <c:pt idx="666">
                  <c:v>4.0716000000000001</c:v>
                </c:pt>
                <c:pt idx="667">
                  <c:v>4.1909000000000001</c:v>
                </c:pt>
                <c:pt idx="668">
                  <c:v>4.2522000000000002</c:v>
                </c:pt>
                <c:pt idx="669">
                  <c:v>4.1929999999999996</c:v>
                </c:pt>
                <c:pt idx="670">
                  <c:v>4.1577000000000002</c:v>
                </c:pt>
                <c:pt idx="671">
                  <c:v>4.2218999999999998</c:v>
                </c:pt>
                <c:pt idx="672">
                  <c:v>4.2762000000000002</c:v>
                </c:pt>
                <c:pt idx="673">
                  <c:v>4.1722000000000001</c:v>
                </c:pt>
                <c:pt idx="674">
                  <c:v>4.0353000000000003</c:v>
                </c:pt>
                <c:pt idx="675">
                  <c:v>3.9937999999999998</c:v>
                </c:pt>
                <c:pt idx="676">
                  <c:v>3.8942000000000001</c:v>
                </c:pt>
                <c:pt idx="677">
                  <c:v>3.9558</c:v>
                </c:pt>
                <c:pt idx="678">
                  <c:v>3.7930000000000001</c:v>
                </c:pt>
                <c:pt idx="679">
                  <c:v>3.69</c:v>
                </c:pt>
                <c:pt idx="680">
                  <c:v>3.7298</c:v>
                </c:pt>
                <c:pt idx="681">
                  <c:v>3.661</c:v>
                </c:pt>
                <c:pt idx="682">
                  <c:v>3.72</c:v>
                </c:pt>
                <c:pt idx="683">
                  <c:v>3.73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B99-4671-A3DB-D3805DF898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11891112"/>
        <c:axId val="1111890784"/>
      </c:lineChart>
      <c:catAx>
        <c:axId val="11116668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11670152"/>
        <c:crosses val="autoZero"/>
        <c:auto val="1"/>
        <c:lblAlgn val="ctr"/>
        <c:lblOffset val="100"/>
        <c:noMultiLvlLbl val="0"/>
      </c:catAx>
      <c:valAx>
        <c:axId val="11116701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11666872"/>
        <c:crosses val="autoZero"/>
        <c:crossBetween val="between"/>
      </c:valAx>
      <c:valAx>
        <c:axId val="1111890784"/>
        <c:scaling>
          <c:orientation val="minMax"/>
        </c:scaling>
        <c:delete val="0"/>
        <c:axPos val="r"/>
        <c:numFmt formatCode="&quot;$&quot;#,##0.0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11891112"/>
        <c:crosses val="max"/>
        <c:crossBetween val="between"/>
      </c:valAx>
      <c:catAx>
        <c:axId val="111189111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11189078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[Foley_FinalProject_Completed.xlsm]Crude to Gas Correlation !CrudeOil2GasComparison</c:name>
    <c:fmtId val="1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8 days out of phase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'Crude to Gas Correlation '!$B$3</c:f>
              <c:strCache>
                <c:ptCount val="1"/>
                <c:pt idx="0">
                  <c:v>Crude oil Price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'Crude to Gas Correlation '!$A$4:$A$688</c:f>
              <c:strCache>
                <c:ptCount val="684"/>
                <c:pt idx="0">
                  <c:v>10/31/2019</c:v>
                </c:pt>
                <c:pt idx="1">
                  <c:v>11/1/2019</c:v>
                </c:pt>
                <c:pt idx="2">
                  <c:v>11/4/2019</c:v>
                </c:pt>
                <c:pt idx="3">
                  <c:v>11/5/2019</c:v>
                </c:pt>
                <c:pt idx="4">
                  <c:v>11/6/2019</c:v>
                </c:pt>
                <c:pt idx="5">
                  <c:v>11/7/2019</c:v>
                </c:pt>
                <c:pt idx="6">
                  <c:v>11/8/2019</c:v>
                </c:pt>
                <c:pt idx="7">
                  <c:v>11/11/2019</c:v>
                </c:pt>
                <c:pt idx="8">
                  <c:v>11/12/2019</c:v>
                </c:pt>
                <c:pt idx="9">
                  <c:v>11/13/2019</c:v>
                </c:pt>
                <c:pt idx="10">
                  <c:v>11/14/2019</c:v>
                </c:pt>
                <c:pt idx="11">
                  <c:v>11/15/2019</c:v>
                </c:pt>
                <c:pt idx="12">
                  <c:v>11/18/2019</c:v>
                </c:pt>
                <c:pt idx="13">
                  <c:v>11/19/2019</c:v>
                </c:pt>
                <c:pt idx="14">
                  <c:v>11/20/2019</c:v>
                </c:pt>
                <c:pt idx="15">
                  <c:v>11/21/2019</c:v>
                </c:pt>
                <c:pt idx="16">
                  <c:v>11/22/2019</c:v>
                </c:pt>
                <c:pt idx="17">
                  <c:v>11/25/2019</c:v>
                </c:pt>
                <c:pt idx="18">
                  <c:v>11/26/2019</c:v>
                </c:pt>
                <c:pt idx="19">
                  <c:v>11/27/2019</c:v>
                </c:pt>
                <c:pt idx="20">
                  <c:v>11/28/2019</c:v>
                </c:pt>
                <c:pt idx="21">
                  <c:v>11/29/2019</c:v>
                </c:pt>
                <c:pt idx="22">
                  <c:v>12/2/2019</c:v>
                </c:pt>
                <c:pt idx="23">
                  <c:v>12/3/2019</c:v>
                </c:pt>
                <c:pt idx="24">
                  <c:v>12/4/2019</c:v>
                </c:pt>
                <c:pt idx="25">
                  <c:v>12/5/2019</c:v>
                </c:pt>
                <c:pt idx="26">
                  <c:v>12/6/2019</c:v>
                </c:pt>
                <c:pt idx="27">
                  <c:v>12/9/2019</c:v>
                </c:pt>
                <c:pt idx="28">
                  <c:v>12/10/2019</c:v>
                </c:pt>
                <c:pt idx="29">
                  <c:v>12/11/2019</c:v>
                </c:pt>
                <c:pt idx="30">
                  <c:v>12/12/2019</c:v>
                </c:pt>
                <c:pt idx="31">
                  <c:v>12/13/2019</c:v>
                </c:pt>
                <c:pt idx="32">
                  <c:v>12/16/2019</c:v>
                </c:pt>
                <c:pt idx="33">
                  <c:v>12/17/2019</c:v>
                </c:pt>
                <c:pt idx="34">
                  <c:v>12/18/2019</c:v>
                </c:pt>
                <c:pt idx="35">
                  <c:v>12/19/2019</c:v>
                </c:pt>
                <c:pt idx="36">
                  <c:v>12/20/2019</c:v>
                </c:pt>
                <c:pt idx="37">
                  <c:v>12/23/2019</c:v>
                </c:pt>
                <c:pt idx="38">
                  <c:v>12/24/2019</c:v>
                </c:pt>
                <c:pt idx="39">
                  <c:v>12/26/2019</c:v>
                </c:pt>
                <c:pt idx="40">
                  <c:v>12/27/2019</c:v>
                </c:pt>
                <c:pt idx="41">
                  <c:v>12/30/2019</c:v>
                </c:pt>
                <c:pt idx="42">
                  <c:v>12/31/2019</c:v>
                </c:pt>
                <c:pt idx="43">
                  <c:v>1/2/2020</c:v>
                </c:pt>
                <c:pt idx="44">
                  <c:v>1/3/2020</c:v>
                </c:pt>
                <c:pt idx="45">
                  <c:v>1/6/2020</c:v>
                </c:pt>
                <c:pt idx="46">
                  <c:v>1/7/2020</c:v>
                </c:pt>
                <c:pt idx="47">
                  <c:v>1/8/2020</c:v>
                </c:pt>
                <c:pt idx="48">
                  <c:v>1/9/2020</c:v>
                </c:pt>
                <c:pt idx="49">
                  <c:v>1/10/2020</c:v>
                </c:pt>
                <c:pt idx="50">
                  <c:v>1/13/2020</c:v>
                </c:pt>
                <c:pt idx="51">
                  <c:v>1/14/2020</c:v>
                </c:pt>
                <c:pt idx="52">
                  <c:v>1/15/2020</c:v>
                </c:pt>
                <c:pt idx="53">
                  <c:v>1/16/2020</c:v>
                </c:pt>
                <c:pt idx="54">
                  <c:v>1/17/2020</c:v>
                </c:pt>
                <c:pt idx="55">
                  <c:v>1/20/2020</c:v>
                </c:pt>
                <c:pt idx="56">
                  <c:v>1/21/2020</c:v>
                </c:pt>
                <c:pt idx="57">
                  <c:v>1/22/2020</c:v>
                </c:pt>
                <c:pt idx="58">
                  <c:v>1/23/2020</c:v>
                </c:pt>
                <c:pt idx="59">
                  <c:v>1/24/2020</c:v>
                </c:pt>
                <c:pt idx="60">
                  <c:v>1/27/2020</c:v>
                </c:pt>
                <c:pt idx="61">
                  <c:v>1/28/2020</c:v>
                </c:pt>
                <c:pt idx="62">
                  <c:v>1/29/2020</c:v>
                </c:pt>
                <c:pt idx="63">
                  <c:v>1/30/2020</c:v>
                </c:pt>
                <c:pt idx="64">
                  <c:v>1/31/2020</c:v>
                </c:pt>
                <c:pt idx="65">
                  <c:v>2/3/2020</c:v>
                </c:pt>
                <c:pt idx="66">
                  <c:v>2/4/2020</c:v>
                </c:pt>
                <c:pt idx="67">
                  <c:v>2/5/2020</c:v>
                </c:pt>
                <c:pt idx="68">
                  <c:v>2/6/2020</c:v>
                </c:pt>
                <c:pt idx="69">
                  <c:v>2/7/2020</c:v>
                </c:pt>
                <c:pt idx="70">
                  <c:v>2/10/2020</c:v>
                </c:pt>
                <c:pt idx="71">
                  <c:v>2/11/2020</c:v>
                </c:pt>
                <c:pt idx="72">
                  <c:v>2/12/2020</c:v>
                </c:pt>
                <c:pt idx="73">
                  <c:v>2/13/2020</c:v>
                </c:pt>
                <c:pt idx="74">
                  <c:v>2/14/2020</c:v>
                </c:pt>
                <c:pt idx="75">
                  <c:v>2/17/2020</c:v>
                </c:pt>
                <c:pt idx="76">
                  <c:v>2/18/2020</c:v>
                </c:pt>
                <c:pt idx="77">
                  <c:v>2/19/2020</c:v>
                </c:pt>
                <c:pt idx="78">
                  <c:v>2/20/2020</c:v>
                </c:pt>
                <c:pt idx="79">
                  <c:v>2/21/2020</c:v>
                </c:pt>
                <c:pt idx="80">
                  <c:v>2/24/2020</c:v>
                </c:pt>
                <c:pt idx="81">
                  <c:v>2/25/2020</c:v>
                </c:pt>
                <c:pt idx="82">
                  <c:v>2/26/2020</c:v>
                </c:pt>
                <c:pt idx="83">
                  <c:v>2/27/2020</c:v>
                </c:pt>
                <c:pt idx="84">
                  <c:v>2/28/2020</c:v>
                </c:pt>
                <c:pt idx="85">
                  <c:v>3/2/2020</c:v>
                </c:pt>
                <c:pt idx="86">
                  <c:v>3/3/2020</c:v>
                </c:pt>
                <c:pt idx="87">
                  <c:v>3/4/2020</c:v>
                </c:pt>
                <c:pt idx="88">
                  <c:v>3/5/2020</c:v>
                </c:pt>
                <c:pt idx="89">
                  <c:v>3/6/2020</c:v>
                </c:pt>
                <c:pt idx="90">
                  <c:v>3/9/2020</c:v>
                </c:pt>
                <c:pt idx="91">
                  <c:v>3/10/2020</c:v>
                </c:pt>
                <c:pt idx="92">
                  <c:v>3/11/2020</c:v>
                </c:pt>
                <c:pt idx="93">
                  <c:v>3/12/2020</c:v>
                </c:pt>
                <c:pt idx="94">
                  <c:v>3/13/2020</c:v>
                </c:pt>
                <c:pt idx="95">
                  <c:v>3/16/2020</c:v>
                </c:pt>
                <c:pt idx="96">
                  <c:v>3/17/2020</c:v>
                </c:pt>
                <c:pt idx="97">
                  <c:v>3/18/2020</c:v>
                </c:pt>
                <c:pt idx="98">
                  <c:v>3/19/2020</c:v>
                </c:pt>
                <c:pt idx="99">
                  <c:v>3/20/2020</c:v>
                </c:pt>
                <c:pt idx="100">
                  <c:v>3/23/2020</c:v>
                </c:pt>
                <c:pt idx="101">
                  <c:v>3/24/2020</c:v>
                </c:pt>
                <c:pt idx="102">
                  <c:v>3/25/2020</c:v>
                </c:pt>
                <c:pt idx="103">
                  <c:v>3/26/2020</c:v>
                </c:pt>
                <c:pt idx="104">
                  <c:v>3/27/2020</c:v>
                </c:pt>
                <c:pt idx="105">
                  <c:v>3/30/2020</c:v>
                </c:pt>
                <c:pt idx="106">
                  <c:v>3/31/2020</c:v>
                </c:pt>
                <c:pt idx="107">
                  <c:v>4/1/2020</c:v>
                </c:pt>
                <c:pt idx="108">
                  <c:v>4/2/2020</c:v>
                </c:pt>
                <c:pt idx="109">
                  <c:v>4/3/2020</c:v>
                </c:pt>
                <c:pt idx="110">
                  <c:v>4/6/2020</c:v>
                </c:pt>
                <c:pt idx="111">
                  <c:v>4/7/2020</c:v>
                </c:pt>
                <c:pt idx="112">
                  <c:v>4/8/2020</c:v>
                </c:pt>
                <c:pt idx="113">
                  <c:v>4/9/2020</c:v>
                </c:pt>
                <c:pt idx="114">
                  <c:v>4/13/2020</c:v>
                </c:pt>
                <c:pt idx="115">
                  <c:v>4/14/2020</c:v>
                </c:pt>
                <c:pt idx="116">
                  <c:v>4/15/2020</c:v>
                </c:pt>
                <c:pt idx="117">
                  <c:v>4/16/2020</c:v>
                </c:pt>
                <c:pt idx="118">
                  <c:v>4/17/2020</c:v>
                </c:pt>
                <c:pt idx="119">
                  <c:v>4/20/2020</c:v>
                </c:pt>
                <c:pt idx="120">
                  <c:v>4/21/2020</c:v>
                </c:pt>
                <c:pt idx="121">
                  <c:v>4/22/2020</c:v>
                </c:pt>
                <c:pt idx="122">
                  <c:v>4/23/2020</c:v>
                </c:pt>
                <c:pt idx="123">
                  <c:v>4/24/2020</c:v>
                </c:pt>
                <c:pt idx="124">
                  <c:v>4/27/2020</c:v>
                </c:pt>
                <c:pt idx="125">
                  <c:v>4/28/2020</c:v>
                </c:pt>
                <c:pt idx="126">
                  <c:v>4/29/2020</c:v>
                </c:pt>
                <c:pt idx="127">
                  <c:v>4/30/2020</c:v>
                </c:pt>
                <c:pt idx="128">
                  <c:v>5/1/2020</c:v>
                </c:pt>
                <c:pt idx="129">
                  <c:v>5/4/2020</c:v>
                </c:pt>
                <c:pt idx="130">
                  <c:v>5/5/2020</c:v>
                </c:pt>
                <c:pt idx="131">
                  <c:v>5/6/2020</c:v>
                </c:pt>
                <c:pt idx="132">
                  <c:v>5/7/2020</c:v>
                </c:pt>
                <c:pt idx="133">
                  <c:v>5/8/2020</c:v>
                </c:pt>
                <c:pt idx="134">
                  <c:v>5/11/2020</c:v>
                </c:pt>
                <c:pt idx="135">
                  <c:v>5/12/2020</c:v>
                </c:pt>
                <c:pt idx="136">
                  <c:v>5/13/2020</c:v>
                </c:pt>
                <c:pt idx="137">
                  <c:v>5/14/2020</c:v>
                </c:pt>
                <c:pt idx="138">
                  <c:v>5/15/2020</c:v>
                </c:pt>
                <c:pt idx="139">
                  <c:v>5/18/2020</c:v>
                </c:pt>
                <c:pt idx="140">
                  <c:v>5/19/2020</c:v>
                </c:pt>
                <c:pt idx="141">
                  <c:v>5/20/2020</c:v>
                </c:pt>
                <c:pt idx="142">
                  <c:v>5/21/2020</c:v>
                </c:pt>
                <c:pt idx="143">
                  <c:v>5/22/2020</c:v>
                </c:pt>
                <c:pt idx="144">
                  <c:v>5/26/2020</c:v>
                </c:pt>
                <c:pt idx="145">
                  <c:v>5/27/2020</c:v>
                </c:pt>
                <c:pt idx="146">
                  <c:v>5/28/2020</c:v>
                </c:pt>
                <c:pt idx="147">
                  <c:v>5/29/2020</c:v>
                </c:pt>
                <c:pt idx="148">
                  <c:v>6/1/2020</c:v>
                </c:pt>
                <c:pt idx="149">
                  <c:v>6/2/2020</c:v>
                </c:pt>
                <c:pt idx="150">
                  <c:v>6/3/2020</c:v>
                </c:pt>
                <c:pt idx="151">
                  <c:v>6/4/2020</c:v>
                </c:pt>
                <c:pt idx="152">
                  <c:v>6/5/2020</c:v>
                </c:pt>
                <c:pt idx="153">
                  <c:v>6/8/2020</c:v>
                </c:pt>
                <c:pt idx="154">
                  <c:v>6/9/2020</c:v>
                </c:pt>
                <c:pt idx="155">
                  <c:v>6/10/2020</c:v>
                </c:pt>
                <c:pt idx="156">
                  <c:v>6/11/2020</c:v>
                </c:pt>
                <c:pt idx="157">
                  <c:v>6/12/2020</c:v>
                </c:pt>
                <c:pt idx="158">
                  <c:v>6/15/2020</c:v>
                </c:pt>
                <c:pt idx="159">
                  <c:v>6/16/2020</c:v>
                </c:pt>
                <c:pt idx="160">
                  <c:v>6/17/2020</c:v>
                </c:pt>
                <c:pt idx="161">
                  <c:v>6/18/2020</c:v>
                </c:pt>
                <c:pt idx="162">
                  <c:v>6/19/2020</c:v>
                </c:pt>
                <c:pt idx="163">
                  <c:v>6/22/2020</c:v>
                </c:pt>
                <c:pt idx="164">
                  <c:v>6/23/2020</c:v>
                </c:pt>
                <c:pt idx="165">
                  <c:v>6/24/2020</c:v>
                </c:pt>
                <c:pt idx="166">
                  <c:v>6/25/2020</c:v>
                </c:pt>
                <c:pt idx="167">
                  <c:v>6/26/2020</c:v>
                </c:pt>
                <c:pt idx="168">
                  <c:v>6/29/2020</c:v>
                </c:pt>
                <c:pt idx="169">
                  <c:v>6/30/2020</c:v>
                </c:pt>
                <c:pt idx="170">
                  <c:v>7/1/2020</c:v>
                </c:pt>
                <c:pt idx="171">
                  <c:v>7/2/2020</c:v>
                </c:pt>
                <c:pt idx="172">
                  <c:v>7/3/2020</c:v>
                </c:pt>
                <c:pt idx="173">
                  <c:v>7/6/2020</c:v>
                </c:pt>
                <c:pt idx="174">
                  <c:v>7/7/2020</c:v>
                </c:pt>
                <c:pt idx="175">
                  <c:v>7/8/2020</c:v>
                </c:pt>
                <c:pt idx="176">
                  <c:v>7/9/2020</c:v>
                </c:pt>
                <c:pt idx="177">
                  <c:v>7/10/2020</c:v>
                </c:pt>
                <c:pt idx="178">
                  <c:v>7/13/2020</c:v>
                </c:pt>
                <c:pt idx="179">
                  <c:v>7/14/2020</c:v>
                </c:pt>
                <c:pt idx="180">
                  <c:v>7/15/2020</c:v>
                </c:pt>
                <c:pt idx="181">
                  <c:v>7/16/2020</c:v>
                </c:pt>
                <c:pt idx="182">
                  <c:v>7/17/2020</c:v>
                </c:pt>
                <c:pt idx="183">
                  <c:v>7/20/2020</c:v>
                </c:pt>
                <c:pt idx="184">
                  <c:v>7/21/2020</c:v>
                </c:pt>
                <c:pt idx="185">
                  <c:v>7/22/2020</c:v>
                </c:pt>
                <c:pt idx="186">
                  <c:v>7/23/2020</c:v>
                </c:pt>
                <c:pt idx="187">
                  <c:v>7/24/2020</c:v>
                </c:pt>
                <c:pt idx="188">
                  <c:v>7/27/2020</c:v>
                </c:pt>
                <c:pt idx="189">
                  <c:v>7/28/2020</c:v>
                </c:pt>
                <c:pt idx="190">
                  <c:v>7/29/2020</c:v>
                </c:pt>
                <c:pt idx="191">
                  <c:v>7/30/2020</c:v>
                </c:pt>
                <c:pt idx="192">
                  <c:v>7/31/2020</c:v>
                </c:pt>
                <c:pt idx="193">
                  <c:v>8/3/2020</c:v>
                </c:pt>
                <c:pt idx="194">
                  <c:v>8/4/2020</c:v>
                </c:pt>
                <c:pt idx="195">
                  <c:v>8/5/2020</c:v>
                </c:pt>
                <c:pt idx="196">
                  <c:v>8/6/2020</c:v>
                </c:pt>
                <c:pt idx="197">
                  <c:v>8/7/2020</c:v>
                </c:pt>
                <c:pt idx="198">
                  <c:v>8/10/2020</c:v>
                </c:pt>
                <c:pt idx="199">
                  <c:v>8/11/2020</c:v>
                </c:pt>
                <c:pt idx="200">
                  <c:v>8/12/2020</c:v>
                </c:pt>
                <c:pt idx="201">
                  <c:v>8/13/2020</c:v>
                </c:pt>
                <c:pt idx="202">
                  <c:v>8/14/2020</c:v>
                </c:pt>
                <c:pt idx="203">
                  <c:v>8/17/2020</c:v>
                </c:pt>
                <c:pt idx="204">
                  <c:v>8/18/2020</c:v>
                </c:pt>
                <c:pt idx="205">
                  <c:v>8/19/2020</c:v>
                </c:pt>
                <c:pt idx="206">
                  <c:v>8/20/2020</c:v>
                </c:pt>
                <c:pt idx="207">
                  <c:v>8/21/2020</c:v>
                </c:pt>
                <c:pt idx="208">
                  <c:v>8/24/2020</c:v>
                </c:pt>
                <c:pt idx="209">
                  <c:v>8/25/2020</c:v>
                </c:pt>
                <c:pt idx="210">
                  <c:v>8/26/2020</c:v>
                </c:pt>
                <c:pt idx="211">
                  <c:v>8/27/2020</c:v>
                </c:pt>
                <c:pt idx="212">
                  <c:v>8/28/2020</c:v>
                </c:pt>
                <c:pt idx="213">
                  <c:v>8/31/2020</c:v>
                </c:pt>
                <c:pt idx="214">
                  <c:v>9/1/2020</c:v>
                </c:pt>
                <c:pt idx="215">
                  <c:v>9/2/2020</c:v>
                </c:pt>
                <c:pt idx="216">
                  <c:v>9/3/2020</c:v>
                </c:pt>
                <c:pt idx="217">
                  <c:v>9/4/2020</c:v>
                </c:pt>
                <c:pt idx="218">
                  <c:v>9/7/2020</c:v>
                </c:pt>
                <c:pt idx="219">
                  <c:v>9/8/2020</c:v>
                </c:pt>
                <c:pt idx="220">
                  <c:v>9/9/2020</c:v>
                </c:pt>
                <c:pt idx="221">
                  <c:v>9/10/2020</c:v>
                </c:pt>
                <c:pt idx="222">
                  <c:v>9/11/2020</c:v>
                </c:pt>
                <c:pt idx="223">
                  <c:v>9/14/2020</c:v>
                </c:pt>
                <c:pt idx="224">
                  <c:v>9/15/2020</c:v>
                </c:pt>
                <c:pt idx="225">
                  <c:v>9/16/2020</c:v>
                </c:pt>
                <c:pt idx="226">
                  <c:v>9/17/2020</c:v>
                </c:pt>
                <c:pt idx="227">
                  <c:v>9/18/2020</c:v>
                </c:pt>
                <c:pt idx="228">
                  <c:v>9/21/2020</c:v>
                </c:pt>
                <c:pt idx="229">
                  <c:v>9/22/2020</c:v>
                </c:pt>
                <c:pt idx="230">
                  <c:v>9/23/2020</c:v>
                </c:pt>
                <c:pt idx="231">
                  <c:v>9/24/2020</c:v>
                </c:pt>
                <c:pt idx="232">
                  <c:v>9/25/2020</c:v>
                </c:pt>
                <c:pt idx="233">
                  <c:v>9/28/2020</c:v>
                </c:pt>
                <c:pt idx="234">
                  <c:v>9/29/2020</c:v>
                </c:pt>
                <c:pt idx="235">
                  <c:v>9/30/2020</c:v>
                </c:pt>
                <c:pt idx="236">
                  <c:v>10/1/2020</c:v>
                </c:pt>
                <c:pt idx="237">
                  <c:v>10/2/2020</c:v>
                </c:pt>
                <c:pt idx="238">
                  <c:v>10/5/2020</c:v>
                </c:pt>
                <c:pt idx="239">
                  <c:v>10/6/2020</c:v>
                </c:pt>
                <c:pt idx="240">
                  <c:v>10/7/2020</c:v>
                </c:pt>
                <c:pt idx="241">
                  <c:v>10/8/2020</c:v>
                </c:pt>
                <c:pt idx="242">
                  <c:v>10/9/2020</c:v>
                </c:pt>
                <c:pt idx="243">
                  <c:v>10/12/2020</c:v>
                </c:pt>
                <c:pt idx="244">
                  <c:v>10/13/2020</c:v>
                </c:pt>
                <c:pt idx="245">
                  <c:v>10/14/2020</c:v>
                </c:pt>
                <c:pt idx="246">
                  <c:v>10/15/2020</c:v>
                </c:pt>
                <c:pt idx="247">
                  <c:v>10/16/2020</c:v>
                </c:pt>
                <c:pt idx="248">
                  <c:v>10/19/2020</c:v>
                </c:pt>
                <c:pt idx="249">
                  <c:v>10/20/2020</c:v>
                </c:pt>
                <c:pt idx="250">
                  <c:v>10/21/2020</c:v>
                </c:pt>
                <c:pt idx="251">
                  <c:v>10/22/2020</c:v>
                </c:pt>
                <c:pt idx="252">
                  <c:v>10/23/2020</c:v>
                </c:pt>
                <c:pt idx="253">
                  <c:v>10/26/2020</c:v>
                </c:pt>
                <c:pt idx="254">
                  <c:v>10/27/2020</c:v>
                </c:pt>
                <c:pt idx="255">
                  <c:v>10/28/2020</c:v>
                </c:pt>
                <c:pt idx="256">
                  <c:v>10/29/2020</c:v>
                </c:pt>
                <c:pt idx="257">
                  <c:v>10/30/2020</c:v>
                </c:pt>
                <c:pt idx="258">
                  <c:v>11/2/2020</c:v>
                </c:pt>
                <c:pt idx="259">
                  <c:v>11/3/2020</c:v>
                </c:pt>
                <c:pt idx="260">
                  <c:v>11/4/2020</c:v>
                </c:pt>
                <c:pt idx="261">
                  <c:v>11/5/2020</c:v>
                </c:pt>
                <c:pt idx="262">
                  <c:v>11/6/2020</c:v>
                </c:pt>
                <c:pt idx="263">
                  <c:v>11/9/2020</c:v>
                </c:pt>
                <c:pt idx="264">
                  <c:v>11/10/2020</c:v>
                </c:pt>
                <c:pt idx="265">
                  <c:v>11/11/2020</c:v>
                </c:pt>
                <c:pt idx="266">
                  <c:v>11/12/2020</c:v>
                </c:pt>
                <c:pt idx="267">
                  <c:v>11/13/2020</c:v>
                </c:pt>
                <c:pt idx="268">
                  <c:v>11/16/2020</c:v>
                </c:pt>
                <c:pt idx="269">
                  <c:v>11/17/2020</c:v>
                </c:pt>
                <c:pt idx="270">
                  <c:v>11/18/2020</c:v>
                </c:pt>
                <c:pt idx="271">
                  <c:v>11/19/2020</c:v>
                </c:pt>
                <c:pt idx="272">
                  <c:v>11/20/2020</c:v>
                </c:pt>
                <c:pt idx="273">
                  <c:v>11/23/2020</c:v>
                </c:pt>
                <c:pt idx="274">
                  <c:v>11/24/2020</c:v>
                </c:pt>
                <c:pt idx="275">
                  <c:v>11/25/2020</c:v>
                </c:pt>
                <c:pt idx="276">
                  <c:v>11/26/2020</c:v>
                </c:pt>
                <c:pt idx="277">
                  <c:v>11/27/2020</c:v>
                </c:pt>
                <c:pt idx="278">
                  <c:v>11/30/2020</c:v>
                </c:pt>
                <c:pt idx="279">
                  <c:v>12/1/2020</c:v>
                </c:pt>
                <c:pt idx="280">
                  <c:v>12/2/2020</c:v>
                </c:pt>
                <c:pt idx="281">
                  <c:v>12/3/2020</c:v>
                </c:pt>
                <c:pt idx="282">
                  <c:v>12/4/2020</c:v>
                </c:pt>
                <c:pt idx="283">
                  <c:v>12/7/2020</c:v>
                </c:pt>
                <c:pt idx="284">
                  <c:v>12/8/2020</c:v>
                </c:pt>
                <c:pt idx="285">
                  <c:v>12/9/2020</c:v>
                </c:pt>
                <c:pt idx="286">
                  <c:v>12/10/2020</c:v>
                </c:pt>
                <c:pt idx="287">
                  <c:v>12/11/2020</c:v>
                </c:pt>
                <c:pt idx="288">
                  <c:v>12/14/2020</c:v>
                </c:pt>
                <c:pt idx="289">
                  <c:v>12/15/2020</c:v>
                </c:pt>
                <c:pt idx="290">
                  <c:v>12/16/2020</c:v>
                </c:pt>
                <c:pt idx="291">
                  <c:v>12/17/2020</c:v>
                </c:pt>
                <c:pt idx="292">
                  <c:v>12/18/2020</c:v>
                </c:pt>
                <c:pt idx="293">
                  <c:v>12/21/2020</c:v>
                </c:pt>
                <c:pt idx="294">
                  <c:v>12/22/2020</c:v>
                </c:pt>
                <c:pt idx="295">
                  <c:v>12/23/2020</c:v>
                </c:pt>
                <c:pt idx="296">
                  <c:v>12/24/2020</c:v>
                </c:pt>
                <c:pt idx="297">
                  <c:v>12/28/2020</c:v>
                </c:pt>
                <c:pt idx="298">
                  <c:v>12/29/2020</c:v>
                </c:pt>
                <c:pt idx="299">
                  <c:v>12/30/2020</c:v>
                </c:pt>
                <c:pt idx="300">
                  <c:v>12/31/2020</c:v>
                </c:pt>
                <c:pt idx="301">
                  <c:v>1/4/2021</c:v>
                </c:pt>
                <c:pt idx="302">
                  <c:v>1/5/2021</c:v>
                </c:pt>
                <c:pt idx="303">
                  <c:v>1/6/2021</c:v>
                </c:pt>
                <c:pt idx="304">
                  <c:v>1/7/2021</c:v>
                </c:pt>
                <c:pt idx="305">
                  <c:v>1/8/2021</c:v>
                </c:pt>
                <c:pt idx="306">
                  <c:v>1/11/2021</c:v>
                </c:pt>
                <c:pt idx="307">
                  <c:v>1/12/2021</c:v>
                </c:pt>
                <c:pt idx="308">
                  <c:v>1/13/2021</c:v>
                </c:pt>
                <c:pt idx="309">
                  <c:v>1/14/2021</c:v>
                </c:pt>
                <c:pt idx="310">
                  <c:v>1/15/2021</c:v>
                </c:pt>
                <c:pt idx="311">
                  <c:v>1/18/2021</c:v>
                </c:pt>
                <c:pt idx="312">
                  <c:v>1/19/2021</c:v>
                </c:pt>
                <c:pt idx="313">
                  <c:v>1/20/2021</c:v>
                </c:pt>
                <c:pt idx="314">
                  <c:v>1/21/2021</c:v>
                </c:pt>
                <c:pt idx="315">
                  <c:v>1/22/2021</c:v>
                </c:pt>
                <c:pt idx="316">
                  <c:v>1/25/2021</c:v>
                </c:pt>
                <c:pt idx="317">
                  <c:v>1/26/2021</c:v>
                </c:pt>
                <c:pt idx="318">
                  <c:v>1/27/2021</c:v>
                </c:pt>
                <c:pt idx="319">
                  <c:v>1/28/2021</c:v>
                </c:pt>
                <c:pt idx="320">
                  <c:v>1/29/2021</c:v>
                </c:pt>
                <c:pt idx="321">
                  <c:v>2/1/2021</c:v>
                </c:pt>
                <c:pt idx="322">
                  <c:v>2/2/2021</c:v>
                </c:pt>
                <c:pt idx="323">
                  <c:v>2/3/2021</c:v>
                </c:pt>
                <c:pt idx="324">
                  <c:v>2/4/2021</c:v>
                </c:pt>
                <c:pt idx="325">
                  <c:v>2/5/2021</c:v>
                </c:pt>
                <c:pt idx="326">
                  <c:v>2/8/2021</c:v>
                </c:pt>
                <c:pt idx="327">
                  <c:v>2/9/2021</c:v>
                </c:pt>
                <c:pt idx="328">
                  <c:v>2/10/2021</c:v>
                </c:pt>
                <c:pt idx="329">
                  <c:v>2/11/2021</c:v>
                </c:pt>
                <c:pt idx="330">
                  <c:v>2/12/2021</c:v>
                </c:pt>
                <c:pt idx="331">
                  <c:v>2/15/2021</c:v>
                </c:pt>
                <c:pt idx="332">
                  <c:v>2/16/2021</c:v>
                </c:pt>
                <c:pt idx="333">
                  <c:v>2/17/2021</c:v>
                </c:pt>
                <c:pt idx="334">
                  <c:v>2/18/2021</c:v>
                </c:pt>
                <c:pt idx="335">
                  <c:v>2/19/2021</c:v>
                </c:pt>
                <c:pt idx="336">
                  <c:v>2/22/2021</c:v>
                </c:pt>
                <c:pt idx="337">
                  <c:v>2/23/2021</c:v>
                </c:pt>
                <c:pt idx="338">
                  <c:v>2/24/2021</c:v>
                </c:pt>
                <c:pt idx="339">
                  <c:v>2/25/2021</c:v>
                </c:pt>
                <c:pt idx="340">
                  <c:v>2/26/2021</c:v>
                </c:pt>
                <c:pt idx="341">
                  <c:v>3/1/2021</c:v>
                </c:pt>
                <c:pt idx="342">
                  <c:v>3/2/2021</c:v>
                </c:pt>
                <c:pt idx="343">
                  <c:v>3/3/2021</c:v>
                </c:pt>
                <c:pt idx="344">
                  <c:v>3/4/2021</c:v>
                </c:pt>
                <c:pt idx="345">
                  <c:v>3/5/2021</c:v>
                </c:pt>
                <c:pt idx="346">
                  <c:v>3/8/2021</c:v>
                </c:pt>
                <c:pt idx="347">
                  <c:v>3/9/2021</c:v>
                </c:pt>
                <c:pt idx="348">
                  <c:v>3/10/2021</c:v>
                </c:pt>
                <c:pt idx="349">
                  <c:v>3/11/2021</c:v>
                </c:pt>
                <c:pt idx="350">
                  <c:v>3/12/2021</c:v>
                </c:pt>
                <c:pt idx="351">
                  <c:v>3/15/2021</c:v>
                </c:pt>
                <c:pt idx="352">
                  <c:v>3/16/2021</c:v>
                </c:pt>
                <c:pt idx="353">
                  <c:v>3/17/2021</c:v>
                </c:pt>
                <c:pt idx="354">
                  <c:v>3/18/2021</c:v>
                </c:pt>
                <c:pt idx="355">
                  <c:v>3/19/2021</c:v>
                </c:pt>
                <c:pt idx="356">
                  <c:v>3/22/2021</c:v>
                </c:pt>
                <c:pt idx="357">
                  <c:v>3/23/2021</c:v>
                </c:pt>
                <c:pt idx="358">
                  <c:v>3/24/2021</c:v>
                </c:pt>
                <c:pt idx="359">
                  <c:v>3/25/2021</c:v>
                </c:pt>
                <c:pt idx="360">
                  <c:v>3/26/2021</c:v>
                </c:pt>
                <c:pt idx="361">
                  <c:v>3/29/2021</c:v>
                </c:pt>
                <c:pt idx="362">
                  <c:v>3/30/2021</c:v>
                </c:pt>
                <c:pt idx="363">
                  <c:v>3/31/2021</c:v>
                </c:pt>
                <c:pt idx="364">
                  <c:v>4/1/2021</c:v>
                </c:pt>
                <c:pt idx="365">
                  <c:v>4/5/2021</c:v>
                </c:pt>
                <c:pt idx="366">
                  <c:v>4/6/2021</c:v>
                </c:pt>
                <c:pt idx="367">
                  <c:v>4/7/2021</c:v>
                </c:pt>
                <c:pt idx="368">
                  <c:v>4/8/2021</c:v>
                </c:pt>
                <c:pt idx="369">
                  <c:v>4/9/2021</c:v>
                </c:pt>
                <c:pt idx="370">
                  <c:v>4/12/2021</c:v>
                </c:pt>
                <c:pt idx="371">
                  <c:v>4/13/2021</c:v>
                </c:pt>
                <c:pt idx="372">
                  <c:v>4/14/2021</c:v>
                </c:pt>
                <c:pt idx="373">
                  <c:v>4/15/2021</c:v>
                </c:pt>
                <c:pt idx="374">
                  <c:v>4/16/2021</c:v>
                </c:pt>
                <c:pt idx="375">
                  <c:v>4/19/2021</c:v>
                </c:pt>
                <c:pt idx="376">
                  <c:v>4/20/2021</c:v>
                </c:pt>
                <c:pt idx="377">
                  <c:v>4/21/2021</c:v>
                </c:pt>
                <c:pt idx="378">
                  <c:v>4/22/2021</c:v>
                </c:pt>
                <c:pt idx="379">
                  <c:v>4/23/2021</c:v>
                </c:pt>
                <c:pt idx="380">
                  <c:v>4/26/2021</c:v>
                </c:pt>
                <c:pt idx="381">
                  <c:v>4/27/2021</c:v>
                </c:pt>
                <c:pt idx="382">
                  <c:v>4/28/2021</c:v>
                </c:pt>
                <c:pt idx="383">
                  <c:v>4/29/2021</c:v>
                </c:pt>
                <c:pt idx="384">
                  <c:v>4/30/2021</c:v>
                </c:pt>
                <c:pt idx="385">
                  <c:v>5/3/2021</c:v>
                </c:pt>
                <c:pt idx="386">
                  <c:v>5/4/2021</c:v>
                </c:pt>
                <c:pt idx="387">
                  <c:v>5/5/2021</c:v>
                </c:pt>
                <c:pt idx="388">
                  <c:v>5/6/2021</c:v>
                </c:pt>
                <c:pt idx="389">
                  <c:v>5/7/2021</c:v>
                </c:pt>
                <c:pt idx="390">
                  <c:v>5/10/2021</c:v>
                </c:pt>
                <c:pt idx="391">
                  <c:v>5/11/2021</c:v>
                </c:pt>
                <c:pt idx="392">
                  <c:v>5/12/2021</c:v>
                </c:pt>
                <c:pt idx="393">
                  <c:v>5/13/2021</c:v>
                </c:pt>
                <c:pt idx="394">
                  <c:v>5/14/2021</c:v>
                </c:pt>
                <c:pt idx="395">
                  <c:v>5/17/2021</c:v>
                </c:pt>
                <c:pt idx="396">
                  <c:v>5/18/2021</c:v>
                </c:pt>
                <c:pt idx="397">
                  <c:v>5/19/2021</c:v>
                </c:pt>
                <c:pt idx="398">
                  <c:v>5/20/2021</c:v>
                </c:pt>
                <c:pt idx="399">
                  <c:v>5/21/2021</c:v>
                </c:pt>
                <c:pt idx="400">
                  <c:v>5/24/2021</c:v>
                </c:pt>
                <c:pt idx="401">
                  <c:v>5/25/2021</c:v>
                </c:pt>
                <c:pt idx="402">
                  <c:v>5/26/2021</c:v>
                </c:pt>
                <c:pt idx="403">
                  <c:v>5/27/2021</c:v>
                </c:pt>
                <c:pt idx="404">
                  <c:v>5/28/2021</c:v>
                </c:pt>
                <c:pt idx="405">
                  <c:v>5/31/2021</c:v>
                </c:pt>
                <c:pt idx="406">
                  <c:v>6/1/2021</c:v>
                </c:pt>
                <c:pt idx="407">
                  <c:v>6/2/2021</c:v>
                </c:pt>
                <c:pt idx="408">
                  <c:v>6/3/2021</c:v>
                </c:pt>
                <c:pt idx="409">
                  <c:v>6/4/2021</c:v>
                </c:pt>
                <c:pt idx="410">
                  <c:v>6/7/2021</c:v>
                </c:pt>
                <c:pt idx="411">
                  <c:v>6/8/2021</c:v>
                </c:pt>
                <c:pt idx="412">
                  <c:v>6/9/2021</c:v>
                </c:pt>
                <c:pt idx="413">
                  <c:v>6/10/2021</c:v>
                </c:pt>
                <c:pt idx="414">
                  <c:v>6/11/2021</c:v>
                </c:pt>
                <c:pt idx="415">
                  <c:v>6/14/2021</c:v>
                </c:pt>
                <c:pt idx="416">
                  <c:v>6/15/2021</c:v>
                </c:pt>
                <c:pt idx="417">
                  <c:v>6/16/2021</c:v>
                </c:pt>
                <c:pt idx="418">
                  <c:v>6/17/2021</c:v>
                </c:pt>
                <c:pt idx="419">
                  <c:v>6/18/2021</c:v>
                </c:pt>
                <c:pt idx="420">
                  <c:v>6/21/2021</c:v>
                </c:pt>
                <c:pt idx="421">
                  <c:v>6/22/2021</c:v>
                </c:pt>
                <c:pt idx="422">
                  <c:v>6/23/2021</c:v>
                </c:pt>
                <c:pt idx="423">
                  <c:v>6/24/2021</c:v>
                </c:pt>
                <c:pt idx="424">
                  <c:v>6/25/2021</c:v>
                </c:pt>
                <c:pt idx="425">
                  <c:v>6/28/2021</c:v>
                </c:pt>
                <c:pt idx="426">
                  <c:v>6/29/2021</c:v>
                </c:pt>
                <c:pt idx="427">
                  <c:v>6/30/2021</c:v>
                </c:pt>
                <c:pt idx="428">
                  <c:v>7/1/2021</c:v>
                </c:pt>
                <c:pt idx="429">
                  <c:v>7/2/2021</c:v>
                </c:pt>
                <c:pt idx="430">
                  <c:v>7/5/2021</c:v>
                </c:pt>
                <c:pt idx="431">
                  <c:v>7/6/2021</c:v>
                </c:pt>
                <c:pt idx="432">
                  <c:v>7/7/2021</c:v>
                </c:pt>
                <c:pt idx="433">
                  <c:v>7/8/2021</c:v>
                </c:pt>
                <c:pt idx="434">
                  <c:v>7/9/2021</c:v>
                </c:pt>
                <c:pt idx="435">
                  <c:v>7/12/2021</c:v>
                </c:pt>
                <c:pt idx="436">
                  <c:v>7/13/2021</c:v>
                </c:pt>
                <c:pt idx="437">
                  <c:v>7/14/2021</c:v>
                </c:pt>
                <c:pt idx="438">
                  <c:v>7/15/2021</c:v>
                </c:pt>
                <c:pt idx="439">
                  <c:v>7/16/2021</c:v>
                </c:pt>
                <c:pt idx="440">
                  <c:v>7/19/2021</c:v>
                </c:pt>
                <c:pt idx="441">
                  <c:v>7/20/2021</c:v>
                </c:pt>
                <c:pt idx="442">
                  <c:v>7/21/2021</c:v>
                </c:pt>
                <c:pt idx="443">
                  <c:v>7/22/2021</c:v>
                </c:pt>
                <c:pt idx="444">
                  <c:v>7/23/2021</c:v>
                </c:pt>
                <c:pt idx="445">
                  <c:v>7/26/2021</c:v>
                </c:pt>
                <c:pt idx="446">
                  <c:v>7/27/2021</c:v>
                </c:pt>
                <c:pt idx="447">
                  <c:v>7/28/2021</c:v>
                </c:pt>
                <c:pt idx="448">
                  <c:v>7/29/2021</c:v>
                </c:pt>
                <c:pt idx="449">
                  <c:v>7/30/2021</c:v>
                </c:pt>
                <c:pt idx="450">
                  <c:v>8/2/2021</c:v>
                </c:pt>
                <c:pt idx="451">
                  <c:v>8/3/2021</c:v>
                </c:pt>
                <c:pt idx="452">
                  <c:v>8/4/2021</c:v>
                </c:pt>
                <c:pt idx="453">
                  <c:v>8/5/2021</c:v>
                </c:pt>
                <c:pt idx="454">
                  <c:v>8/6/2021</c:v>
                </c:pt>
                <c:pt idx="455">
                  <c:v>8/9/2021</c:v>
                </c:pt>
                <c:pt idx="456">
                  <c:v>8/10/2021</c:v>
                </c:pt>
                <c:pt idx="457">
                  <c:v>8/11/2021</c:v>
                </c:pt>
                <c:pt idx="458">
                  <c:v>8/12/2021</c:v>
                </c:pt>
                <c:pt idx="459">
                  <c:v>8/13/2021</c:v>
                </c:pt>
                <c:pt idx="460">
                  <c:v>8/16/2021</c:v>
                </c:pt>
                <c:pt idx="461">
                  <c:v>8/17/2021</c:v>
                </c:pt>
                <c:pt idx="462">
                  <c:v>8/18/2021</c:v>
                </c:pt>
                <c:pt idx="463">
                  <c:v>8/19/2021</c:v>
                </c:pt>
                <c:pt idx="464">
                  <c:v>8/20/2021</c:v>
                </c:pt>
                <c:pt idx="465">
                  <c:v>8/23/2021</c:v>
                </c:pt>
                <c:pt idx="466">
                  <c:v>8/24/2021</c:v>
                </c:pt>
                <c:pt idx="467">
                  <c:v>8/25/2021</c:v>
                </c:pt>
                <c:pt idx="468">
                  <c:v>8/26/2021</c:v>
                </c:pt>
                <c:pt idx="469">
                  <c:v>8/27/2021</c:v>
                </c:pt>
                <c:pt idx="470">
                  <c:v>8/30/2021</c:v>
                </c:pt>
                <c:pt idx="471">
                  <c:v>8/31/2021</c:v>
                </c:pt>
                <c:pt idx="472">
                  <c:v>9/1/2021</c:v>
                </c:pt>
                <c:pt idx="473">
                  <c:v>9/2/2021</c:v>
                </c:pt>
                <c:pt idx="474">
                  <c:v>9/3/2021</c:v>
                </c:pt>
                <c:pt idx="475">
                  <c:v>9/6/2021</c:v>
                </c:pt>
                <c:pt idx="476">
                  <c:v>9/7/2021</c:v>
                </c:pt>
                <c:pt idx="477">
                  <c:v>9/8/2021</c:v>
                </c:pt>
                <c:pt idx="478">
                  <c:v>9/9/2021</c:v>
                </c:pt>
                <c:pt idx="479">
                  <c:v>9/10/2021</c:v>
                </c:pt>
                <c:pt idx="480">
                  <c:v>9/13/2021</c:v>
                </c:pt>
                <c:pt idx="481">
                  <c:v>9/14/2021</c:v>
                </c:pt>
                <c:pt idx="482">
                  <c:v>9/15/2021</c:v>
                </c:pt>
                <c:pt idx="483">
                  <c:v>9/16/2021</c:v>
                </c:pt>
                <c:pt idx="484">
                  <c:v>9/17/2021</c:v>
                </c:pt>
                <c:pt idx="485">
                  <c:v>9/20/2021</c:v>
                </c:pt>
                <c:pt idx="486">
                  <c:v>9/21/2021</c:v>
                </c:pt>
                <c:pt idx="487">
                  <c:v>9/22/2021</c:v>
                </c:pt>
                <c:pt idx="488">
                  <c:v>9/23/2021</c:v>
                </c:pt>
                <c:pt idx="489">
                  <c:v>9/24/2021</c:v>
                </c:pt>
                <c:pt idx="490">
                  <c:v>9/27/2021</c:v>
                </c:pt>
                <c:pt idx="491">
                  <c:v>9/28/2021</c:v>
                </c:pt>
                <c:pt idx="492">
                  <c:v>9/29/2021</c:v>
                </c:pt>
                <c:pt idx="493">
                  <c:v>9/30/2021</c:v>
                </c:pt>
                <c:pt idx="494">
                  <c:v>10/1/2021</c:v>
                </c:pt>
                <c:pt idx="495">
                  <c:v>10/4/2021</c:v>
                </c:pt>
                <c:pt idx="496">
                  <c:v>10/5/2021</c:v>
                </c:pt>
                <c:pt idx="497">
                  <c:v>10/6/2021</c:v>
                </c:pt>
                <c:pt idx="498">
                  <c:v>10/7/2021</c:v>
                </c:pt>
                <c:pt idx="499">
                  <c:v>10/8/2021</c:v>
                </c:pt>
                <c:pt idx="500">
                  <c:v>10/11/2021</c:v>
                </c:pt>
                <c:pt idx="501">
                  <c:v>10/12/2021</c:v>
                </c:pt>
                <c:pt idx="502">
                  <c:v>10/13/2021</c:v>
                </c:pt>
                <c:pt idx="503">
                  <c:v>10/14/2021</c:v>
                </c:pt>
                <c:pt idx="504">
                  <c:v>10/15/2021</c:v>
                </c:pt>
                <c:pt idx="505">
                  <c:v>10/18/2021</c:v>
                </c:pt>
                <c:pt idx="506">
                  <c:v>10/19/2021</c:v>
                </c:pt>
                <c:pt idx="507">
                  <c:v>10/20/2021</c:v>
                </c:pt>
                <c:pt idx="508">
                  <c:v>10/21/2021</c:v>
                </c:pt>
                <c:pt idx="509">
                  <c:v>10/22/2021</c:v>
                </c:pt>
                <c:pt idx="510">
                  <c:v>10/25/2021</c:v>
                </c:pt>
                <c:pt idx="511">
                  <c:v>10/26/2021</c:v>
                </c:pt>
                <c:pt idx="512">
                  <c:v>10/27/2021</c:v>
                </c:pt>
                <c:pt idx="513">
                  <c:v>10/28/2021</c:v>
                </c:pt>
                <c:pt idx="514">
                  <c:v>10/29/2021</c:v>
                </c:pt>
                <c:pt idx="515">
                  <c:v>11/1/2021</c:v>
                </c:pt>
                <c:pt idx="516">
                  <c:v>11/2/2021</c:v>
                </c:pt>
                <c:pt idx="517">
                  <c:v>11/3/2021</c:v>
                </c:pt>
                <c:pt idx="518">
                  <c:v>11/4/2021</c:v>
                </c:pt>
                <c:pt idx="519">
                  <c:v>11/5/2021</c:v>
                </c:pt>
                <c:pt idx="520">
                  <c:v>11/8/2021</c:v>
                </c:pt>
                <c:pt idx="521">
                  <c:v>11/9/2021</c:v>
                </c:pt>
                <c:pt idx="522">
                  <c:v>11/10/2021</c:v>
                </c:pt>
                <c:pt idx="523">
                  <c:v>11/11/2021</c:v>
                </c:pt>
                <c:pt idx="524">
                  <c:v>11/12/2021</c:v>
                </c:pt>
                <c:pt idx="525">
                  <c:v>11/15/2021</c:v>
                </c:pt>
                <c:pt idx="526">
                  <c:v>11/16/2021</c:v>
                </c:pt>
                <c:pt idx="527">
                  <c:v>11/17/2021</c:v>
                </c:pt>
                <c:pt idx="528">
                  <c:v>11/18/2021</c:v>
                </c:pt>
                <c:pt idx="529">
                  <c:v>11/19/2021</c:v>
                </c:pt>
                <c:pt idx="530">
                  <c:v>11/22/2021</c:v>
                </c:pt>
                <c:pt idx="531">
                  <c:v>11/23/2021</c:v>
                </c:pt>
                <c:pt idx="532">
                  <c:v>11/24/2021</c:v>
                </c:pt>
                <c:pt idx="533">
                  <c:v>11/25/2021</c:v>
                </c:pt>
                <c:pt idx="534">
                  <c:v>11/26/2021</c:v>
                </c:pt>
                <c:pt idx="535">
                  <c:v>11/29/2021</c:v>
                </c:pt>
                <c:pt idx="536">
                  <c:v>11/30/2021</c:v>
                </c:pt>
                <c:pt idx="537">
                  <c:v>12/1/2021</c:v>
                </c:pt>
                <c:pt idx="538">
                  <c:v>12/2/2021</c:v>
                </c:pt>
                <c:pt idx="539">
                  <c:v>12/3/2021</c:v>
                </c:pt>
                <c:pt idx="540">
                  <c:v>12/6/2021</c:v>
                </c:pt>
                <c:pt idx="541">
                  <c:v>12/7/2021</c:v>
                </c:pt>
                <c:pt idx="542">
                  <c:v>12/8/2021</c:v>
                </c:pt>
                <c:pt idx="543">
                  <c:v>12/9/2021</c:v>
                </c:pt>
                <c:pt idx="544">
                  <c:v>12/10/2021</c:v>
                </c:pt>
                <c:pt idx="545">
                  <c:v>12/13/2021</c:v>
                </c:pt>
                <c:pt idx="546">
                  <c:v>12/14/2021</c:v>
                </c:pt>
                <c:pt idx="547">
                  <c:v>12/15/2021</c:v>
                </c:pt>
                <c:pt idx="548">
                  <c:v>12/16/2021</c:v>
                </c:pt>
                <c:pt idx="549">
                  <c:v>12/17/2021</c:v>
                </c:pt>
                <c:pt idx="550">
                  <c:v>12/20/2021</c:v>
                </c:pt>
                <c:pt idx="551">
                  <c:v>12/21/2021</c:v>
                </c:pt>
                <c:pt idx="552">
                  <c:v>12/22/2021</c:v>
                </c:pt>
                <c:pt idx="553">
                  <c:v>12/23/2021</c:v>
                </c:pt>
                <c:pt idx="554">
                  <c:v>12/24/2021</c:v>
                </c:pt>
                <c:pt idx="555">
                  <c:v>12/27/2021</c:v>
                </c:pt>
                <c:pt idx="556">
                  <c:v>12/28/2021</c:v>
                </c:pt>
                <c:pt idx="557">
                  <c:v>12/29/2021</c:v>
                </c:pt>
                <c:pt idx="558">
                  <c:v>12/30/2021</c:v>
                </c:pt>
                <c:pt idx="559">
                  <c:v>12/31/2021</c:v>
                </c:pt>
                <c:pt idx="560">
                  <c:v>1/3/2022</c:v>
                </c:pt>
                <c:pt idx="561">
                  <c:v>1/4/2022</c:v>
                </c:pt>
                <c:pt idx="562">
                  <c:v>1/5/2022</c:v>
                </c:pt>
                <c:pt idx="563">
                  <c:v>1/6/2022</c:v>
                </c:pt>
                <c:pt idx="564">
                  <c:v>1/7/2022</c:v>
                </c:pt>
                <c:pt idx="565">
                  <c:v>1/10/2022</c:v>
                </c:pt>
                <c:pt idx="566">
                  <c:v>1/11/2022</c:v>
                </c:pt>
                <c:pt idx="567">
                  <c:v>1/12/2022</c:v>
                </c:pt>
                <c:pt idx="568">
                  <c:v>1/13/2022</c:v>
                </c:pt>
                <c:pt idx="569">
                  <c:v>1/14/2022</c:v>
                </c:pt>
                <c:pt idx="570">
                  <c:v>1/17/2022</c:v>
                </c:pt>
                <c:pt idx="571">
                  <c:v>1/18/2022</c:v>
                </c:pt>
                <c:pt idx="572">
                  <c:v>1/19/2022</c:v>
                </c:pt>
                <c:pt idx="573">
                  <c:v>1/20/2022</c:v>
                </c:pt>
                <c:pt idx="574">
                  <c:v>1/21/2022</c:v>
                </c:pt>
                <c:pt idx="575">
                  <c:v>1/24/2022</c:v>
                </c:pt>
                <c:pt idx="576">
                  <c:v>1/25/2022</c:v>
                </c:pt>
                <c:pt idx="577">
                  <c:v>1/26/2022</c:v>
                </c:pt>
                <c:pt idx="578">
                  <c:v>1/27/2022</c:v>
                </c:pt>
                <c:pt idx="579">
                  <c:v>1/28/2022</c:v>
                </c:pt>
                <c:pt idx="580">
                  <c:v>1/31/2022</c:v>
                </c:pt>
                <c:pt idx="581">
                  <c:v>2/1/2022</c:v>
                </c:pt>
                <c:pt idx="582">
                  <c:v>2/2/2022</c:v>
                </c:pt>
                <c:pt idx="583">
                  <c:v>2/3/2022</c:v>
                </c:pt>
                <c:pt idx="584">
                  <c:v>2/4/2022</c:v>
                </c:pt>
                <c:pt idx="585">
                  <c:v>2/7/2022</c:v>
                </c:pt>
                <c:pt idx="586">
                  <c:v>2/8/2022</c:v>
                </c:pt>
                <c:pt idx="587">
                  <c:v>2/9/2022</c:v>
                </c:pt>
                <c:pt idx="588">
                  <c:v>2/10/2022</c:v>
                </c:pt>
                <c:pt idx="589">
                  <c:v>2/11/2022</c:v>
                </c:pt>
                <c:pt idx="590">
                  <c:v>2/14/2022</c:v>
                </c:pt>
                <c:pt idx="591">
                  <c:v>2/15/2022</c:v>
                </c:pt>
                <c:pt idx="592">
                  <c:v>2/16/2022</c:v>
                </c:pt>
                <c:pt idx="593">
                  <c:v>2/17/2022</c:v>
                </c:pt>
                <c:pt idx="594">
                  <c:v>2/18/2022</c:v>
                </c:pt>
                <c:pt idx="595">
                  <c:v>2/21/2022</c:v>
                </c:pt>
                <c:pt idx="596">
                  <c:v>2/22/2022</c:v>
                </c:pt>
                <c:pt idx="597">
                  <c:v>2/23/2022</c:v>
                </c:pt>
                <c:pt idx="598">
                  <c:v>2/24/2022</c:v>
                </c:pt>
                <c:pt idx="599">
                  <c:v>2/25/2022</c:v>
                </c:pt>
                <c:pt idx="600">
                  <c:v>2/28/2022</c:v>
                </c:pt>
                <c:pt idx="601">
                  <c:v>3/1/2022</c:v>
                </c:pt>
                <c:pt idx="602">
                  <c:v>3/2/2022</c:v>
                </c:pt>
                <c:pt idx="603">
                  <c:v>3/3/2022</c:v>
                </c:pt>
                <c:pt idx="604">
                  <c:v>3/4/2022</c:v>
                </c:pt>
                <c:pt idx="605">
                  <c:v>3/7/2022</c:v>
                </c:pt>
                <c:pt idx="606">
                  <c:v>3/8/2022</c:v>
                </c:pt>
                <c:pt idx="607">
                  <c:v>3/9/2022</c:v>
                </c:pt>
                <c:pt idx="608">
                  <c:v>3/10/2022</c:v>
                </c:pt>
                <c:pt idx="609">
                  <c:v>3/11/2022</c:v>
                </c:pt>
                <c:pt idx="610">
                  <c:v>3/14/2022</c:v>
                </c:pt>
                <c:pt idx="611">
                  <c:v>3/15/2022</c:v>
                </c:pt>
                <c:pt idx="612">
                  <c:v>3/16/2022</c:v>
                </c:pt>
                <c:pt idx="613">
                  <c:v>3/17/2022</c:v>
                </c:pt>
                <c:pt idx="614">
                  <c:v>3/18/2022</c:v>
                </c:pt>
                <c:pt idx="615">
                  <c:v>3/21/2022</c:v>
                </c:pt>
                <c:pt idx="616">
                  <c:v>3/22/2022</c:v>
                </c:pt>
                <c:pt idx="617">
                  <c:v>3/23/2022</c:v>
                </c:pt>
                <c:pt idx="618">
                  <c:v>3/24/2022</c:v>
                </c:pt>
                <c:pt idx="619">
                  <c:v>3/25/2022</c:v>
                </c:pt>
                <c:pt idx="620">
                  <c:v>3/28/2022</c:v>
                </c:pt>
                <c:pt idx="621">
                  <c:v>3/29/2022</c:v>
                </c:pt>
                <c:pt idx="622">
                  <c:v>3/30/2022</c:v>
                </c:pt>
                <c:pt idx="623">
                  <c:v>3/31/2022</c:v>
                </c:pt>
                <c:pt idx="624">
                  <c:v>4/1/2022</c:v>
                </c:pt>
                <c:pt idx="625">
                  <c:v>4/4/2022</c:v>
                </c:pt>
                <c:pt idx="626">
                  <c:v>4/5/2022</c:v>
                </c:pt>
                <c:pt idx="627">
                  <c:v>4/6/2022</c:v>
                </c:pt>
                <c:pt idx="628">
                  <c:v>4/7/2022</c:v>
                </c:pt>
                <c:pt idx="629">
                  <c:v>4/8/2022</c:v>
                </c:pt>
                <c:pt idx="630">
                  <c:v>4/11/2022</c:v>
                </c:pt>
                <c:pt idx="631">
                  <c:v>4/12/2022</c:v>
                </c:pt>
                <c:pt idx="632">
                  <c:v>4/13/2022</c:v>
                </c:pt>
                <c:pt idx="633">
                  <c:v>4/14/2022</c:v>
                </c:pt>
                <c:pt idx="634">
                  <c:v>4/18/2022</c:v>
                </c:pt>
                <c:pt idx="635">
                  <c:v>4/19/2022</c:v>
                </c:pt>
                <c:pt idx="636">
                  <c:v>4/20/2022</c:v>
                </c:pt>
                <c:pt idx="637">
                  <c:v>4/21/2022</c:v>
                </c:pt>
                <c:pt idx="638">
                  <c:v>4/22/2022</c:v>
                </c:pt>
                <c:pt idx="639">
                  <c:v>4/25/2022</c:v>
                </c:pt>
                <c:pt idx="640">
                  <c:v>4/26/2022</c:v>
                </c:pt>
                <c:pt idx="641">
                  <c:v>4/27/2022</c:v>
                </c:pt>
                <c:pt idx="642">
                  <c:v>4/28/2022</c:v>
                </c:pt>
                <c:pt idx="643">
                  <c:v>4/29/2022</c:v>
                </c:pt>
                <c:pt idx="644">
                  <c:v>5/2/2022</c:v>
                </c:pt>
                <c:pt idx="645">
                  <c:v>5/3/2022</c:v>
                </c:pt>
                <c:pt idx="646">
                  <c:v>5/4/2022</c:v>
                </c:pt>
                <c:pt idx="647">
                  <c:v>5/5/2022</c:v>
                </c:pt>
                <c:pt idx="648">
                  <c:v>5/6/2022</c:v>
                </c:pt>
                <c:pt idx="649">
                  <c:v>5/9/2022</c:v>
                </c:pt>
                <c:pt idx="650">
                  <c:v>5/10/2022</c:v>
                </c:pt>
                <c:pt idx="651">
                  <c:v>5/11/2022</c:v>
                </c:pt>
                <c:pt idx="652">
                  <c:v>5/12/2022</c:v>
                </c:pt>
                <c:pt idx="653">
                  <c:v>5/13/2022</c:v>
                </c:pt>
                <c:pt idx="654">
                  <c:v>5/16/2022</c:v>
                </c:pt>
                <c:pt idx="655">
                  <c:v>5/17/2022</c:v>
                </c:pt>
                <c:pt idx="656">
                  <c:v>5/18/2022</c:v>
                </c:pt>
                <c:pt idx="657">
                  <c:v>5/19/2022</c:v>
                </c:pt>
                <c:pt idx="658">
                  <c:v>5/20/2022</c:v>
                </c:pt>
                <c:pt idx="659">
                  <c:v>5/23/2022</c:v>
                </c:pt>
                <c:pt idx="660">
                  <c:v>5/24/2022</c:v>
                </c:pt>
                <c:pt idx="661">
                  <c:v>5/25/2022</c:v>
                </c:pt>
                <c:pt idx="662">
                  <c:v>5/26/2022</c:v>
                </c:pt>
                <c:pt idx="663">
                  <c:v>5/27/2022</c:v>
                </c:pt>
                <c:pt idx="664">
                  <c:v>5/30/2022</c:v>
                </c:pt>
                <c:pt idx="665">
                  <c:v>5/31/2022</c:v>
                </c:pt>
                <c:pt idx="666">
                  <c:v>6/1/2022</c:v>
                </c:pt>
                <c:pt idx="667">
                  <c:v>6/2/2022</c:v>
                </c:pt>
                <c:pt idx="668">
                  <c:v>6/3/2022</c:v>
                </c:pt>
                <c:pt idx="669">
                  <c:v>6/6/2022</c:v>
                </c:pt>
                <c:pt idx="670">
                  <c:v>6/7/2022</c:v>
                </c:pt>
                <c:pt idx="671">
                  <c:v>6/8/2022</c:v>
                </c:pt>
                <c:pt idx="672">
                  <c:v>6/9/2022</c:v>
                </c:pt>
                <c:pt idx="673">
                  <c:v>6/10/2022</c:v>
                </c:pt>
                <c:pt idx="674">
                  <c:v>6/13/2022</c:v>
                </c:pt>
                <c:pt idx="675">
                  <c:v>6/14/2022</c:v>
                </c:pt>
                <c:pt idx="676">
                  <c:v>6/15/2022</c:v>
                </c:pt>
                <c:pt idx="677">
                  <c:v>6/16/2022</c:v>
                </c:pt>
                <c:pt idx="678">
                  <c:v>6/17/2022</c:v>
                </c:pt>
                <c:pt idx="679">
                  <c:v>6/21/2022</c:v>
                </c:pt>
                <c:pt idx="680">
                  <c:v>6/22/2022</c:v>
                </c:pt>
                <c:pt idx="681">
                  <c:v>6/23/2022</c:v>
                </c:pt>
                <c:pt idx="682">
                  <c:v>6/24/2022</c:v>
                </c:pt>
                <c:pt idx="683">
                  <c:v>6/27/2022</c:v>
                </c:pt>
              </c:strCache>
            </c:strRef>
          </c:cat>
          <c:val>
            <c:numRef>
              <c:f>'Crude to Gas Correlation '!$B$4:$B$688</c:f>
              <c:numCache>
                <c:formatCode>"$"#,##0.00</c:formatCode>
                <c:ptCount val="684"/>
                <c:pt idx="0">
                  <c:v>52.66</c:v>
                </c:pt>
                <c:pt idx="1">
                  <c:v>53.32</c:v>
                </c:pt>
                <c:pt idx="2">
                  <c:v>54.09</c:v>
                </c:pt>
                <c:pt idx="3">
                  <c:v>53.41</c:v>
                </c:pt>
                <c:pt idx="4">
                  <c:v>52.97</c:v>
                </c:pt>
                <c:pt idx="5">
                  <c:v>53.26</c:v>
                </c:pt>
                <c:pt idx="6">
                  <c:v>53.54</c:v>
                </c:pt>
                <c:pt idx="7">
                  <c:v>53.47</c:v>
                </c:pt>
                <c:pt idx="8">
                  <c:v>53.32</c:v>
                </c:pt>
                <c:pt idx="9">
                  <c:v>53.65</c:v>
                </c:pt>
                <c:pt idx="10">
                  <c:v>54.11</c:v>
                </c:pt>
                <c:pt idx="11">
                  <c:v>54.18</c:v>
                </c:pt>
                <c:pt idx="12">
                  <c:v>54.27</c:v>
                </c:pt>
                <c:pt idx="13">
                  <c:v>54.12</c:v>
                </c:pt>
                <c:pt idx="14">
                  <c:v>54.09</c:v>
                </c:pt>
                <c:pt idx="15">
                  <c:v>54.04</c:v>
                </c:pt>
                <c:pt idx="16">
                  <c:v>54.01</c:v>
                </c:pt>
                <c:pt idx="17">
                  <c:v>56.22</c:v>
                </c:pt>
                <c:pt idx="18">
                  <c:v>56.54</c:v>
                </c:pt>
                <c:pt idx="19">
                  <c:v>57.16</c:v>
                </c:pt>
                <c:pt idx="20">
                  <c:v>56.41</c:v>
                </c:pt>
                <c:pt idx="21">
                  <c:v>57.04</c:v>
                </c:pt>
                <c:pt idx="22">
                  <c:v>57.11</c:v>
                </c:pt>
                <c:pt idx="23">
                  <c:v>56.85</c:v>
                </c:pt>
                <c:pt idx="24">
                  <c:v>56.81</c:v>
                </c:pt>
                <c:pt idx="25">
                  <c:v>57.01</c:v>
                </c:pt>
                <c:pt idx="26">
                  <c:v>56.83</c:v>
                </c:pt>
                <c:pt idx="27">
                  <c:v>57.31</c:v>
                </c:pt>
                <c:pt idx="28">
                  <c:v>57</c:v>
                </c:pt>
                <c:pt idx="29">
                  <c:v>56.28</c:v>
                </c:pt>
                <c:pt idx="30">
                  <c:v>56.87</c:v>
                </c:pt>
                <c:pt idx="31">
                  <c:v>57.34</c:v>
                </c:pt>
                <c:pt idx="32">
                  <c:v>57.14</c:v>
                </c:pt>
                <c:pt idx="33">
                  <c:v>57.19</c:v>
                </c:pt>
                <c:pt idx="34">
                  <c:v>57.25</c:v>
                </c:pt>
                <c:pt idx="35">
                  <c:v>57.22</c:v>
                </c:pt>
                <c:pt idx="36">
                  <c:v>57.07</c:v>
                </c:pt>
                <c:pt idx="37">
                  <c:v>55.94</c:v>
                </c:pt>
                <c:pt idx="38">
                  <c:v>56.07</c:v>
                </c:pt>
                <c:pt idx="39">
                  <c:v>58.17</c:v>
                </c:pt>
                <c:pt idx="40">
                  <c:v>58.17</c:v>
                </c:pt>
                <c:pt idx="41">
                  <c:v>58.79</c:v>
                </c:pt>
                <c:pt idx="42">
                  <c:v>58.65</c:v>
                </c:pt>
                <c:pt idx="43">
                  <c:v>58.81</c:v>
                </c:pt>
                <c:pt idx="44">
                  <c:v>58.49</c:v>
                </c:pt>
                <c:pt idx="45">
                  <c:v>58.74</c:v>
                </c:pt>
                <c:pt idx="46">
                  <c:v>59.26</c:v>
                </c:pt>
                <c:pt idx="47">
                  <c:v>59.34</c:v>
                </c:pt>
                <c:pt idx="48">
                  <c:v>59.69</c:v>
                </c:pt>
                <c:pt idx="49">
                  <c:v>59.68</c:v>
                </c:pt>
                <c:pt idx="50">
                  <c:v>59.81</c:v>
                </c:pt>
                <c:pt idx="51">
                  <c:v>59.56</c:v>
                </c:pt>
                <c:pt idx="52">
                  <c:v>59.58</c:v>
                </c:pt>
                <c:pt idx="53">
                  <c:v>59.72</c:v>
                </c:pt>
                <c:pt idx="54">
                  <c:v>59.83</c:v>
                </c:pt>
                <c:pt idx="55">
                  <c:v>59.84</c:v>
                </c:pt>
                <c:pt idx="56">
                  <c:v>59.83</c:v>
                </c:pt>
                <c:pt idx="57">
                  <c:v>59.8</c:v>
                </c:pt>
                <c:pt idx="58">
                  <c:v>61.09</c:v>
                </c:pt>
                <c:pt idx="59">
                  <c:v>62.52</c:v>
                </c:pt>
                <c:pt idx="60">
                  <c:v>61.98</c:v>
                </c:pt>
                <c:pt idx="61">
                  <c:v>60.67</c:v>
                </c:pt>
                <c:pt idx="62">
                  <c:v>60.11</c:v>
                </c:pt>
                <c:pt idx="63">
                  <c:v>58.8</c:v>
                </c:pt>
                <c:pt idx="64">
                  <c:v>58.94</c:v>
                </c:pt>
                <c:pt idx="65">
                  <c:v>55.53</c:v>
                </c:pt>
                <c:pt idx="66">
                  <c:v>54.68</c:v>
                </c:pt>
                <c:pt idx="67">
                  <c:v>55.01</c:v>
                </c:pt>
                <c:pt idx="68">
                  <c:v>55.74</c:v>
                </c:pt>
                <c:pt idx="69">
                  <c:v>55.13</c:v>
                </c:pt>
                <c:pt idx="70">
                  <c:v>54.21</c:v>
                </c:pt>
                <c:pt idx="71">
                  <c:v>54.2</c:v>
                </c:pt>
                <c:pt idx="72">
                  <c:v>55.59</c:v>
                </c:pt>
                <c:pt idx="73">
                  <c:v>55.9</c:v>
                </c:pt>
                <c:pt idx="74">
                  <c:v>56.77</c:v>
                </c:pt>
                <c:pt idx="75">
                  <c:v>57.28</c:v>
                </c:pt>
                <c:pt idx="76">
                  <c:v>56.72</c:v>
                </c:pt>
                <c:pt idx="77">
                  <c:v>57.56</c:v>
                </c:pt>
                <c:pt idx="78">
                  <c:v>57.53</c:v>
                </c:pt>
                <c:pt idx="79">
                  <c:v>50.16</c:v>
                </c:pt>
                <c:pt idx="80">
                  <c:v>49.7</c:v>
                </c:pt>
                <c:pt idx="81">
                  <c:v>50.71</c:v>
                </c:pt>
                <c:pt idx="82">
                  <c:v>50.88</c:v>
                </c:pt>
                <c:pt idx="83">
                  <c:v>50.4</c:v>
                </c:pt>
                <c:pt idx="84">
                  <c:v>49.84</c:v>
                </c:pt>
                <c:pt idx="85">
                  <c:v>50.1</c:v>
                </c:pt>
                <c:pt idx="86">
                  <c:v>50.88</c:v>
                </c:pt>
                <c:pt idx="87">
                  <c:v>51.03</c:v>
                </c:pt>
                <c:pt idx="88">
                  <c:v>51.37</c:v>
                </c:pt>
                <c:pt idx="89">
                  <c:v>48.35</c:v>
                </c:pt>
                <c:pt idx="90">
                  <c:v>34.72</c:v>
                </c:pt>
                <c:pt idx="91">
                  <c:v>35.729999999999997</c:v>
                </c:pt>
                <c:pt idx="92">
                  <c:v>35.56</c:v>
                </c:pt>
                <c:pt idx="93">
                  <c:v>33.270000000000003</c:v>
                </c:pt>
                <c:pt idx="94">
                  <c:v>34.14</c:v>
                </c:pt>
                <c:pt idx="95">
                  <c:v>30.63</c:v>
                </c:pt>
                <c:pt idx="96">
                  <c:v>30.36</c:v>
                </c:pt>
                <c:pt idx="97">
                  <c:v>27.31</c:v>
                </c:pt>
                <c:pt idx="98">
                  <c:v>26.73</c:v>
                </c:pt>
                <c:pt idx="99">
                  <c:v>28.57</c:v>
                </c:pt>
                <c:pt idx="100">
                  <c:v>24.72</c:v>
                </c:pt>
                <c:pt idx="101">
                  <c:v>26.53</c:v>
                </c:pt>
                <c:pt idx="102">
                  <c:v>26.94</c:v>
                </c:pt>
                <c:pt idx="103">
                  <c:v>26.04</c:v>
                </c:pt>
                <c:pt idx="104">
                  <c:v>24.26</c:v>
                </c:pt>
                <c:pt idx="105">
                  <c:v>21.66</c:v>
                </c:pt>
                <c:pt idx="106">
                  <c:v>22.61</c:v>
                </c:pt>
                <c:pt idx="107">
                  <c:v>16.850000000000001</c:v>
                </c:pt>
                <c:pt idx="108">
                  <c:v>18.91</c:v>
                </c:pt>
                <c:pt idx="109">
                  <c:v>23.01</c:v>
                </c:pt>
                <c:pt idx="110">
                  <c:v>23.48</c:v>
                </c:pt>
                <c:pt idx="111">
                  <c:v>22.67</c:v>
                </c:pt>
                <c:pt idx="112">
                  <c:v>21.19</c:v>
                </c:pt>
                <c:pt idx="113">
                  <c:v>21.77</c:v>
                </c:pt>
                <c:pt idx="114">
                  <c:v>21.18</c:v>
                </c:pt>
                <c:pt idx="115">
                  <c:v>19.7</c:v>
                </c:pt>
                <c:pt idx="116">
                  <c:v>17.510000000000002</c:v>
                </c:pt>
                <c:pt idx="117">
                  <c:v>17.73</c:v>
                </c:pt>
                <c:pt idx="118">
                  <c:v>18.170000000000002</c:v>
                </c:pt>
                <c:pt idx="119">
                  <c:v>14.19</c:v>
                </c:pt>
                <c:pt idx="120">
                  <c:v>14.63</c:v>
                </c:pt>
                <c:pt idx="121">
                  <c:v>12.22</c:v>
                </c:pt>
                <c:pt idx="122">
                  <c:v>15.23</c:v>
                </c:pt>
                <c:pt idx="123">
                  <c:v>14.31</c:v>
                </c:pt>
                <c:pt idx="124">
                  <c:v>13.3</c:v>
                </c:pt>
                <c:pt idx="125">
                  <c:v>12.41</c:v>
                </c:pt>
                <c:pt idx="126">
                  <c:v>14.36</c:v>
                </c:pt>
                <c:pt idx="127">
                  <c:v>18.05</c:v>
                </c:pt>
                <c:pt idx="128">
                  <c:v>16.52</c:v>
                </c:pt>
                <c:pt idx="129">
                  <c:v>18.36</c:v>
                </c:pt>
                <c:pt idx="130">
                  <c:v>21.43</c:v>
                </c:pt>
                <c:pt idx="131">
                  <c:v>22.4</c:v>
                </c:pt>
                <c:pt idx="132">
                  <c:v>16.18</c:v>
                </c:pt>
                <c:pt idx="133">
                  <c:v>15.5</c:v>
                </c:pt>
                <c:pt idx="134">
                  <c:v>16.23</c:v>
                </c:pt>
                <c:pt idx="135">
                  <c:v>17.010000000000002</c:v>
                </c:pt>
                <c:pt idx="136">
                  <c:v>17.12</c:v>
                </c:pt>
                <c:pt idx="137">
                  <c:v>16.32</c:v>
                </c:pt>
                <c:pt idx="138">
                  <c:v>16.260000000000002</c:v>
                </c:pt>
                <c:pt idx="139">
                  <c:v>16.52</c:v>
                </c:pt>
                <c:pt idx="140">
                  <c:v>16.7</c:v>
                </c:pt>
                <c:pt idx="141">
                  <c:v>20.66</c:v>
                </c:pt>
                <c:pt idx="142">
                  <c:v>21.2</c:v>
                </c:pt>
                <c:pt idx="143">
                  <c:v>24.79</c:v>
                </c:pt>
                <c:pt idx="144">
                  <c:v>24.2</c:v>
                </c:pt>
                <c:pt idx="145">
                  <c:v>23.72</c:v>
                </c:pt>
                <c:pt idx="146">
                  <c:v>24.67</c:v>
                </c:pt>
                <c:pt idx="147">
                  <c:v>24.08</c:v>
                </c:pt>
                <c:pt idx="148">
                  <c:v>25.01</c:v>
                </c:pt>
                <c:pt idx="149">
                  <c:v>24.66</c:v>
                </c:pt>
                <c:pt idx="150">
                  <c:v>25.88</c:v>
                </c:pt>
                <c:pt idx="151">
                  <c:v>26.74</c:v>
                </c:pt>
                <c:pt idx="152">
                  <c:v>27.72</c:v>
                </c:pt>
                <c:pt idx="153">
                  <c:v>27.86</c:v>
                </c:pt>
                <c:pt idx="154">
                  <c:v>28.4</c:v>
                </c:pt>
                <c:pt idx="155">
                  <c:v>28.53</c:v>
                </c:pt>
                <c:pt idx="156">
                  <c:v>28.36</c:v>
                </c:pt>
                <c:pt idx="157">
                  <c:v>28.58</c:v>
                </c:pt>
                <c:pt idx="158">
                  <c:v>28.35</c:v>
                </c:pt>
                <c:pt idx="159">
                  <c:v>28.44</c:v>
                </c:pt>
                <c:pt idx="160">
                  <c:v>28.53</c:v>
                </c:pt>
                <c:pt idx="161">
                  <c:v>35.54</c:v>
                </c:pt>
                <c:pt idx="162">
                  <c:v>36.82</c:v>
                </c:pt>
                <c:pt idx="163">
                  <c:v>37.270000000000003</c:v>
                </c:pt>
                <c:pt idx="164">
                  <c:v>37.369999999999997</c:v>
                </c:pt>
                <c:pt idx="165">
                  <c:v>38.17</c:v>
                </c:pt>
                <c:pt idx="166">
                  <c:v>37.18</c:v>
                </c:pt>
                <c:pt idx="167">
                  <c:v>37.99</c:v>
                </c:pt>
                <c:pt idx="168">
                  <c:v>37.340000000000003</c:v>
                </c:pt>
                <c:pt idx="169">
                  <c:v>36.97</c:v>
                </c:pt>
                <c:pt idx="170">
                  <c:v>36.93</c:v>
                </c:pt>
                <c:pt idx="171">
                  <c:v>37.42</c:v>
                </c:pt>
                <c:pt idx="172">
                  <c:v>38.03</c:v>
                </c:pt>
                <c:pt idx="173">
                  <c:v>37.840000000000003</c:v>
                </c:pt>
                <c:pt idx="174">
                  <c:v>38.19</c:v>
                </c:pt>
                <c:pt idx="175">
                  <c:v>38.479999999999997</c:v>
                </c:pt>
                <c:pt idx="176">
                  <c:v>38.76</c:v>
                </c:pt>
                <c:pt idx="177">
                  <c:v>38.659999999999997</c:v>
                </c:pt>
                <c:pt idx="178">
                  <c:v>38.130000000000003</c:v>
                </c:pt>
                <c:pt idx="179">
                  <c:v>38.25</c:v>
                </c:pt>
                <c:pt idx="180">
                  <c:v>38.22</c:v>
                </c:pt>
                <c:pt idx="181">
                  <c:v>38.33</c:v>
                </c:pt>
                <c:pt idx="182">
                  <c:v>38.31</c:v>
                </c:pt>
                <c:pt idx="183">
                  <c:v>39.86</c:v>
                </c:pt>
                <c:pt idx="184">
                  <c:v>40.65</c:v>
                </c:pt>
                <c:pt idx="185">
                  <c:v>40.630000000000003</c:v>
                </c:pt>
                <c:pt idx="186">
                  <c:v>40.61</c:v>
                </c:pt>
                <c:pt idx="187">
                  <c:v>40.869999999999997</c:v>
                </c:pt>
                <c:pt idx="188">
                  <c:v>39.9</c:v>
                </c:pt>
                <c:pt idx="189">
                  <c:v>40.58</c:v>
                </c:pt>
                <c:pt idx="190">
                  <c:v>40.28</c:v>
                </c:pt>
                <c:pt idx="191">
                  <c:v>40.409999999999997</c:v>
                </c:pt>
                <c:pt idx="192">
                  <c:v>40.93</c:v>
                </c:pt>
                <c:pt idx="193">
                  <c:v>40.67</c:v>
                </c:pt>
                <c:pt idx="194">
                  <c:v>40.590000000000003</c:v>
                </c:pt>
                <c:pt idx="195">
                  <c:v>40.67</c:v>
                </c:pt>
                <c:pt idx="196">
                  <c:v>41.08</c:v>
                </c:pt>
                <c:pt idx="197">
                  <c:v>41.08</c:v>
                </c:pt>
                <c:pt idx="198">
                  <c:v>40.81</c:v>
                </c:pt>
                <c:pt idx="199">
                  <c:v>40.869999999999997</c:v>
                </c:pt>
                <c:pt idx="200">
                  <c:v>40.94</c:v>
                </c:pt>
                <c:pt idx="201">
                  <c:v>40.840000000000003</c:v>
                </c:pt>
                <c:pt idx="202">
                  <c:v>40.869999999999997</c:v>
                </c:pt>
                <c:pt idx="203">
                  <c:v>40.75</c:v>
                </c:pt>
                <c:pt idx="204">
                  <c:v>40.770000000000003</c:v>
                </c:pt>
                <c:pt idx="205">
                  <c:v>41.11</c:v>
                </c:pt>
                <c:pt idx="206">
                  <c:v>41.74</c:v>
                </c:pt>
                <c:pt idx="207">
                  <c:v>42.19</c:v>
                </c:pt>
                <c:pt idx="208">
                  <c:v>41.99</c:v>
                </c:pt>
                <c:pt idx="209">
                  <c:v>41.4</c:v>
                </c:pt>
                <c:pt idx="210">
                  <c:v>41.94</c:v>
                </c:pt>
                <c:pt idx="211">
                  <c:v>41.71</c:v>
                </c:pt>
                <c:pt idx="212">
                  <c:v>42.43</c:v>
                </c:pt>
                <c:pt idx="213">
                  <c:v>42.16</c:v>
                </c:pt>
                <c:pt idx="214">
                  <c:v>42.04</c:v>
                </c:pt>
                <c:pt idx="215">
                  <c:v>42.49</c:v>
                </c:pt>
                <c:pt idx="216">
                  <c:v>42.47</c:v>
                </c:pt>
                <c:pt idx="217">
                  <c:v>42.47</c:v>
                </c:pt>
                <c:pt idx="218">
                  <c:v>41.64</c:v>
                </c:pt>
                <c:pt idx="219">
                  <c:v>40.29</c:v>
                </c:pt>
                <c:pt idx="220">
                  <c:v>39.82</c:v>
                </c:pt>
                <c:pt idx="221">
                  <c:v>39.83</c:v>
                </c:pt>
                <c:pt idx="222">
                  <c:v>39.369999999999997</c:v>
                </c:pt>
                <c:pt idx="223">
                  <c:v>38.96</c:v>
                </c:pt>
                <c:pt idx="224">
                  <c:v>39.35</c:v>
                </c:pt>
                <c:pt idx="225">
                  <c:v>41.29</c:v>
                </c:pt>
                <c:pt idx="226">
                  <c:v>42.07</c:v>
                </c:pt>
                <c:pt idx="227">
                  <c:v>41.67</c:v>
                </c:pt>
                <c:pt idx="228">
                  <c:v>41.49</c:v>
                </c:pt>
                <c:pt idx="229">
                  <c:v>40.18</c:v>
                </c:pt>
                <c:pt idx="230">
                  <c:v>37.76</c:v>
                </c:pt>
                <c:pt idx="231">
                  <c:v>38.72</c:v>
                </c:pt>
                <c:pt idx="232">
                  <c:v>38.18</c:v>
                </c:pt>
                <c:pt idx="233">
                  <c:v>38.19</c:v>
                </c:pt>
                <c:pt idx="234">
                  <c:v>38.14</c:v>
                </c:pt>
                <c:pt idx="235">
                  <c:v>38.72</c:v>
                </c:pt>
                <c:pt idx="236">
                  <c:v>39.700000000000003</c:v>
                </c:pt>
                <c:pt idx="237">
                  <c:v>38.090000000000003</c:v>
                </c:pt>
                <c:pt idx="238">
                  <c:v>39.07</c:v>
                </c:pt>
                <c:pt idx="239">
                  <c:v>39.450000000000003</c:v>
                </c:pt>
                <c:pt idx="240">
                  <c:v>39.54</c:v>
                </c:pt>
                <c:pt idx="241">
                  <c:v>39.58</c:v>
                </c:pt>
                <c:pt idx="242">
                  <c:v>39.67</c:v>
                </c:pt>
                <c:pt idx="243">
                  <c:v>39.659999999999997</c:v>
                </c:pt>
                <c:pt idx="244">
                  <c:v>39.71</c:v>
                </c:pt>
                <c:pt idx="245">
                  <c:v>39.58</c:v>
                </c:pt>
                <c:pt idx="246">
                  <c:v>39.630000000000003</c:v>
                </c:pt>
                <c:pt idx="247">
                  <c:v>38.83</c:v>
                </c:pt>
                <c:pt idx="248">
                  <c:v>37.229999999999997</c:v>
                </c:pt>
                <c:pt idx="249">
                  <c:v>39.200000000000003</c:v>
                </c:pt>
                <c:pt idx="250">
                  <c:v>40.450000000000003</c:v>
                </c:pt>
                <c:pt idx="251">
                  <c:v>39.86</c:v>
                </c:pt>
                <c:pt idx="252">
                  <c:v>40.82</c:v>
                </c:pt>
                <c:pt idx="253">
                  <c:v>39.22</c:v>
                </c:pt>
                <c:pt idx="254">
                  <c:v>39.53</c:v>
                </c:pt>
                <c:pt idx="255">
                  <c:v>38.42</c:v>
                </c:pt>
                <c:pt idx="256">
                  <c:v>37.119999999999997</c:v>
                </c:pt>
                <c:pt idx="257">
                  <c:v>36.5</c:v>
                </c:pt>
                <c:pt idx="258">
                  <c:v>35.89</c:v>
                </c:pt>
                <c:pt idx="259">
                  <c:v>38.44</c:v>
                </c:pt>
                <c:pt idx="260">
                  <c:v>39.090000000000003</c:v>
                </c:pt>
                <c:pt idx="261">
                  <c:v>39.79</c:v>
                </c:pt>
                <c:pt idx="262">
                  <c:v>39.22</c:v>
                </c:pt>
                <c:pt idx="263">
                  <c:v>39.97</c:v>
                </c:pt>
                <c:pt idx="264">
                  <c:v>39.799999999999997</c:v>
                </c:pt>
                <c:pt idx="265">
                  <c:v>39.979999999999997</c:v>
                </c:pt>
                <c:pt idx="266">
                  <c:v>39.119999999999997</c:v>
                </c:pt>
                <c:pt idx="267">
                  <c:v>37.65</c:v>
                </c:pt>
                <c:pt idx="268">
                  <c:v>37.46</c:v>
                </c:pt>
                <c:pt idx="269">
                  <c:v>36.9</c:v>
                </c:pt>
                <c:pt idx="270">
                  <c:v>37.700000000000003</c:v>
                </c:pt>
                <c:pt idx="271">
                  <c:v>39.04</c:v>
                </c:pt>
                <c:pt idx="272">
                  <c:v>38.729999999999997</c:v>
                </c:pt>
                <c:pt idx="273">
                  <c:v>37.42</c:v>
                </c:pt>
                <c:pt idx="274">
                  <c:v>39.78</c:v>
                </c:pt>
                <c:pt idx="275">
                  <c:v>40.520000000000003</c:v>
                </c:pt>
                <c:pt idx="276">
                  <c:v>40.58</c:v>
                </c:pt>
                <c:pt idx="277">
                  <c:v>40.380000000000003</c:v>
                </c:pt>
                <c:pt idx="278">
                  <c:v>39.83</c:v>
                </c:pt>
                <c:pt idx="279">
                  <c:v>40.42</c:v>
                </c:pt>
                <c:pt idx="280">
                  <c:v>40.46</c:v>
                </c:pt>
                <c:pt idx="281">
                  <c:v>40.61</c:v>
                </c:pt>
                <c:pt idx="282">
                  <c:v>40.57</c:v>
                </c:pt>
                <c:pt idx="283">
                  <c:v>40.72</c:v>
                </c:pt>
                <c:pt idx="284">
                  <c:v>40.880000000000003</c:v>
                </c:pt>
                <c:pt idx="285">
                  <c:v>41.25</c:v>
                </c:pt>
                <c:pt idx="286">
                  <c:v>41.37</c:v>
                </c:pt>
                <c:pt idx="287">
                  <c:v>41.36</c:v>
                </c:pt>
                <c:pt idx="288">
                  <c:v>41.35</c:v>
                </c:pt>
                <c:pt idx="289">
                  <c:v>44.61</c:v>
                </c:pt>
                <c:pt idx="290">
                  <c:v>45.3</c:v>
                </c:pt>
                <c:pt idx="291">
                  <c:v>45.62</c:v>
                </c:pt>
                <c:pt idx="292">
                  <c:v>46.16</c:v>
                </c:pt>
                <c:pt idx="293">
                  <c:v>45.76</c:v>
                </c:pt>
                <c:pt idx="294">
                  <c:v>45.64</c:v>
                </c:pt>
                <c:pt idx="295">
                  <c:v>45.58</c:v>
                </c:pt>
                <c:pt idx="296">
                  <c:v>46.44</c:v>
                </c:pt>
                <c:pt idx="297">
                  <c:v>46.3</c:v>
                </c:pt>
                <c:pt idx="298">
                  <c:v>46.54</c:v>
                </c:pt>
                <c:pt idx="299">
                  <c:v>46.89</c:v>
                </c:pt>
                <c:pt idx="300">
                  <c:v>46.99</c:v>
                </c:pt>
                <c:pt idx="301">
                  <c:v>47.24</c:v>
                </c:pt>
                <c:pt idx="302">
                  <c:v>47.53</c:v>
                </c:pt>
                <c:pt idx="303">
                  <c:v>47.06</c:v>
                </c:pt>
                <c:pt idx="304">
                  <c:v>46.76</c:v>
                </c:pt>
                <c:pt idx="305">
                  <c:v>47.06</c:v>
                </c:pt>
                <c:pt idx="306">
                  <c:v>47.09</c:v>
                </c:pt>
                <c:pt idx="307">
                  <c:v>46.97</c:v>
                </c:pt>
                <c:pt idx="308">
                  <c:v>47.03</c:v>
                </c:pt>
                <c:pt idx="309">
                  <c:v>47.06</c:v>
                </c:pt>
                <c:pt idx="310">
                  <c:v>47.07</c:v>
                </c:pt>
                <c:pt idx="311">
                  <c:v>47.67</c:v>
                </c:pt>
                <c:pt idx="312">
                  <c:v>49.84</c:v>
                </c:pt>
                <c:pt idx="313">
                  <c:v>50.46</c:v>
                </c:pt>
                <c:pt idx="314">
                  <c:v>50.62</c:v>
                </c:pt>
                <c:pt idx="315">
                  <c:v>51.72</c:v>
                </c:pt>
                <c:pt idx="316">
                  <c:v>51.73</c:v>
                </c:pt>
                <c:pt idx="317">
                  <c:v>52.39</c:v>
                </c:pt>
                <c:pt idx="318">
                  <c:v>52.21</c:v>
                </c:pt>
                <c:pt idx="319">
                  <c:v>52.59</c:v>
                </c:pt>
                <c:pt idx="320">
                  <c:v>51.96</c:v>
                </c:pt>
                <c:pt idx="321">
                  <c:v>45.13</c:v>
                </c:pt>
                <c:pt idx="322">
                  <c:v>52.37</c:v>
                </c:pt>
                <c:pt idx="323">
                  <c:v>52.3</c:v>
                </c:pt>
                <c:pt idx="324">
                  <c:v>52.03</c:v>
                </c:pt>
                <c:pt idx="325">
                  <c:v>52.16</c:v>
                </c:pt>
                <c:pt idx="326">
                  <c:v>52.13</c:v>
                </c:pt>
                <c:pt idx="327">
                  <c:v>52.16</c:v>
                </c:pt>
                <c:pt idx="328">
                  <c:v>52.11</c:v>
                </c:pt>
                <c:pt idx="329">
                  <c:v>52.1</c:v>
                </c:pt>
                <c:pt idx="330">
                  <c:v>53.52</c:v>
                </c:pt>
                <c:pt idx="331">
                  <c:v>54.67</c:v>
                </c:pt>
                <c:pt idx="332">
                  <c:v>55.5</c:v>
                </c:pt>
                <c:pt idx="333">
                  <c:v>55.95</c:v>
                </c:pt>
                <c:pt idx="334">
                  <c:v>56.44</c:v>
                </c:pt>
                <c:pt idx="335">
                  <c:v>57.27</c:v>
                </c:pt>
                <c:pt idx="336">
                  <c:v>57.54</c:v>
                </c:pt>
                <c:pt idx="337">
                  <c:v>57.74</c:v>
                </c:pt>
                <c:pt idx="338">
                  <c:v>57.49</c:v>
                </c:pt>
                <c:pt idx="339">
                  <c:v>58.14</c:v>
                </c:pt>
                <c:pt idx="340">
                  <c:v>58.44</c:v>
                </c:pt>
                <c:pt idx="341">
                  <c:v>50.94</c:v>
                </c:pt>
                <c:pt idx="342">
                  <c:v>58.67</c:v>
                </c:pt>
                <c:pt idx="343">
                  <c:v>58.26</c:v>
                </c:pt>
                <c:pt idx="344">
                  <c:v>58.9</c:v>
                </c:pt>
                <c:pt idx="345">
                  <c:v>58.89</c:v>
                </c:pt>
                <c:pt idx="346">
                  <c:v>59.14</c:v>
                </c:pt>
                <c:pt idx="347">
                  <c:v>59.17</c:v>
                </c:pt>
                <c:pt idx="348">
                  <c:v>59.06</c:v>
                </c:pt>
                <c:pt idx="349">
                  <c:v>60.57</c:v>
                </c:pt>
                <c:pt idx="350">
                  <c:v>59.73</c:v>
                </c:pt>
                <c:pt idx="351">
                  <c:v>61.13</c:v>
                </c:pt>
                <c:pt idx="352">
                  <c:v>63.34</c:v>
                </c:pt>
                <c:pt idx="353">
                  <c:v>65.22</c:v>
                </c:pt>
                <c:pt idx="354">
                  <c:v>64.42</c:v>
                </c:pt>
                <c:pt idx="355">
                  <c:v>62.47</c:v>
                </c:pt>
                <c:pt idx="356">
                  <c:v>63.22</c:v>
                </c:pt>
                <c:pt idx="357">
                  <c:v>62.27</c:v>
                </c:pt>
                <c:pt idx="358">
                  <c:v>61.61</c:v>
                </c:pt>
                <c:pt idx="359">
                  <c:v>61.63</c:v>
                </c:pt>
                <c:pt idx="360">
                  <c:v>62.56</c:v>
                </c:pt>
                <c:pt idx="361">
                  <c:v>62.86</c:v>
                </c:pt>
                <c:pt idx="362">
                  <c:v>62.26</c:v>
                </c:pt>
                <c:pt idx="363">
                  <c:v>62.8</c:v>
                </c:pt>
                <c:pt idx="364">
                  <c:v>50.51</c:v>
                </c:pt>
                <c:pt idx="365">
                  <c:v>60.79</c:v>
                </c:pt>
                <c:pt idx="366">
                  <c:v>61.31</c:v>
                </c:pt>
                <c:pt idx="367">
                  <c:v>60.67</c:v>
                </c:pt>
                <c:pt idx="368">
                  <c:v>61.2</c:v>
                </c:pt>
                <c:pt idx="369">
                  <c:v>61.12</c:v>
                </c:pt>
                <c:pt idx="370">
                  <c:v>61.44</c:v>
                </c:pt>
                <c:pt idx="371">
                  <c:v>61.85</c:v>
                </c:pt>
                <c:pt idx="372">
                  <c:v>61.46</c:v>
                </c:pt>
                <c:pt idx="373">
                  <c:v>58.79</c:v>
                </c:pt>
                <c:pt idx="374">
                  <c:v>59.41</c:v>
                </c:pt>
                <c:pt idx="375">
                  <c:v>59.79</c:v>
                </c:pt>
                <c:pt idx="376">
                  <c:v>59.65</c:v>
                </c:pt>
                <c:pt idx="377">
                  <c:v>59.44</c:v>
                </c:pt>
                <c:pt idx="378">
                  <c:v>59.72</c:v>
                </c:pt>
                <c:pt idx="379">
                  <c:v>60.04</c:v>
                </c:pt>
                <c:pt idx="380">
                  <c:v>61.88</c:v>
                </c:pt>
                <c:pt idx="381">
                  <c:v>62.05</c:v>
                </c:pt>
                <c:pt idx="382">
                  <c:v>61.88</c:v>
                </c:pt>
                <c:pt idx="383">
                  <c:v>62</c:v>
                </c:pt>
                <c:pt idx="384">
                  <c:v>61.66</c:v>
                </c:pt>
                <c:pt idx="385">
                  <c:v>54.78</c:v>
                </c:pt>
                <c:pt idx="386">
                  <c:v>61.19</c:v>
                </c:pt>
                <c:pt idx="387">
                  <c:v>61.39</c:v>
                </c:pt>
                <c:pt idx="388">
                  <c:v>61.33</c:v>
                </c:pt>
                <c:pt idx="389">
                  <c:v>61.53</c:v>
                </c:pt>
                <c:pt idx="390">
                  <c:v>61.66</c:v>
                </c:pt>
                <c:pt idx="391">
                  <c:v>61.77</c:v>
                </c:pt>
                <c:pt idx="392">
                  <c:v>61.7</c:v>
                </c:pt>
                <c:pt idx="393">
                  <c:v>64.47</c:v>
                </c:pt>
                <c:pt idx="394">
                  <c:v>65.61</c:v>
                </c:pt>
                <c:pt idx="395">
                  <c:v>65.56</c:v>
                </c:pt>
                <c:pt idx="396">
                  <c:v>64.78</c:v>
                </c:pt>
                <c:pt idx="397">
                  <c:v>64.94</c:v>
                </c:pt>
                <c:pt idx="398">
                  <c:v>64.959999999999994</c:v>
                </c:pt>
                <c:pt idx="399">
                  <c:v>64.180000000000007</c:v>
                </c:pt>
                <c:pt idx="400">
                  <c:v>65.739999999999995</c:v>
                </c:pt>
                <c:pt idx="401">
                  <c:v>64.38</c:v>
                </c:pt>
                <c:pt idx="402">
                  <c:v>65.23</c:v>
                </c:pt>
                <c:pt idx="403">
                  <c:v>65.680000000000007</c:v>
                </c:pt>
                <c:pt idx="404">
                  <c:v>65.33</c:v>
                </c:pt>
                <c:pt idx="405">
                  <c:v>64.47</c:v>
                </c:pt>
                <c:pt idx="406">
                  <c:v>58.46</c:v>
                </c:pt>
                <c:pt idx="407">
                  <c:v>64.48</c:v>
                </c:pt>
                <c:pt idx="408">
                  <c:v>65.09</c:v>
                </c:pt>
                <c:pt idx="409">
                  <c:v>65.099999999999994</c:v>
                </c:pt>
                <c:pt idx="410">
                  <c:v>65.12</c:v>
                </c:pt>
                <c:pt idx="411">
                  <c:v>65.180000000000007</c:v>
                </c:pt>
                <c:pt idx="412">
                  <c:v>65.16</c:v>
                </c:pt>
                <c:pt idx="413">
                  <c:v>67.67</c:v>
                </c:pt>
                <c:pt idx="414">
                  <c:v>68.73</c:v>
                </c:pt>
                <c:pt idx="415">
                  <c:v>68.7</c:v>
                </c:pt>
                <c:pt idx="416">
                  <c:v>69.400000000000006</c:v>
                </c:pt>
                <c:pt idx="417">
                  <c:v>69.09</c:v>
                </c:pt>
                <c:pt idx="418">
                  <c:v>69.73</c:v>
                </c:pt>
                <c:pt idx="419">
                  <c:v>69.66</c:v>
                </c:pt>
                <c:pt idx="420">
                  <c:v>69.88</c:v>
                </c:pt>
                <c:pt idx="421">
                  <c:v>70.25</c:v>
                </c:pt>
                <c:pt idx="422">
                  <c:v>70.239999999999995</c:v>
                </c:pt>
                <c:pt idx="423">
                  <c:v>70.92</c:v>
                </c:pt>
                <c:pt idx="424">
                  <c:v>70.95</c:v>
                </c:pt>
                <c:pt idx="425">
                  <c:v>70.430000000000007</c:v>
                </c:pt>
                <c:pt idx="426">
                  <c:v>70.650000000000006</c:v>
                </c:pt>
                <c:pt idx="427">
                  <c:v>71.33</c:v>
                </c:pt>
                <c:pt idx="428">
                  <c:v>58.46</c:v>
                </c:pt>
                <c:pt idx="429">
                  <c:v>71.290000000000006</c:v>
                </c:pt>
                <c:pt idx="430">
                  <c:v>71.34</c:v>
                </c:pt>
                <c:pt idx="431">
                  <c:v>71.48</c:v>
                </c:pt>
                <c:pt idx="432">
                  <c:v>71.319999999999993</c:v>
                </c:pt>
                <c:pt idx="433">
                  <c:v>71.33</c:v>
                </c:pt>
                <c:pt idx="434">
                  <c:v>71.349999999999994</c:v>
                </c:pt>
                <c:pt idx="435">
                  <c:v>74.33</c:v>
                </c:pt>
                <c:pt idx="436">
                  <c:v>74.86</c:v>
                </c:pt>
                <c:pt idx="437">
                  <c:v>73.239999999999995</c:v>
                </c:pt>
                <c:pt idx="438">
                  <c:v>72.27</c:v>
                </c:pt>
                <c:pt idx="439">
                  <c:v>72.84</c:v>
                </c:pt>
                <c:pt idx="440">
                  <c:v>70.540000000000006</c:v>
                </c:pt>
                <c:pt idx="441">
                  <c:v>70.5</c:v>
                </c:pt>
                <c:pt idx="442">
                  <c:v>69.930000000000007</c:v>
                </c:pt>
                <c:pt idx="443">
                  <c:v>72.09</c:v>
                </c:pt>
                <c:pt idx="444">
                  <c:v>72.55</c:v>
                </c:pt>
                <c:pt idx="445">
                  <c:v>72.64</c:v>
                </c:pt>
                <c:pt idx="446">
                  <c:v>68.62</c:v>
                </c:pt>
                <c:pt idx="447">
                  <c:v>69.349999999999994</c:v>
                </c:pt>
                <c:pt idx="448">
                  <c:v>71.7</c:v>
                </c:pt>
                <c:pt idx="449">
                  <c:v>72.23</c:v>
                </c:pt>
                <c:pt idx="450">
                  <c:v>54.47</c:v>
                </c:pt>
                <c:pt idx="451">
                  <c:v>72.239999999999995</c:v>
                </c:pt>
                <c:pt idx="452">
                  <c:v>71.83</c:v>
                </c:pt>
                <c:pt idx="453">
                  <c:v>70.34</c:v>
                </c:pt>
                <c:pt idx="454">
                  <c:v>71.3</c:v>
                </c:pt>
                <c:pt idx="455">
                  <c:v>70.66</c:v>
                </c:pt>
                <c:pt idx="456">
                  <c:v>70.13</c:v>
                </c:pt>
                <c:pt idx="457">
                  <c:v>70.42</c:v>
                </c:pt>
                <c:pt idx="458">
                  <c:v>68.290000000000006</c:v>
                </c:pt>
                <c:pt idx="459">
                  <c:v>69.099999999999994</c:v>
                </c:pt>
                <c:pt idx="460">
                  <c:v>68.489999999999995</c:v>
                </c:pt>
                <c:pt idx="461">
                  <c:v>67.099999999999994</c:v>
                </c:pt>
                <c:pt idx="462">
                  <c:v>68.400000000000006</c:v>
                </c:pt>
                <c:pt idx="463">
                  <c:v>66.08</c:v>
                </c:pt>
                <c:pt idx="464">
                  <c:v>66.13</c:v>
                </c:pt>
                <c:pt idx="465">
                  <c:v>67.33</c:v>
                </c:pt>
                <c:pt idx="466">
                  <c:v>67.94</c:v>
                </c:pt>
                <c:pt idx="467">
                  <c:v>67.59</c:v>
                </c:pt>
                <c:pt idx="468">
                  <c:v>67.069999999999993</c:v>
                </c:pt>
                <c:pt idx="469">
                  <c:v>66.37</c:v>
                </c:pt>
                <c:pt idx="470">
                  <c:v>65.180000000000007</c:v>
                </c:pt>
                <c:pt idx="471">
                  <c:v>66.989999999999995</c:v>
                </c:pt>
                <c:pt idx="472">
                  <c:v>58.02</c:v>
                </c:pt>
                <c:pt idx="473">
                  <c:v>67.69</c:v>
                </c:pt>
                <c:pt idx="474">
                  <c:v>67.52</c:v>
                </c:pt>
                <c:pt idx="475">
                  <c:v>67.7</c:v>
                </c:pt>
                <c:pt idx="476">
                  <c:v>67.739999999999995</c:v>
                </c:pt>
                <c:pt idx="477">
                  <c:v>67.709999999999994</c:v>
                </c:pt>
                <c:pt idx="478">
                  <c:v>68.5</c:v>
                </c:pt>
                <c:pt idx="479">
                  <c:v>69.84</c:v>
                </c:pt>
                <c:pt idx="480">
                  <c:v>69.22</c:v>
                </c:pt>
                <c:pt idx="481">
                  <c:v>68.41</c:v>
                </c:pt>
                <c:pt idx="482">
                  <c:v>69.17</c:v>
                </c:pt>
                <c:pt idx="483">
                  <c:v>68.3</c:v>
                </c:pt>
                <c:pt idx="484">
                  <c:v>69.41</c:v>
                </c:pt>
                <c:pt idx="485">
                  <c:v>69.900000000000006</c:v>
                </c:pt>
                <c:pt idx="486">
                  <c:v>69.91</c:v>
                </c:pt>
                <c:pt idx="487">
                  <c:v>71.13</c:v>
                </c:pt>
                <c:pt idx="488">
                  <c:v>71.14</c:v>
                </c:pt>
                <c:pt idx="489">
                  <c:v>70.86</c:v>
                </c:pt>
                <c:pt idx="490">
                  <c:v>70.14</c:v>
                </c:pt>
                <c:pt idx="491">
                  <c:v>70.27</c:v>
                </c:pt>
                <c:pt idx="492">
                  <c:v>70.849999999999994</c:v>
                </c:pt>
                <c:pt idx="493">
                  <c:v>71.16</c:v>
                </c:pt>
                <c:pt idx="494">
                  <c:v>69.3</c:v>
                </c:pt>
                <c:pt idx="495">
                  <c:v>71.599999999999994</c:v>
                </c:pt>
                <c:pt idx="496">
                  <c:v>71.58</c:v>
                </c:pt>
                <c:pt idx="497">
                  <c:v>71.540000000000006</c:v>
                </c:pt>
                <c:pt idx="498">
                  <c:v>71.13</c:v>
                </c:pt>
                <c:pt idx="499">
                  <c:v>75.78</c:v>
                </c:pt>
                <c:pt idx="500">
                  <c:v>77.44</c:v>
                </c:pt>
                <c:pt idx="501">
                  <c:v>78.599999999999994</c:v>
                </c:pt>
                <c:pt idx="502">
                  <c:v>77.31</c:v>
                </c:pt>
                <c:pt idx="503">
                  <c:v>78.03</c:v>
                </c:pt>
                <c:pt idx="504">
                  <c:v>78.739999999999995</c:v>
                </c:pt>
                <c:pt idx="505">
                  <c:v>79.58</c:v>
                </c:pt>
                <c:pt idx="506">
                  <c:v>79.62</c:v>
                </c:pt>
                <c:pt idx="507">
                  <c:v>79.53</c:v>
                </c:pt>
                <c:pt idx="508">
                  <c:v>80.05</c:v>
                </c:pt>
                <c:pt idx="509">
                  <c:v>80.55</c:v>
                </c:pt>
                <c:pt idx="510">
                  <c:v>80.56</c:v>
                </c:pt>
                <c:pt idx="511">
                  <c:v>80.86</c:v>
                </c:pt>
                <c:pt idx="512">
                  <c:v>81.23</c:v>
                </c:pt>
                <c:pt idx="513">
                  <c:v>80.930000000000007</c:v>
                </c:pt>
                <c:pt idx="514">
                  <c:v>81.290000000000006</c:v>
                </c:pt>
                <c:pt idx="515">
                  <c:v>65.25</c:v>
                </c:pt>
                <c:pt idx="516">
                  <c:v>81.459999999999994</c:v>
                </c:pt>
                <c:pt idx="517">
                  <c:v>81.17</c:v>
                </c:pt>
                <c:pt idx="518">
                  <c:v>81.19</c:v>
                </c:pt>
                <c:pt idx="519">
                  <c:v>80.16</c:v>
                </c:pt>
                <c:pt idx="520">
                  <c:v>82.39</c:v>
                </c:pt>
                <c:pt idx="521">
                  <c:v>82.7</c:v>
                </c:pt>
                <c:pt idx="522">
                  <c:v>80.790000000000006</c:v>
                </c:pt>
                <c:pt idx="523">
                  <c:v>79.08</c:v>
                </c:pt>
                <c:pt idx="524">
                  <c:v>81.069999999999993</c:v>
                </c:pt>
                <c:pt idx="525">
                  <c:v>80.900000000000006</c:v>
                </c:pt>
                <c:pt idx="526">
                  <c:v>82.01</c:v>
                </c:pt>
                <c:pt idx="527">
                  <c:v>81.099999999999994</c:v>
                </c:pt>
                <c:pt idx="528">
                  <c:v>79.37</c:v>
                </c:pt>
                <c:pt idx="529">
                  <c:v>80.319999999999993</c:v>
                </c:pt>
                <c:pt idx="530">
                  <c:v>78.900000000000006</c:v>
                </c:pt>
                <c:pt idx="531">
                  <c:v>79.400000000000006</c:v>
                </c:pt>
                <c:pt idx="532">
                  <c:v>80.03</c:v>
                </c:pt>
                <c:pt idx="533">
                  <c:v>80.34</c:v>
                </c:pt>
                <c:pt idx="534">
                  <c:v>76.09</c:v>
                </c:pt>
                <c:pt idx="535">
                  <c:v>74.2</c:v>
                </c:pt>
                <c:pt idx="536">
                  <c:v>71.010000000000005</c:v>
                </c:pt>
                <c:pt idx="537">
                  <c:v>53.1</c:v>
                </c:pt>
                <c:pt idx="538">
                  <c:v>70.069999999999993</c:v>
                </c:pt>
                <c:pt idx="539">
                  <c:v>71.650000000000006</c:v>
                </c:pt>
                <c:pt idx="540">
                  <c:v>70.569999999999993</c:v>
                </c:pt>
                <c:pt idx="541">
                  <c:v>65.5</c:v>
                </c:pt>
                <c:pt idx="542">
                  <c:v>66.37</c:v>
                </c:pt>
                <c:pt idx="543">
                  <c:v>66.180000000000007</c:v>
                </c:pt>
                <c:pt idx="544">
                  <c:v>68.959999999999994</c:v>
                </c:pt>
                <c:pt idx="545">
                  <c:v>71.05</c:v>
                </c:pt>
                <c:pt idx="546">
                  <c:v>71.3</c:v>
                </c:pt>
                <c:pt idx="547">
                  <c:v>70.28</c:v>
                </c:pt>
                <c:pt idx="548">
                  <c:v>70.760000000000005</c:v>
                </c:pt>
                <c:pt idx="549">
                  <c:v>70.5</c:v>
                </c:pt>
                <c:pt idx="550">
                  <c:v>70.180000000000007</c:v>
                </c:pt>
                <c:pt idx="551">
                  <c:v>70.260000000000005</c:v>
                </c:pt>
                <c:pt idx="552">
                  <c:v>71</c:v>
                </c:pt>
                <c:pt idx="553">
                  <c:v>70.349999999999994</c:v>
                </c:pt>
                <c:pt idx="554">
                  <c:v>69.459999999999994</c:v>
                </c:pt>
                <c:pt idx="555">
                  <c:v>70.37</c:v>
                </c:pt>
                <c:pt idx="556">
                  <c:v>70.89</c:v>
                </c:pt>
                <c:pt idx="557">
                  <c:v>71.17</c:v>
                </c:pt>
                <c:pt idx="558">
                  <c:v>71.58</c:v>
                </c:pt>
                <c:pt idx="559">
                  <c:v>71.650000000000006</c:v>
                </c:pt>
                <c:pt idx="560">
                  <c:v>65.25</c:v>
                </c:pt>
                <c:pt idx="561">
                  <c:v>71.77</c:v>
                </c:pt>
                <c:pt idx="562">
                  <c:v>71.69</c:v>
                </c:pt>
                <c:pt idx="563">
                  <c:v>76</c:v>
                </c:pt>
                <c:pt idx="564">
                  <c:v>76.86</c:v>
                </c:pt>
                <c:pt idx="565">
                  <c:v>77.59</c:v>
                </c:pt>
                <c:pt idx="566">
                  <c:v>78.88</c:v>
                </c:pt>
                <c:pt idx="567">
                  <c:v>78.48</c:v>
                </c:pt>
                <c:pt idx="568">
                  <c:v>77.95</c:v>
                </c:pt>
                <c:pt idx="569">
                  <c:v>80.040000000000006</c:v>
                </c:pt>
                <c:pt idx="570">
                  <c:v>80.94</c:v>
                </c:pt>
                <c:pt idx="571">
                  <c:v>80.67</c:v>
                </c:pt>
                <c:pt idx="572">
                  <c:v>81.59</c:v>
                </c:pt>
                <c:pt idx="573">
                  <c:v>82.37</c:v>
                </c:pt>
                <c:pt idx="574">
                  <c:v>82.86</c:v>
                </c:pt>
                <c:pt idx="575">
                  <c:v>82.77</c:v>
                </c:pt>
                <c:pt idx="576">
                  <c:v>82.63</c:v>
                </c:pt>
                <c:pt idx="577">
                  <c:v>82.08</c:v>
                </c:pt>
                <c:pt idx="578">
                  <c:v>82.65</c:v>
                </c:pt>
                <c:pt idx="579">
                  <c:v>83</c:v>
                </c:pt>
                <c:pt idx="580">
                  <c:v>82.89</c:v>
                </c:pt>
                <c:pt idx="581">
                  <c:v>82.91</c:v>
                </c:pt>
                <c:pt idx="582">
                  <c:v>82.98</c:v>
                </c:pt>
                <c:pt idx="583">
                  <c:v>79.099999999999994</c:v>
                </c:pt>
                <c:pt idx="584">
                  <c:v>87.93</c:v>
                </c:pt>
                <c:pt idx="585">
                  <c:v>89.67</c:v>
                </c:pt>
                <c:pt idx="586">
                  <c:v>91.36</c:v>
                </c:pt>
                <c:pt idx="587">
                  <c:v>90.67</c:v>
                </c:pt>
                <c:pt idx="588">
                  <c:v>89.24</c:v>
                </c:pt>
                <c:pt idx="589">
                  <c:v>89.51</c:v>
                </c:pt>
                <c:pt idx="590">
                  <c:v>89.61</c:v>
                </c:pt>
                <c:pt idx="591">
                  <c:v>91.4</c:v>
                </c:pt>
                <c:pt idx="592">
                  <c:v>92.59</c:v>
                </c:pt>
                <c:pt idx="593">
                  <c:v>91</c:v>
                </c:pt>
                <c:pt idx="594">
                  <c:v>91.68</c:v>
                </c:pt>
                <c:pt idx="595">
                  <c:v>91</c:v>
                </c:pt>
                <c:pt idx="596">
                  <c:v>90.96</c:v>
                </c:pt>
                <c:pt idx="597">
                  <c:v>91.39</c:v>
                </c:pt>
                <c:pt idx="598">
                  <c:v>91.43</c:v>
                </c:pt>
                <c:pt idx="599">
                  <c:v>91.54</c:v>
                </c:pt>
                <c:pt idx="600">
                  <c:v>91.41</c:v>
                </c:pt>
                <c:pt idx="601">
                  <c:v>91.63</c:v>
                </c:pt>
                <c:pt idx="602">
                  <c:v>94.57</c:v>
                </c:pt>
                <c:pt idx="603">
                  <c:v>109.21</c:v>
                </c:pt>
                <c:pt idx="604">
                  <c:v>106.68</c:v>
                </c:pt>
                <c:pt idx="605">
                  <c:v>113.49</c:v>
                </c:pt>
                <c:pt idx="606">
                  <c:v>116.55</c:v>
                </c:pt>
                <c:pt idx="607">
                  <c:v>119.78</c:v>
                </c:pt>
                <c:pt idx="608">
                  <c:v>108.82</c:v>
                </c:pt>
                <c:pt idx="609">
                  <c:v>107.14</c:v>
                </c:pt>
                <c:pt idx="610">
                  <c:v>109.3</c:v>
                </c:pt>
                <c:pt idx="611">
                  <c:v>102.67</c:v>
                </c:pt>
                <c:pt idx="612">
                  <c:v>99.91</c:v>
                </c:pt>
                <c:pt idx="613">
                  <c:v>98.02</c:v>
                </c:pt>
                <c:pt idx="614">
                  <c:v>105.32</c:v>
                </c:pt>
                <c:pt idx="615">
                  <c:v>105.99</c:v>
                </c:pt>
                <c:pt idx="616">
                  <c:v>108.73</c:v>
                </c:pt>
                <c:pt idx="617">
                  <c:v>108.5</c:v>
                </c:pt>
                <c:pt idx="618">
                  <c:v>110.22</c:v>
                </c:pt>
                <c:pt idx="619">
                  <c:v>109.54</c:v>
                </c:pt>
                <c:pt idx="620">
                  <c:v>109.88</c:v>
                </c:pt>
                <c:pt idx="621">
                  <c:v>108.5</c:v>
                </c:pt>
                <c:pt idx="622">
                  <c:v>108.28</c:v>
                </c:pt>
                <c:pt idx="623">
                  <c:v>107.74</c:v>
                </c:pt>
                <c:pt idx="624">
                  <c:v>104.93</c:v>
                </c:pt>
                <c:pt idx="625">
                  <c:v>89.06</c:v>
                </c:pt>
                <c:pt idx="626">
                  <c:v>102.58</c:v>
                </c:pt>
                <c:pt idx="627">
                  <c:v>101.44</c:v>
                </c:pt>
                <c:pt idx="628">
                  <c:v>96.73</c:v>
                </c:pt>
                <c:pt idx="629">
                  <c:v>96.68</c:v>
                </c:pt>
                <c:pt idx="630">
                  <c:v>98.35</c:v>
                </c:pt>
                <c:pt idx="631">
                  <c:v>95.63</c:v>
                </c:pt>
                <c:pt idx="632">
                  <c:v>99.7</c:v>
                </c:pt>
                <c:pt idx="633">
                  <c:v>101.89</c:v>
                </c:pt>
                <c:pt idx="634">
                  <c:v>103.33</c:v>
                </c:pt>
                <c:pt idx="635">
                  <c:v>103.95</c:v>
                </c:pt>
                <c:pt idx="636">
                  <c:v>101.44</c:v>
                </c:pt>
                <c:pt idx="637">
                  <c:v>101.5</c:v>
                </c:pt>
                <c:pt idx="638">
                  <c:v>102.06</c:v>
                </c:pt>
                <c:pt idx="639">
                  <c:v>101.54</c:v>
                </c:pt>
                <c:pt idx="640">
                  <c:v>100.66</c:v>
                </c:pt>
                <c:pt idx="641">
                  <c:v>101.29</c:v>
                </c:pt>
                <c:pt idx="642">
                  <c:v>101.34</c:v>
                </c:pt>
                <c:pt idx="643">
                  <c:v>101.67</c:v>
                </c:pt>
                <c:pt idx="644">
                  <c:v>101.64</c:v>
                </c:pt>
                <c:pt idx="645">
                  <c:v>104.67</c:v>
                </c:pt>
                <c:pt idx="646">
                  <c:v>102.11</c:v>
                </c:pt>
                <c:pt idx="647">
                  <c:v>106.97</c:v>
                </c:pt>
                <c:pt idx="648">
                  <c:v>107.38</c:v>
                </c:pt>
                <c:pt idx="649">
                  <c:v>108.62</c:v>
                </c:pt>
                <c:pt idx="650">
                  <c:v>103.57</c:v>
                </c:pt>
                <c:pt idx="651">
                  <c:v>101.19</c:v>
                </c:pt>
                <c:pt idx="652">
                  <c:v>105.05</c:v>
                </c:pt>
                <c:pt idx="653">
                  <c:v>105.3</c:v>
                </c:pt>
                <c:pt idx="654">
                  <c:v>107.75</c:v>
                </c:pt>
                <c:pt idx="655">
                  <c:v>109.55</c:v>
                </c:pt>
                <c:pt idx="656">
                  <c:v>108.58</c:v>
                </c:pt>
                <c:pt idx="657">
                  <c:v>107.44</c:v>
                </c:pt>
                <c:pt idx="658">
                  <c:v>108.5</c:v>
                </c:pt>
                <c:pt idx="659">
                  <c:v>108.66</c:v>
                </c:pt>
                <c:pt idx="660">
                  <c:v>108.67</c:v>
                </c:pt>
                <c:pt idx="661">
                  <c:v>108.54</c:v>
                </c:pt>
                <c:pt idx="662">
                  <c:v>108.65</c:v>
                </c:pt>
                <c:pt idx="663">
                  <c:v>109.19</c:v>
                </c:pt>
                <c:pt idx="664">
                  <c:v>100.97</c:v>
                </c:pt>
                <c:pt idx="665">
                  <c:v>100.57</c:v>
                </c:pt>
                <c:pt idx="666">
                  <c:v>101.16</c:v>
                </c:pt>
                <c:pt idx="667">
                  <c:v>102.77</c:v>
                </c:pt>
                <c:pt idx="668">
                  <c:v>104.77</c:v>
                </c:pt>
                <c:pt idx="669">
                  <c:v>104.4</c:v>
                </c:pt>
                <c:pt idx="670">
                  <c:v>105.31</c:v>
                </c:pt>
                <c:pt idx="671">
                  <c:v>108.01</c:v>
                </c:pt>
                <c:pt idx="672">
                  <c:v>107.41</c:v>
                </c:pt>
                <c:pt idx="673">
                  <c:v>106.57</c:v>
                </c:pt>
                <c:pt idx="674">
                  <c:v>106.83</c:v>
                </c:pt>
                <c:pt idx="675">
                  <c:v>104.83</c:v>
                </c:pt>
                <c:pt idx="676">
                  <c:v>101.21</c:v>
                </c:pt>
                <c:pt idx="677">
                  <c:v>97.66</c:v>
                </c:pt>
                <c:pt idx="678">
                  <c:v>96</c:v>
                </c:pt>
                <c:pt idx="679">
                  <c:v>95.42</c:v>
                </c:pt>
                <c:pt idx="680">
                  <c:v>92.09</c:v>
                </c:pt>
                <c:pt idx="681">
                  <c:v>90.17</c:v>
                </c:pt>
                <c:pt idx="682">
                  <c:v>93.52</c:v>
                </c:pt>
                <c:pt idx="683">
                  <c:v>97.66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281-4A7C-BB1C-41FCF9583E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946931064"/>
        <c:axId val="946922208"/>
      </c:barChart>
      <c:lineChart>
        <c:grouping val="standard"/>
        <c:varyColors val="0"/>
        <c:ser>
          <c:idx val="1"/>
          <c:order val="1"/>
          <c:tx>
            <c:strRef>
              <c:f>'Crude to Gas Correlation '!$C$3</c:f>
              <c:strCache>
                <c:ptCount val="1"/>
                <c:pt idx="0">
                  <c:v>Gasoline Price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'Crude to Gas Correlation '!$A$4:$A$688</c:f>
              <c:strCache>
                <c:ptCount val="684"/>
                <c:pt idx="0">
                  <c:v>10/31/2019</c:v>
                </c:pt>
                <c:pt idx="1">
                  <c:v>11/1/2019</c:v>
                </c:pt>
                <c:pt idx="2">
                  <c:v>11/4/2019</c:v>
                </c:pt>
                <c:pt idx="3">
                  <c:v>11/5/2019</c:v>
                </c:pt>
                <c:pt idx="4">
                  <c:v>11/6/2019</c:v>
                </c:pt>
                <c:pt idx="5">
                  <c:v>11/7/2019</c:v>
                </c:pt>
                <c:pt idx="6">
                  <c:v>11/8/2019</c:v>
                </c:pt>
                <c:pt idx="7">
                  <c:v>11/11/2019</c:v>
                </c:pt>
                <c:pt idx="8">
                  <c:v>11/12/2019</c:v>
                </c:pt>
                <c:pt idx="9">
                  <c:v>11/13/2019</c:v>
                </c:pt>
                <c:pt idx="10">
                  <c:v>11/14/2019</c:v>
                </c:pt>
                <c:pt idx="11">
                  <c:v>11/15/2019</c:v>
                </c:pt>
                <c:pt idx="12">
                  <c:v>11/18/2019</c:v>
                </c:pt>
                <c:pt idx="13">
                  <c:v>11/19/2019</c:v>
                </c:pt>
                <c:pt idx="14">
                  <c:v>11/20/2019</c:v>
                </c:pt>
                <c:pt idx="15">
                  <c:v>11/21/2019</c:v>
                </c:pt>
                <c:pt idx="16">
                  <c:v>11/22/2019</c:v>
                </c:pt>
                <c:pt idx="17">
                  <c:v>11/25/2019</c:v>
                </c:pt>
                <c:pt idx="18">
                  <c:v>11/26/2019</c:v>
                </c:pt>
                <c:pt idx="19">
                  <c:v>11/27/2019</c:v>
                </c:pt>
                <c:pt idx="20">
                  <c:v>11/28/2019</c:v>
                </c:pt>
                <c:pt idx="21">
                  <c:v>11/29/2019</c:v>
                </c:pt>
                <c:pt idx="22">
                  <c:v>12/2/2019</c:v>
                </c:pt>
                <c:pt idx="23">
                  <c:v>12/3/2019</c:v>
                </c:pt>
                <c:pt idx="24">
                  <c:v>12/4/2019</c:v>
                </c:pt>
                <c:pt idx="25">
                  <c:v>12/5/2019</c:v>
                </c:pt>
                <c:pt idx="26">
                  <c:v>12/6/2019</c:v>
                </c:pt>
                <c:pt idx="27">
                  <c:v>12/9/2019</c:v>
                </c:pt>
                <c:pt idx="28">
                  <c:v>12/10/2019</c:v>
                </c:pt>
                <c:pt idx="29">
                  <c:v>12/11/2019</c:v>
                </c:pt>
                <c:pt idx="30">
                  <c:v>12/12/2019</c:v>
                </c:pt>
                <c:pt idx="31">
                  <c:v>12/13/2019</c:v>
                </c:pt>
                <c:pt idx="32">
                  <c:v>12/16/2019</c:v>
                </c:pt>
                <c:pt idx="33">
                  <c:v>12/17/2019</c:v>
                </c:pt>
                <c:pt idx="34">
                  <c:v>12/18/2019</c:v>
                </c:pt>
                <c:pt idx="35">
                  <c:v>12/19/2019</c:v>
                </c:pt>
                <c:pt idx="36">
                  <c:v>12/20/2019</c:v>
                </c:pt>
                <c:pt idx="37">
                  <c:v>12/23/2019</c:v>
                </c:pt>
                <c:pt idx="38">
                  <c:v>12/24/2019</c:v>
                </c:pt>
                <c:pt idx="39">
                  <c:v>12/26/2019</c:v>
                </c:pt>
                <c:pt idx="40">
                  <c:v>12/27/2019</c:v>
                </c:pt>
                <c:pt idx="41">
                  <c:v>12/30/2019</c:v>
                </c:pt>
                <c:pt idx="42">
                  <c:v>12/31/2019</c:v>
                </c:pt>
                <c:pt idx="43">
                  <c:v>1/2/2020</c:v>
                </c:pt>
                <c:pt idx="44">
                  <c:v>1/3/2020</c:v>
                </c:pt>
                <c:pt idx="45">
                  <c:v>1/6/2020</c:v>
                </c:pt>
                <c:pt idx="46">
                  <c:v>1/7/2020</c:v>
                </c:pt>
                <c:pt idx="47">
                  <c:v>1/8/2020</c:v>
                </c:pt>
                <c:pt idx="48">
                  <c:v>1/9/2020</c:v>
                </c:pt>
                <c:pt idx="49">
                  <c:v>1/10/2020</c:v>
                </c:pt>
                <c:pt idx="50">
                  <c:v>1/13/2020</c:v>
                </c:pt>
                <c:pt idx="51">
                  <c:v>1/14/2020</c:v>
                </c:pt>
                <c:pt idx="52">
                  <c:v>1/15/2020</c:v>
                </c:pt>
                <c:pt idx="53">
                  <c:v>1/16/2020</c:v>
                </c:pt>
                <c:pt idx="54">
                  <c:v>1/17/2020</c:v>
                </c:pt>
                <c:pt idx="55">
                  <c:v>1/20/2020</c:v>
                </c:pt>
                <c:pt idx="56">
                  <c:v>1/21/2020</c:v>
                </c:pt>
                <c:pt idx="57">
                  <c:v>1/22/2020</c:v>
                </c:pt>
                <c:pt idx="58">
                  <c:v>1/23/2020</c:v>
                </c:pt>
                <c:pt idx="59">
                  <c:v>1/24/2020</c:v>
                </c:pt>
                <c:pt idx="60">
                  <c:v>1/27/2020</c:v>
                </c:pt>
                <c:pt idx="61">
                  <c:v>1/28/2020</c:v>
                </c:pt>
                <c:pt idx="62">
                  <c:v>1/29/2020</c:v>
                </c:pt>
                <c:pt idx="63">
                  <c:v>1/30/2020</c:v>
                </c:pt>
                <c:pt idx="64">
                  <c:v>1/31/2020</c:v>
                </c:pt>
                <c:pt idx="65">
                  <c:v>2/3/2020</c:v>
                </c:pt>
                <c:pt idx="66">
                  <c:v>2/4/2020</c:v>
                </c:pt>
                <c:pt idx="67">
                  <c:v>2/5/2020</c:v>
                </c:pt>
                <c:pt idx="68">
                  <c:v>2/6/2020</c:v>
                </c:pt>
                <c:pt idx="69">
                  <c:v>2/7/2020</c:v>
                </c:pt>
                <c:pt idx="70">
                  <c:v>2/10/2020</c:v>
                </c:pt>
                <c:pt idx="71">
                  <c:v>2/11/2020</c:v>
                </c:pt>
                <c:pt idx="72">
                  <c:v>2/12/2020</c:v>
                </c:pt>
                <c:pt idx="73">
                  <c:v>2/13/2020</c:v>
                </c:pt>
                <c:pt idx="74">
                  <c:v>2/14/2020</c:v>
                </c:pt>
                <c:pt idx="75">
                  <c:v>2/17/2020</c:v>
                </c:pt>
                <c:pt idx="76">
                  <c:v>2/18/2020</c:v>
                </c:pt>
                <c:pt idx="77">
                  <c:v>2/19/2020</c:v>
                </c:pt>
                <c:pt idx="78">
                  <c:v>2/20/2020</c:v>
                </c:pt>
                <c:pt idx="79">
                  <c:v>2/21/2020</c:v>
                </c:pt>
                <c:pt idx="80">
                  <c:v>2/24/2020</c:v>
                </c:pt>
                <c:pt idx="81">
                  <c:v>2/25/2020</c:v>
                </c:pt>
                <c:pt idx="82">
                  <c:v>2/26/2020</c:v>
                </c:pt>
                <c:pt idx="83">
                  <c:v>2/27/2020</c:v>
                </c:pt>
                <c:pt idx="84">
                  <c:v>2/28/2020</c:v>
                </c:pt>
                <c:pt idx="85">
                  <c:v>3/2/2020</c:v>
                </c:pt>
                <c:pt idx="86">
                  <c:v>3/3/2020</c:v>
                </c:pt>
                <c:pt idx="87">
                  <c:v>3/4/2020</c:v>
                </c:pt>
                <c:pt idx="88">
                  <c:v>3/5/2020</c:v>
                </c:pt>
                <c:pt idx="89">
                  <c:v>3/6/2020</c:v>
                </c:pt>
                <c:pt idx="90">
                  <c:v>3/9/2020</c:v>
                </c:pt>
                <c:pt idx="91">
                  <c:v>3/10/2020</c:v>
                </c:pt>
                <c:pt idx="92">
                  <c:v>3/11/2020</c:v>
                </c:pt>
                <c:pt idx="93">
                  <c:v>3/12/2020</c:v>
                </c:pt>
                <c:pt idx="94">
                  <c:v>3/13/2020</c:v>
                </c:pt>
                <c:pt idx="95">
                  <c:v>3/16/2020</c:v>
                </c:pt>
                <c:pt idx="96">
                  <c:v>3/17/2020</c:v>
                </c:pt>
                <c:pt idx="97">
                  <c:v>3/18/2020</c:v>
                </c:pt>
                <c:pt idx="98">
                  <c:v>3/19/2020</c:v>
                </c:pt>
                <c:pt idx="99">
                  <c:v>3/20/2020</c:v>
                </c:pt>
                <c:pt idx="100">
                  <c:v>3/23/2020</c:v>
                </c:pt>
                <c:pt idx="101">
                  <c:v>3/24/2020</c:v>
                </c:pt>
                <c:pt idx="102">
                  <c:v>3/25/2020</c:v>
                </c:pt>
                <c:pt idx="103">
                  <c:v>3/26/2020</c:v>
                </c:pt>
                <c:pt idx="104">
                  <c:v>3/27/2020</c:v>
                </c:pt>
                <c:pt idx="105">
                  <c:v>3/30/2020</c:v>
                </c:pt>
                <c:pt idx="106">
                  <c:v>3/31/2020</c:v>
                </c:pt>
                <c:pt idx="107">
                  <c:v>4/1/2020</c:v>
                </c:pt>
                <c:pt idx="108">
                  <c:v>4/2/2020</c:v>
                </c:pt>
                <c:pt idx="109">
                  <c:v>4/3/2020</c:v>
                </c:pt>
                <c:pt idx="110">
                  <c:v>4/6/2020</c:v>
                </c:pt>
                <c:pt idx="111">
                  <c:v>4/7/2020</c:v>
                </c:pt>
                <c:pt idx="112">
                  <c:v>4/8/2020</c:v>
                </c:pt>
                <c:pt idx="113">
                  <c:v>4/9/2020</c:v>
                </c:pt>
                <c:pt idx="114">
                  <c:v>4/13/2020</c:v>
                </c:pt>
                <c:pt idx="115">
                  <c:v>4/14/2020</c:v>
                </c:pt>
                <c:pt idx="116">
                  <c:v>4/15/2020</c:v>
                </c:pt>
                <c:pt idx="117">
                  <c:v>4/16/2020</c:v>
                </c:pt>
                <c:pt idx="118">
                  <c:v>4/17/2020</c:v>
                </c:pt>
                <c:pt idx="119">
                  <c:v>4/20/2020</c:v>
                </c:pt>
                <c:pt idx="120">
                  <c:v>4/21/2020</c:v>
                </c:pt>
                <c:pt idx="121">
                  <c:v>4/22/2020</c:v>
                </c:pt>
                <c:pt idx="122">
                  <c:v>4/23/2020</c:v>
                </c:pt>
                <c:pt idx="123">
                  <c:v>4/24/2020</c:v>
                </c:pt>
                <c:pt idx="124">
                  <c:v>4/27/2020</c:v>
                </c:pt>
                <c:pt idx="125">
                  <c:v>4/28/2020</c:v>
                </c:pt>
                <c:pt idx="126">
                  <c:v>4/29/2020</c:v>
                </c:pt>
                <c:pt idx="127">
                  <c:v>4/30/2020</c:v>
                </c:pt>
                <c:pt idx="128">
                  <c:v>5/1/2020</c:v>
                </c:pt>
                <c:pt idx="129">
                  <c:v>5/4/2020</c:v>
                </c:pt>
                <c:pt idx="130">
                  <c:v>5/5/2020</c:v>
                </c:pt>
                <c:pt idx="131">
                  <c:v>5/6/2020</c:v>
                </c:pt>
                <c:pt idx="132">
                  <c:v>5/7/2020</c:v>
                </c:pt>
                <c:pt idx="133">
                  <c:v>5/8/2020</c:v>
                </c:pt>
                <c:pt idx="134">
                  <c:v>5/11/2020</c:v>
                </c:pt>
                <c:pt idx="135">
                  <c:v>5/12/2020</c:v>
                </c:pt>
                <c:pt idx="136">
                  <c:v>5/13/2020</c:v>
                </c:pt>
                <c:pt idx="137">
                  <c:v>5/14/2020</c:v>
                </c:pt>
                <c:pt idx="138">
                  <c:v>5/15/2020</c:v>
                </c:pt>
                <c:pt idx="139">
                  <c:v>5/18/2020</c:v>
                </c:pt>
                <c:pt idx="140">
                  <c:v>5/19/2020</c:v>
                </c:pt>
                <c:pt idx="141">
                  <c:v>5/20/2020</c:v>
                </c:pt>
                <c:pt idx="142">
                  <c:v>5/21/2020</c:v>
                </c:pt>
                <c:pt idx="143">
                  <c:v>5/22/2020</c:v>
                </c:pt>
                <c:pt idx="144">
                  <c:v>5/26/2020</c:v>
                </c:pt>
                <c:pt idx="145">
                  <c:v>5/27/2020</c:v>
                </c:pt>
                <c:pt idx="146">
                  <c:v>5/28/2020</c:v>
                </c:pt>
                <c:pt idx="147">
                  <c:v>5/29/2020</c:v>
                </c:pt>
                <c:pt idx="148">
                  <c:v>6/1/2020</c:v>
                </c:pt>
                <c:pt idx="149">
                  <c:v>6/2/2020</c:v>
                </c:pt>
                <c:pt idx="150">
                  <c:v>6/3/2020</c:v>
                </c:pt>
                <c:pt idx="151">
                  <c:v>6/4/2020</c:v>
                </c:pt>
                <c:pt idx="152">
                  <c:v>6/5/2020</c:v>
                </c:pt>
                <c:pt idx="153">
                  <c:v>6/8/2020</c:v>
                </c:pt>
                <c:pt idx="154">
                  <c:v>6/9/2020</c:v>
                </c:pt>
                <c:pt idx="155">
                  <c:v>6/10/2020</c:v>
                </c:pt>
                <c:pt idx="156">
                  <c:v>6/11/2020</c:v>
                </c:pt>
                <c:pt idx="157">
                  <c:v>6/12/2020</c:v>
                </c:pt>
                <c:pt idx="158">
                  <c:v>6/15/2020</c:v>
                </c:pt>
                <c:pt idx="159">
                  <c:v>6/16/2020</c:v>
                </c:pt>
                <c:pt idx="160">
                  <c:v>6/17/2020</c:v>
                </c:pt>
                <c:pt idx="161">
                  <c:v>6/18/2020</c:v>
                </c:pt>
                <c:pt idx="162">
                  <c:v>6/19/2020</c:v>
                </c:pt>
                <c:pt idx="163">
                  <c:v>6/22/2020</c:v>
                </c:pt>
                <c:pt idx="164">
                  <c:v>6/23/2020</c:v>
                </c:pt>
                <c:pt idx="165">
                  <c:v>6/24/2020</c:v>
                </c:pt>
                <c:pt idx="166">
                  <c:v>6/25/2020</c:v>
                </c:pt>
                <c:pt idx="167">
                  <c:v>6/26/2020</c:v>
                </c:pt>
                <c:pt idx="168">
                  <c:v>6/29/2020</c:v>
                </c:pt>
                <c:pt idx="169">
                  <c:v>6/30/2020</c:v>
                </c:pt>
                <c:pt idx="170">
                  <c:v>7/1/2020</c:v>
                </c:pt>
                <c:pt idx="171">
                  <c:v>7/2/2020</c:v>
                </c:pt>
                <c:pt idx="172">
                  <c:v>7/3/2020</c:v>
                </c:pt>
                <c:pt idx="173">
                  <c:v>7/6/2020</c:v>
                </c:pt>
                <c:pt idx="174">
                  <c:v>7/7/2020</c:v>
                </c:pt>
                <c:pt idx="175">
                  <c:v>7/8/2020</c:v>
                </c:pt>
                <c:pt idx="176">
                  <c:v>7/9/2020</c:v>
                </c:pt>
                <c:pt idx="177">
                  <c:v>7/10/2020</c:v>
                </c:pt>
                <c:pt idx="178">
                  <c:v>7/13/2020</c:v>
                </c:pt>
                <c:pt idx="179">
                  <c:v>7/14/2020</c:v>
                </c:pt>
                <c:pt idx="180">
                  <c:v>7/15/2020</c:v>
                </c:pt>
                <c:pt idx="181">
                  <c:v>7/16/2020</c:v>
                </c:pt>
                <c:pt idx="182">
                  <c:v>7/17/2020</c:v>
                </c:pt>
                <c:pt idx="183">
                  <c:v>7/20/2020</c:v>
                </c:pt>
                <c:pt idx="184">
                  <c:v>7/21/2020</c:v>
                </c:pt>
                <c:pt idx="185">
                  <c:v>7/22/2020</c:v>
                </c:pt>
                <c:pt idx="186">
                  <c:v>7/23/2020</c:v>
                </c:pt>
                <c:pt idx="187">
                  <c:v>7/24/2020</c:v>
                </c:pt>
                <c:pt idx="188">
                  <c:v>7/27/2020</c:v>
                </c:pt>
                <c:pt idx="189">
                  <c:v>7/28/2020</c:v>
                </c:pt>
                <c:pt idx="190">
                  <c:v>7/29/2020</c:v>
                </c:pt>
                <c:pt idx="191">
                  <c:v>7/30/2020</c:v>
                </c:pt>
                <c:pt idx="192">
                  <c:v>7/31/2020</c:v>
                </c:pt>
                <c:pt idx="193">
                  <c:v>8/3/2020</c:v>
                </c:pt>
                <c:pt idx="194">
                  <c:v>8/4/2020</c:v>
                </c:pt>
                <c:pt idx="195">
                  <c:v>8/5/2020</c:v>
                </c:pt>
                <c:pt idx="196">
                  <c:v>8/6/2020</c:v>
                </c:pt>
                <c:pt idx="197">
                  <c:v>8/7/2020</c:v>
                </c:pt>
                <c:pt idx="198">
                  <c:v>8/10/2020</c:v>
                </c:pt>
                <c:pt idx="199">
                  <c:v>8/11/2020</c:v>
                </c:pt>
                <c:pt idx="200">
                  <c:v>8/12/2020</c:v>
                </c:pt>
                <c:pt idx="201">
                  <c:v>8/13/2020</c:v>
                </c:pt>
                <c:pt idx="202">
                  <c:v>8/14/2020</c:v>
                </c:pt>
                <c:pt idx="203">
                  <c:v>8/17/2020</c:v>
                </c:pt>
                <c:pt idx="204">
                  <c:v>8/18/2020</c:v>
                </c:pt>
                <c:pt idx="205">
                  <c:v>8/19/2020</c:v>
                </c:pt>
                <c:pt idx="206">
                  <c:v>8/20/2020</c:v>
                </c:pt>
                <c:pt idx="207">
                  <c:v>8/21/2020</c:v>
                </c:pt>
                <c:pt idx="208">
                  <c:v>8/24/2020</c:v>
                </c:pt>
                <c:pt idx="209">
                  <c:v>8/25/2020</c:v>
                </c:pt>
                <c:pt idx="210">
                  <c:v>8/26/2020</c:v>
                </c:pt>
                <c:pt idx="211">
                  <c:v>8/27/2020</c:v>
                </c:pt>
                <c:pt idx="212">
                  <c:v>8/28/2020</c:v>
                </c:pt>
                <c:pt idx="213">
                  <c:v>8/31/2020</c:v>
                </c:pt>
                <c:pt idx="214">
                  <c:v>9/1/2020</c:v>
                </c:pt>
                <c:pt idx="215">
                  <c:v>9/2/2020</c:v>
                </c:pt>
                <c:pt idx="216">
                  <c:v>9/3/2020</c:v>
                </c:pt>
                <c:pt idx="217">
                  <c:v>9/4/2020</c:v>
                </c:pt>
                <c:pt idx="218">
                  <c:v>9/7/2020</c:v>
                </c:pt>
                <c:pt idx="219">
                  <c:v>9/8/2020</c:v>
                </c:pt>
                <c:pt idx="220">
                  <c:v>9/9/2020</c:v>
                </c:pt>
                <c:pt idx="221">
                  <c:v>9/10/2020</c:v>
                </c:pt>
                <c:pt idx="222">
                  <c:v>9/11/2020</c:v>
                </c:pt>
                <c:pt idx="223">
                  <c:v>9/14/2020</c:v>
                </c:pt>
                <c:pt idx="224">
                  <c:v>9/15/2020</c:v>
                </c:pt>
                <c:pt idx="225">
                  <c:v>9/16/2020</c:v>
                </c:pt>
                <c:pt idx="226">
                  <c:v>9/17/2020</c:v>
                </c:pt>
                <c:pt idx="227">
                  <c:v>9/18/2020</c:v>
                </c:pt>
                <c:pt idx="228">
                  <c:v>9/21/2020</c:v>
                </c:pt>
                <c:pt idx="229">
                  <c:v>9/22/2020</c:v>
                </c:pt>
                <c:pt idx="230">
                  <c:v>9/23/2020</c:v>
                </c:pt>
                <c:pt idx="231">
                  <c:v>9/24/2020</c:v>
                </c:pt>
                <c:pt idx="232">
                  <c:v>9/25/2020</c:v>
                </c:pt>
                <c:pt idx="233">
                  <c:v>9/28/2020</c:v>
                </c:pt>
                <c:pt idx="234">
                  <c:v>9/29/2020</c:v>
                </c:pt>
                <c:pt idx="235">
                  <c:v>9/30/2020</c:v>
                </c:pt>
                <c:pt idx="236">
                  <c:v>10/1/2020</c:v>
                </c:pt>
                <c:pt idx="237">
                  <c:v>10/2/2020</c:v>
                </c:pt>
                <c:pt idx="238">
                  <c:v>10/5/2020</c:v>
                </c:pt>
                <c:pt idx="239">
                  <c:v>10/6/2020</c:v>
                </c:pt>
                <c:pt idx="240">
                  <c:v>10/7/2020</c:v>
                </c:pt>
                <c:pt idx="241">
                  <c:v>10/8/2020</c:v>
                </c:pt>
                <c:pt idx="242">
                  <c:v>10/9/2020</c:v>
                </c:pt>
                <c:pt idx="243">
                  <c:v>10/12/2020</c:v>
                </c:pt>
                <c:pt idx="244">
                  <c:v>10/13/2020</c:v>
                </c:pt>
                <c:pt idx="245">
                  <c:v>10/14/2020</c:v>
                </c:pt>
                <c:pt idx="246">
                  <c:v>10/15/2020</c:v>
                </c:pt>
                <c:pt idx="247">
                  <c:v>10/16/2020</c:v>
                </c:pt>
                <c:pt idx="248">
                  <c:v>10/19/2020</c:v>
                </c:pt>
                <c:pt idx="249">
                  <c:v>10/20/2020</c:v>
                </c:pt>
                <c:pt idx="250">
                  <c:v>10/21/2020</c:v>
                </c:pt>
                <c:pt idx="251">
                  <c:v>10/22/2020</c:v>
                </c:pt>
                <c:pt idx="252">
                  <c:v>10/23/2020</c:v>
                </c:pt>
                <c:pt idx="253">
                  <c:v>10/26/2020</c:v>
                </c:pt>
                <c:pt idx="254">
                  <c:v>10/27/2020</c:v>
                </c:pt>
                <c:pt idx="255">
                  <c:v>10/28/2020</c:v>
                </c:pt>
                <c:pt idx="256">
                  <c:v>10/29/2020</c:v>
                </c:pt>
                <c:pt idx="257">
                  <c:v>10/30/2020</c:v>
                </c:pt>
                <c:pt idx="258">
                  <c:v>11/2/2020</c:v>
                </c:pt>
                <c:pt idx="259">
                  <c:v>11/3/2020</c:v>
                </c:pt>
                <c:pt idx="260">
                  <c:v>11/4/2020</c:v>
                </c:pt>
                <c:pt idx="261">
                  <c:v>11/5/2020</c:v>
                </c:pt>
                <c:pt idx="262">
                  <c:v>11/6/2020</c:v>
                </c:pt>
                <c:pt idx="263">
                  <c:v>11/9/2020</c:v>
                </c:pt>
                <c:pt idx="264">
                  <c:v>11/10/2020</c:v>
                </c:pt>
                <c:pt idx="265">
                  <c:v>11/11/2020</c:v>
                </c:pt>
                <c:pt idx="266">
                  <c:v>11/12/2020</c:v>
                </c:pt>
                <c:pt idx="267">
                  <c:v>11/13/2020</c:v>
                </c:pt>
                <c:pt idx="268">
                  <c:v>11/16/2020</c:v>
                </c:pt>
                <c:pt idx="269">
                  <c:v>11/17/2020</c:v>
                </c:pt>
                <c:pt idx="270">
                  <c:v>11/18/2020</c:v>
                </c:pt>
                <c:pt idx="271">
                  <c:v>11/19/2020</c:v>
                </c:pt>
                <c:pt idx="272">
                  <c:v>11/20/2020</c:v>
                </c:pt>
                <c:pt idx="273">
                  <c:v>11/23/2020</c:v>
                </c:pt>
                <c:pt idx="274">
                  <c:v>11/24/2020</c:v>
                </c:pt>
                <c:pt idx="275">
                  <c:v>11/25/2020</c:v>
                </c:pt>
                <c:pt idx="276">
                  <c:v>11/26/2020</c:v>
                </c:pt>
                <c:pt idx="277">
                  <c:v>11/27/2020</c:v>
                </c:pt>
                <c:pt idx="278">
                  <c:v>11/30/2020</c:v>
                </c:pt>
                <c:pt idx="279">
                  <c:v>12/1/2020</c:v>
                </c:pt>
                <c:pt idx="280">
                  <c:v>12/2/2020</c:v>
                </c:pt>
                <c:pt idx="281">
                  <c:v>12/3/2020</c:v>
                </c:pt>
                <c:pt idx="282">
                  <c:v>12/4/2020</c:v>
                </c:pt>
                <c:pt idx="283">
                  <c:v>12/7/2020</c:v>
                </c:pt>
                <c:pt idx="284">
                  <c:v>12/8/2020</c:v>
                </c:pt>
                <c:pt idx="285">
                  <c:v>12/9/2020</c:v>
                </c:pt>
                <c:pt idx="286">
                  <c:v>12/10/2020</c:v>
                </c:pt>
                <c:pt idx="287">
                  <c:v>12/11/2020</c:v>
                </c:pt>
                <c:pt idx="288">
                  <c:v>12/14/2020</c:v>
                </c:pt>
                <c:pt idx="289">
                  <c:v>12/15/2020</c:v>
                </c:pt>
                <c:pt idx="290">
                  <c:v>12/16/2020</c:v>
                </c:pt>
                <c:pt idx="291">
                  <c:v>12/17/2020</c:v>
                </c:pt>
                <c:pt idx="292">
                  <c:v>12/18/2020</c:v>
                </c:pt>
                <c:pt idx="293">
                  <c:v>12/21/2020</c:v>
                </c:pt>
                <c:pt idx="294">
                  <c:v>12/22/2020</c:v>
                </c:pt>
                <c:pt idx="295">
                  <c:v>12/23/2020</c:v>
                </c:pt>
                <c:pt idx="296">
                  <c:v>12/24/2020</c:v>
                </c:pt>
                <c:pt idx="297">
                  <c:v>12/28/2020</c:v>
                </c:pt>
                <c:pt idx="298">
                  <c:v>12/29/2020</c:v>
                </c:pt>
                <c:pt idx="299">
                  <c:v>12/30/2020</c:v>
                </c:pt>
                <c:pt idx="300">
                  <c:v>12/31/2020</c:v>
                </c:pt>
                <c:pt idx="301">
                  <c:v>1/4/2021</c:v>
                </c:pt>
                <c:pt idx="302">
                  <c:v>1/5/2021</c:v>
                </c:pt>
                <c:pt idx="303">
                  <c:v>1/6/2021</c:v>
                </c:pt>
                <c:pt idx="304">
                  <c:v>1/7/2021</c:v>
                </c:pt>
                <c:pt idx="305">
                  <c:v>1/8/2021</c:v>
                </c:pt>
                <c:pt idx="306">
                  <c:v>1/11/2021</c:v>
                </c:pt>
                <c:pt idx="307">
                  <c:v>1/12/2021</c:v>
                </c:pt>
                <c:pt idx="308">
                  <c:v>1/13/2021</c:v>
                </c:pt>
                <c:pt idx="309">
                  <c:v>1/14/2021</c:v>
                </c:pt>
                <c:pt idx="310">
                  <c:v>1/15/2021</c:v>
                </c:pt>
                <c:pt idx="311">
                  <c:v>1/18/2021</c:v>
                </c:pt>
                <c:pt idx="312">
                  <c:v>1/19/2021</c:v>
                </c:pt>
                <c:pt idx="313">
                  <c:v>1/20/2021</c:v>
                </c:pt>
                <c:pt idx="314">
                  <c:v>1/21/2021</c:v>
                </c:pt>
                <c:pt idx="315">
                  <c:v>1/22/2021</c:v>
                </c:pt>
                <c:pt idx="316">
                  <c:v>1/25/2021</c:v>
                </c:pt>
                <c:pt idx="317">
                  <c:v>1/26/2021</c:v>
                </c:pt>
                <c:pt idx="318">
                  <c:v>1/27/2021</c:v>
                </c:pt>
                <c:pt idx="319">
                  <c:v>1/28/2021</c:v>
                </c:pt>
                <c:pt idx="320">
                  <c:v>1/29/2021</c:v>
                </c:pt>
                <c:pt idx="321">
                  <c:v>2/1/2021</c:v>
                </c:pt>
                <c:pt idx="322">
                  <c:v>2/2/2021</c:v>
                </c:pt>
                <c:pt idx="323">
                  <c:v>2/3/2021</c:v>
                </c:pt>
                <c:pt idx="324">
                  <c:v>2/4/2021</c:v>
                </c:pt>
                <c:pt idx="325">
                  <c:v>2/5/2021</c:v>
                </c:pt>
                <c:pt idx="326">
                  <c:v>2/8/2021</c:v>
                </c:pt>
                <c:pt idx="327">
                  <c:v>2/9/2021</c:v>
                </c:pt>
                <c:pt idx="328">
                  <c:v>2/10/2021</c:v>
                </c:pt>
                <c:pt idx="329">
                  <c:v>2/11/2021</c:v>
                </c:pt>
                <c:pt idx="330">
                  <c:v>2/12/2021</c:v>
                </c:pt>
                <c:pt idx="331">
                  <c:v>2/15/2021</c:v>
                </c:pt>
                <c:pt idx="332">
                  <c:v>2/16/2021</c:v>
                </c:pt>
                <c:pt idx="333">
                  <c:v>2/17/2021</c:v>
                </c:pt>
                <c:pt idx="334">
                  <c:v>2/18/2021</c:v>
                </c:pt>
                <c:pt idx="335">
                  <c:v>2/19/2021</c:v>
                </c:pt>
                <c:pt idx="336">
                  <c:v>2/22/2021</c:v>
                </c:pt>
                <c:pt idx="337">
                  <c:v>2/23/2021</c:v>
                </c:pt>
                <c:pt idx="338">
                  <c:v>2/24/2021</c:v>
                </c:pt>
                <c:pt idx="339">
                  <c:v>2/25/2021</c:v>
                </c:pt>
                <c:pt idx="340">
                  <c:v>2/26/2021</c:v>
                </c:pt>
                <c:pt idx="341">
                  <c:v>3/1/2021</c:v>
                </c:pt>
                <c:pt idx="342">
                  <c:v>3/2/2021</c:v>
                </c:pt>
                <c:pt idx="343">
                  <c:v>3/3/2021</c:v>
                </c:pt>
                <c:pt idx="344">
                  <c:v>3/4/2021</c:v>
                </c:pt>
                <c:pt idx="345">
                  <c:v>3/5/2021</c:v>
                </c:pt>
                <c:pt idx="346">
                  <c:v>3/8/2021</c:v>
                </c:pt>
                <c:pt idx="347">
                  <c:v>3/9/2021</c:v>
                </c:pt>
                <c:pt idx="348">
                  <c:v>3/10/2021</c:v>
                </c:pt>
                <c:pt idx="349">
                  <c:v>3/11/2021</c:v>
                </c:pt>
                <c:pt idx="350">
                  <c:v>3/12/2021</c:v>
                </c:pt>
                <c:pt idx="351">
                  <c:v>3/15/2021</c:v>
                </c:pt>
                <c:pt idx="352">
                  <c:v>3/16/2021</c:v>
                </c:pt>
                <c:pt idx="353">
                  <c:v>3/17/2021</c:v>
                </c:pt>
                <c:pt idx="354">
                  <c:v>3/18/2021</c:v>
                </c:pt>
                <c:pt idx="355">
                  <c:v>3/19/2021</c:v>
                </c:pt>
                <c:pt idx="356">
                  <c:v>3/22/2021</c:v>
                </c:pt>
                <c:pt idx="357">
                  <c:v>3/23/2021</c:v>
                </c:pt>
                <c:pt idx="358">
                  <c:v>3/24/2021</c:v>
                </c:pt>
                <c:pt idx="359">
                  <c:v>3/25/2021</c:v>
                </c:pt>
                <c:pt idx="360">
                  <c:v>3/26/2021</c:v>
                </c:pt>
                <c:pt idx="361">
                  <c:v>3/29/2021</c:v>
                </c:pt>
                <c:pt idx="362">
                  <c:v>3/30/2021</c:v>
                </c:pt>
                <c:pt idx="363">
                  <c:v>3/31/2021</c:v>
                </c:pt>
                <c:pt idx="364">
                  <c:v>4/1/2021</c:v>
                </c:pt>
                <c:pt idx="365">
                  <c:v>4/5/2021</c:v>
                </c:pt>
                <c:pt idx="366">
                  <c:v>4/6/2021</c:v>
                </c:pt>
                <c:pt idx="367">
                  <c:v>4/7/2021</c:v>
                </c:pt>
                <c:pt idx="368">
                  <c:v>4/8/2021</c:v>
                </c:pt>
                <c:pt idx="369">
                  <c:v>4/9/2021</c:v>
                </c:pt>
                <c:pt idx="370">
                  <c:v>4/12/2021</c:v>
                </c:pt>
                <c:pt idx="371">
                  <c:v>4/13/2021</c:v>
                </c:pt>
                <c:pt idx="372">
                  <c:v>4/14/2021</c:v>
                </c:pt>
                <c:pt idx="373">
                  <c:v>4/15/2021</c:v>
                </c:pt>
                <c:pt idx="374">
                  <c:v>4/16/2021</c:v>
                </c:pt>
                <c:pt idx="375">
                  <c:v>4/19/2021</c:v>
                </c:pt>
                <c:pt idx="376">
                  <c:v>4/20/2021</c:v>
                </c:pt>
                <c:pt idx="377">
                  <c:v>4/21/2021</c:v>
                </c:pt>
                <c:pt idx="378">
                  <c:v>4/22/2021</c:v>
                </c:pt>
                <c:pt idx="379">
                  <c:v>4/23/2021</c:v>
                </c:pt>
                <c:pt idx="380">
                  <c:v>4/26/2021</c:v>
                </c:pt>
                <c:pt idx="381">
                  <c:v>4/27/2021</c:v>
                </c:pt>
                <c:pt idx="382">
                  <c:v>4/28/2021</c:v>
                </c:pt>
                <c:pt idx="383">
                  <c:v>4/29/2021</c:v>
                </c:pt>
                <c:pt idx="384">
                  <c:v>4/30/2021</c:v>
                </c:pt>
                <c:pt idx="385">
                  <c:v>5/3/2021</c:v>
                </c:pt>
                <c:pt idx="386">
                  <c:v>5/4/2021</c:v>
                </c:pt>
                <c:pt idx="387">
                  <c:v>5/5/2021</c:v>
                </c:pt>
                <c:pt idx="388">
                  <c:v>5/6/2021</c:v>
                </c:pt>
                <c:pt idx="389">
                  <c:v>5/7/2021</c:v>
                </c:pt>
                <c:pt idx="390">
                  <c:v>5/10/2021</c:v>
                </c:pt>
                <c:pt idx="391">
                  <c:v>5/11/2021</c:v>
                </c:pt>
                <c:pt idx="392">
                  <c:v>5/12/2021</c:v>
                </c:pt>
                <c:pt idx="393">
                  <c:v>5/13/2021</c:v>
                </c:pt>
                <c:pt idx="394">
                  <c:v>5/14/2021</c:v>
                </c:pt>
                <c:pt idx="395">
                  <c:v>5/17/2021</c:v>
                </c:pt>
                <c:pt idx="396">
                  <c:v>5/18/2021</c:v>
                </c:pt>
                <c:pt idx="397">
                  <c:v>5/19/2021</c:v>
                </c:pt>
                <c:pt idx="398">
                  <c:v>5/20/2021</c:v>
                </c:pt>
                <c:pt idx="399">
                  <c:v>5/21/2021</c:v>
                </c:pt>
                <c:pt idx="400">
                  <c:v>5/24/2021</c:v>
                </c:pt>
                <c:pt idx="401">
                  <c:v>5/25/2021</c:v>
                </c:pt>
                <c:pt idx="402">
                  <c:v>5/26/2021</c:v>
                </c:pt>
                <c:pt idx="403">
                  <c:v>5/27/2021</c:v>
                </c:pt>
                <c:pt idx="404">
                  <c:v>5/28/2021</c:v>
                </c:pt>
                <c:pt idx="405">
                  <c:v>5/31/2021</c:v>
                </c:pt>
                <c:pt idx="406">
                  <c:v>6/1/2021</c:v>
                </c:pt>
                <c:pt idx="407">
                  <c:v>6/2/2021</c:v>
                </c:pt>
                <c:pt idx="408">
                  <c:v>6/3/2021</c:v>
                </c:pt>
                <c:pt idx="409">
                  <c:v>6/4/2021</c:v>
                </c:pt>
                <c:pt idx="410">
                  <c:v>6/7/2021</c:v>
                </c:pt>
                <c:pt idx="411">
                  <c:v>6/8/2021</c:v>
                </c:pt>
                <c:pt idx="412">
                  <c:v>6/9/2021</c:v>
                </c:pt>
                <c:pt idx="413">
                  <c:v>6/10/2021</c:v>
                </c:pt>
                <c:pt idx="414">
                  <c:v>6/11/2021</c:v>
                </c:pt>
                <c:pt idx="415">
                  <c:v>6/14/2021</c:v>
                </c:pt>
                <c:pt idx="416">
                  <c:v>6/15/2021</c:v>
                </c:pt>
                <c:pt idx="417">
                  <c:v>6/16/2021</c:v>
                </c:pt>
                <c:pt idx="418">
                  <c:v>6/17/2021</c:v>
                </c:pt>
                <c:pt idx="419">
                  <c:v>6/18/2021</c:v>
                </c:pt>
                <c:pt idx="420">
                  <c:v>6/21/2021</c:v>
                </c:pt>
                <c:pt idx="421">
                  <c:v>6/22/2021</c:v>
                </c:pt>
                <c:pt idx="422">
                  <c:v>6/23/2021</c:v>
                </c:pt>
                <c:pt idx="423">
                  <c:v>6/24/2021</c:v>
                </c:pt>
                <c:pt idx="424">
                  <c:v>6/25/2021</c:v>
                </c:pt>
                <c:pt idx="425">
                  <c:v>6/28/2021</c:v>
                </c:pt>
                <c:pt idx="426">
                  <c:v>6/29/2021</c:v>
                </c:pt>
                <c:pt idx="427">
                  <c:v>6/30/2021</c:v>
                </c:pt>
                <c:pt idx="428">
                  <c:v>7/1/2021</c:v>
                </c:pt>
                <c:pt idx="429">
                  <c:v>7/2/2021</c:v>
                </c:pt>
                <c:pt idx="430">
                  <c:v>7/5/2021</c:v>
                </c:pt>
                <c:pt idx="431">
                  <c:v>7/6/2021</c:v>
                </c:pt>
                <c:pt idx="432">
                  <c:v>7/7/2021</c:v>
                </c:pt>
                <c:pt idx="433">
                  <c:v>7/8/2021</c:v>
                </c:pt>
                <c:pt idx="434">
                  <c:v>7/9/2021</c:v>
                </c:pt>
                <c:pt idx="435">
                  <c:v>7/12/2021</c:v>
                </c:pt>
                <c:pt idx="436">
                  <c:v>7/13/2021</c:v>
                </c:pt>
                <c:pt idx="437">
                  <c:v>7/14/2021</c:v>
                </c:pt>
                <c:pt idx="438">
                  <c:v>7/15/2021</c:v>
                </c:pt>
                <c:pt idx="439">
                  <c:v>7/16/2021</c:v>
                </c:pt>
                <c:pt idx="440">
                  <c:v>7/19/2021</c:v>
                </c:pt>
                <c:pt idx="441">
                  <c:v>7/20/2021</c:v>
                </c:pt>
                <c:pt idx="442">
                  <c:v>7/21/2021</c:v>
                </c:pt>
                <c:pt idx="443">
                  <c:v>7/22/2021</c:v>
                </c:pt>
                <c:pt idx="444">
                  <c:v>7/23/2021</c:v>
                </c:pt>
                <c:pt idx="445">
                  <c:v>7/26/2021</c:v>
                </c:pt>
                <c:pt idx="446">
                  <c:v>7/27/2021</c:v>
                </c:pt>
                <c:pt idx="447">
                  <c:v>7/28/2021</c:v>
                </c:pt>
                <c:pt idx="448">
                  <c:v>7/29/2021</c:v>
                </c:pt>
                <c:pt idx="449">
                  <c:v>7/30/2021</c:v>
                </c:pt>
                <c:pt idx="450">
                  <c:v>8/2/2021</c:v>
                </c:pt>
                <c:pt idx="451">
                  <c:v>8/3/2021</c:v>
                </c:pt>
                <c:pt idx="452">
                  <c:v>8/4/2021</c:v>
                </c:pt>
                <c:pt idx="453">
                  <c:v>8/5/2021</c:v>
                </c:pt>
                <c:pt idx="454">
                  <c:v>8/6/2021</c:v>
                </c:pt>
                <c:pt idx="455">
                  <c:v>8/9/2021</c:v>
                </c:pt>
                <c:pt idx="456">
                  <c:v>8/10/2021</c:v>
                </c:pt>
                <c:pt idx="457">
                  <c:v>8/11/2021</c:v>
                </c:pt>
                <c:pt idx="458">
                  <c:v>8/12/2021</c:v>
                </c:pt>
                <c:pt idx="459">
                  <c:v>8/13/2021</c:v>
                </c:pt>
                <c:pt idx="460">
                  <c:v>8/16/2021</c:v>
                </c:pt>
                <c:pt idx="461">
                  <c:v>8/17/2021</c:v>
                </c:pt>
                <c:pt idx="462">
                  <c:v>8/18/2021</c:v>
                </c:pt>
                <c:pt idx="463">
                  <c:v>8/19/2021</c:v>
                </c:pt>
                <c:pt idx="464">
                  <c:v>8/20/2021</c:v>
                </c:pt>
                <c:pt idx="465">
                  <c:v>8/23/2021</c:v>
                </c:pt>
                <c:pt idx="466">
                  <c:v>8/24/2021</c:v>
                </c:pt>
                <c:pt idx="467">
                  <c:v>8/25/2021</c:v>
                </c:pt>
                <c:pt idx="468">
                  <c:v>8/26/2021</c:v>
                </c:pt>
                <c:pt idx="469">
                  <c:v>8/27/2021</c:v>
                </c:pt>
                <c:pt idx="470">
                  <c:v>8/30/2021</c:v>
                </c:pt>
                <c:pt idx="471">
                  <c:v>8/31/2021</c:v>
                </c:pt>
                <c:pt idx="472">
                  <c:v>9/1/2021</c:v>
                </c:pt>
                <c:pt idx="473">
                  <c:v>9/2/2021</c:v>
                </c:pt>
                <c:pt idx="474">
                  <c:v>9/3/2021</c:v>
                </c:pt>
                <c:pt idx="475">
                  <c:v>9/6/2021</c:v>
                </c:pt>
                <c:pt idx="476">
                  <c:v>9/7/2021</c:v>
                </c:pt>
                <c:pt idx="477">
                  <c:v>9/8/2021</c:v>
                </c:pt>
                <c:pt idx="478">
                  <c:v>9/9/2021</c:v>
                </c:pt>
                <c:pt idx="479">
                  <c:v>9/10/2021</c:v>
                </c:pt>
                <c:pt idx="480">
                  <c:v>9/13/2021</c:v>
                </c:pt>
                <c:pt idx="481">
                  <c:v>9/14/2021</c:v>
                </c:pt>
                <c:pt idx="482">
                  <c:v>9/15/2021</c:v>
                </c:pt>
                <c:pt idx="483">
                  <c:v>9/16/2021</c:v>
                </c:pt>
                <c:pt idx="484">
                  <c:v>9/17/2021</c:v>
                </c:pt>
                <c:pt idx="485">
                  <c:v>9/20/2021</c:v>
                </c:pt>
                <c:pt idx="486">
                  <c:v>9/21/2021</c:v>
                </c:pt>
                <c:pt idx="487">
                  <c:v>9/22/2021</c:v>
                </c:pt>
                <c:pt idx="488">
                  <c:v>9/23/2021</c:v>
                </c:pt>
                <c:pt idx="489">
                  <c:v>9/24/2021</c:v>
                </c:pt>
                <c:pt idx="490">
                  <c:v>9/27/2021</c:v>
                </c:pt>
                <c:pt idx="491">
                  <c:v>9/28/2021</c:v>
                </c:pt>
                <c:pt idx="492">
                  <c:v>9/29/2021</c:v>
                </c:pt>
                <c:pt idx="493">
                  <c:v>9/30/2021</c:v>
                </c:pt>
                <c:pt idx="494">
                  <c:v>10/1/2021</c:v>
                </c:pt>
                <c:pt idx="495">
                  <c:v>10/4/2021</c:v>
                </c:pt>
                <c:pt idx="496">
                  <c:v>10/5/2021</c:v>
                </c:pt>
                <c:pt idx="497">
                  <c:v>10/6/2021</c:v>
                </c:pt>
                <c:pt idx="498">
                  <c:v>10/7/2021</c:v>
                </c:pt>
                <c:pt idx="499">
                  <c:v>10/8/2021</c:v>
                </c:pt>
                <c:pt idx="500">
                  <c:v>10/11/2021</c:v>
                </c:pt>
                <c:pt idx="501">
                  <c:v>10/12/2021</c:v>
                </c:pt>
                <c:pt idx="502">
                  <c:v>10/13/2021</c:v>
                </c:pt>
                <c:pt idx="503">
                  <c:v>10/14/2021</c:v>
                </c:pt>
                <c:pt idx="504">
                  <c:v>10/15/2021</c:v>
                </c:pt>
                <c:pt idx="505">
                  <c:v>10/18/2021</c:v>
                </c:pt>
                <c:pt idx="506">
                  <c:v>10/19/2021</c:v>
                </c:pt>
                <c:pt idx="507">
                  <c:v>10/20/2021</c:v>
                </c:pt>
                <c:pt idx="508">
                  <c:v>10/21/2021</c:v>
                </c:pt>
                <c:pt idx="509">
                  <c:v>10/22/2021</c:v>
                </c:pt>
                <c:pt idx="510">
                  <c:v>10/25/2021</c:v>
                </c:pt>
                <c:pt idx="511">
                  <c:v>10/26/2021</c:v>
                </c:pt>
                <c:pt idx="512">
                  <c:v>10/27/2021</c:v>
                </c:pt>
                <c:pt idx="513">
                  <c:v>10/28/2021</c:v>
                </c:pt>
                <c:pt idx="514">
                  <c:v>10/29/2021</c:v>
                </c:pt>
                <c:pt idx="515">
                  <c:v>11/1/2021</c:v>
                </c:pt>
                <c:pt idx="516">
                  <c:v>11/2/2021</c:v>
                </c:pt>
                <c:pt idx="517">
                  <c:v>11/3/2021</c:v>
                </c:pt>
                <c:pt idx="518">
                  <c:v>11/4/2021</c:v>
                </c:pt>
                <c:pt idx="519">
                  <c:v>11/5/2021</c:v>
                </c:pt>
                <c:pt idx="520">
                  <c:v>11/8/2021</c:v>
                </c:pt>
                <c:pt idx="521">
                  <c:v>11/9/2021</c:v>
                </c:pt>
                <c:pt idx="522">
                  <c:v>11/10/2021</c:v>
                </c:pt>
                <c:pt idx="523">
                  <c:v>11/11/2021</c:v>
                </c:pt>
                <c:pt idx="524">
                  <c:v>11/12/2021</c:v>
                </c:pt>
                <c:pt idx="525">
                  <c:v>11/15/2021</c:v>
                </c:pt>
                <c:pt idx="526">
                  <c:v>11/16/2021</c:v>
                </c:pt>
                <c:pt idx="527">
                  <c:v>11/17/2021</c:v>
                </c:pt>
                <c:pt idx="528">
                  <c:v>11/18/2021</c:v>
                </c:pt>
                <c:pt idx="529">
                  <c:v>11/19/2021</c:v>
                </c:pt>
                <c:pt idx="530">
                  <c:v>11/22/2021</c:v>
                </c:pt>
                <c:pt idx="531">
                  <c:v>11/23/2021</c:v>
                </c:pt>
                <c:pt idx="532">
                  <c:v>11/24/2021</c:v>
                </c:pt>
                <c:pt idx="533">
                  <c:v>11/25/2021</c:v>
                </c:pt>
                <c:pt idx="534">
                  <c:v>11/26/2021</c:v>
                </c:pt>
                <c:pt idx="535">
                  <c:v>11/29/2021</c:v>
                </c:pt>
                <c:pt idx="536">
                  <c:v>11/30/2021</c:v>
                </c:pt>
                <c:pt idx="537">
                  <c:v>12/1/2021</c:v>
                </c:pt>
                <c:pt idx="538">
                  <c:v>12/2/2021</c:v>
                </c:pt>
                <c:pt idx="539">
                  <c:v>12/3/2021</c:v>
                </c:pt>
                <c:pt idx="540">
                  <c:v>12/6/2021</c:v>
                </c:pt>
                <c:pt idx="541">
                  <c:v>12/7/2021</c:v>
                </c:pt>
                <c:pt idx="542">
                  <c:v>12/8/2021</c:v>
                </c:pt>
                <c:pt idx="543">
                  <c:v>12/9/2021</c:v>
                </c:pt>
                <c:pt idx="544">
                  <c:v>12/10/2021</c:v>
                </c:pt>
                <c:pt idx="545">
                  <c:v>12/13/2021</c:v>
                </c:pt>
                <c:pt idx="546">
                  <c:v>12/14/2021</c:v>
                </c:pt>
                <c:pt idx="547">
                  <c:v>12/15/2021</c:v>
                </c:pt>
                <c:pt idx="548">
                  <c:v>12/16/2021</c:v>
                </c:pt>
                <c:pt idx="549">
                  <c:v>12/17/2021</c:v>
                </c:pt>
                <c:pt idx="550">
                  <c:v>12/20/2021</c:v>
                </c:pt>
                <c:pt idx="551">
                  <c:v>12/21/2021</c:v>
                </c:pt>
                <c:pt idx="552">
                  <c:v>12/22/2021</c:v>
                </c:pt>
                <c:pt idx="553">
                  <c:v>12/23/2021</c:v>
                </c:pt>
                <c:pt idx="554">
                  <c:v>12/24/2021</c:v>
                </c:pt>
                <c:pt idx="555">
                  <c:v>12/27/2021</c:v>
                </c:pt>
                <c:pt idx="556">
                  <c:v>12/28/2021</c:v>
                </c:pt>
                <c:pt idx="557">
                  <c:v>12/29/2021</c:v>
                </c:pt>
                <c:pt idx="558">
                  <c:v>12/30/2021</c:v>
                </c:pt>
                <c:pt idx="559">
                  <c:v>12/31/2021</c:v>
                </c:pt>
                <c:pt idx="560">
                  <c:v>1/3/2022</c:v>
                </c:pt>
                <c:pt idx="561">
                  <c:v>1/4/2022</c:v>
                </c:pt>
                <c:pt idx="562">
                  <c:v>1/5/2022</c:v>
                </c:pt>
                <c:pt idx="563">
                  <c:v>1/6/2022</c:v>
                </c:pt>
                <c:pt idx="564">
                  <c:v>1/7/2022</c:v>
                </c:pt>
                <c:pt idx="565">
                  <c:v>1/10/2022</c:v>
                </c:pt>
                <c:pt idx="566">
                  <c:v>1/11/2022</c:v>
                </c:pt>
                <c:pt idx="567">
                  <c:v>1/12/2022</c:v>
                </c:pt>
                <c:pt idx="568">
                  <c:v>1/13/2022</c:v>
                </c:pt>
                <c:pt idx="569">
                  <c:v>1/14/2022</c:v>
                </c:pt>
                <c:pt idx="570">
                  <c:v>1/17/2022</c:v>
                </c:pt>
                <c:pt idx="571">
                  <c:v>1/18/2022</c:v>
                </c:pt>
                <c:pt idx="572">
                  <c:v>1/19/2022</c:v>
                </c:pt>
                <c:pt idx="573">
                  <c:v>1/20/2022</c:v>
                </c:pt>
                <c:pt idx="574">
                  <c:v>1/21/2022</c:v>
                </c:pt>
                <c:pt idx="575">
                  <c:v>1/24/2022</c:v>
                </c:pt>
                <c:pt idx="576">
                  <c:v>1/25/2022</c:v>
                </c:pt>
                <c:pt idx="577">
                  <c:v>1/26/2022</c:v>
                </c:pt>
                <c:pt idx="578">
                  <c:v>1/27/2022</c:v>
                </c:pt>
                <c:pt idx="579">
                  <c:v>1/28/2022</c:v>
                </c:pt>
                <c:pt idx="580">
                  <c:v>1/31/2022</c:v>
                </c:pt>
                <c:pt idx="581">
                  <c:v>2/1/2022</c:v>
                </c:pt>
                <c:pt idx="582">
                  <c:v>2/2/2022</c:v>
                </c:pt>
                <c:pt idx="583">
                  <c:v>2/3/2022</c:v>
                </c:pt>
                <c:pt idx="584">
                  <c:v>2/4/2022</c:v>
                </c:pt>
                <c:pt idx="585">
                  <c:v>2/7/2022</c:v>
                </c:pt>
                <c:pt idx="586">
                  <c:v>2/8/2022</c:v>
                </c:pt>
                <c:pt idx="587">
                  <c:v>2/9/2022</c:v>
                </c:pt>
                <c:pt idx="588">
                  <c:v>2/10/2022</c:v>
                </c:pt>
                <c:pt idx="589">
                  <c:v>2/11/2022</c:v>
                </c:pt>
                <c:pt idx="590">
                  <c:v>2/14/2022</c:v>
                </c:pt>
                <c:pt idx="591">
                  <c:v>2/15/2022</c:v>
                </c:pt>
                <c:pt idx="592">
                  <c:v>2/16/2022</c:v>
                </c:pt>
                <c:pt idx="593">
                  <c:v>2/17/2022</c:v>
                </c:pt>
                <c:pt idx="594">
                  <c:v>2/18/2022</c:v>
                </c:pt>
                <c:pt idx="595">
                  <c:v>2/21/2022</c:v>
                </c:pt>
                <c:pt idx="596">
                  <c:v>2/22/2022</c:v>
                </c:pt>
                <c:pt idx="597">
                  <c:v>2/23/2022</c:v>
                </c:pt>
                <c:pt idx="598">
                  <c:v>2/24/2022</c:v>
                </c:pt>
                <c:pt idx="599">
                  <c:v>2/25/2022</c:v>
                </c:pt>
                <c:pt idx="600">
                  <c:v>2/28/2022</c:v>
                </c:pt>
                <c:pt idx="601">
                  <c:v>3/1/2022</c:v>
                </c:pt>
                <c:pt idx="602">
                  <c:v>3/2/2022</c:v>
                </c:pt>
                <c:pt idx="603">
                  <c:v>3/3/2022</c:v>
                </c:pt>
                <c:pt idx="604">
                  <c:v>3/4/2022</c:v>
                </c:pt>
                <c:pt idx="605">
                  <c:v>3/7/2022</c:v>
                </c:pt>
                <c:pt idx="606">
                  <c:v>3/8/2022</c:v>
                </c:pt>
                <c:pt idx="607">
                  <c:v>3/9/2022</c:v>
                </c:pt>
                <c:pt idx="608">
                  <c:v>3/10/2022</c:v>
                </c:pt>
                <c:pt idx="609">
                  <c:v>3/11/2022</c:v>
                </c:pt>
                <c:pt idx="610">
                  <c:v>3/14/2022</c:v>
                </c:pt>
                <c:pt idx="611">
                  <c:v>3/15/2022</c:v>
                </c:pt>
                <c:pt idx="612">
                  <c:v>3/16/2022</c:v>
                </c:pt>
                <c:pt idx="613">
                  <c:v>3/17/2022</c:v>
                </c:pt>
                <c:pt idx="614">
                  <c:v>3/18/2022</c:v>
                </c:pt>
                <c:pt idx="615">
                  <c:v>3/21/2022</c:v>
                </c:pt>
                <c:pt idx="616">
                  <c:v>3/22/2022</c:v>
                </c:pt>
                <c:pt idx="617">
                  <c:v>3/23/2022</c:v>
                </c:pt>
                <c:pt idx="618">
                  <c:v>3/24/2022</c:v>
                </c:pt>
                <c:pt idx="619">
                  <c:v>3/25/2022</c:v>
                </c:pt>
                <c:pt idx="620">
                  <c:v>3/28/2022</c:v>
                </c:pt>
                <c:pt idx="621">
                  <c:v>3/29/2022</c:v>
                </c:pt>
                <c:pt idx="622">
                  <c:v>3/30/2022</c:v>
                </c:pt>
                <c:pt idx="623">
                  <c:v>3/31/2022</c:v>
                </c:pt>
                <c:pt idx="624">
                  <c:v>4/1/2022</c:v>
                </c:pt>
                <c:pt idx="625">
                  <c:v>4/4/2022</c:v>
                </c:pt>
                <c:pt idx="626">
                  <c:v>4/5/2022</c:v>
                </c:pt>
                <c:pt idx="627">
                  <c:v>4/6/2022</c:v>
                </c:pt>
                <c:pt idx="628">
                  <c:v>4/7/2022</c:v>
                </c:pt>
                <c:pt idx="629">
                  <c:v>4/8/2022</c:v>
                </c:pt>
                <c:pt idx="630">
                  <c:v>4/11/2022</c:v>
                </c:pt>
                <c:pt idx="631">
                  <c:v>4/12/2022</c:v>
                </c:pt>
                <c:pt idx="632">
                  <c:v>4/13/2022</c:v>
                </c:pt>
                <c:pt idx="633">
                  <c:v>4/14/2022</c:v>
                </c:pt>
                <c:pt idx="634">
                  <c:v>4/18/2022</c:v>
                </c:pt>
                <c:pt idx="635">
                  <c:v>4/19/2022</c:v>
                </c:pt>
                <c:pt idx="636">
                  <c:v>4/20/2022</c:v>
                </c:pt>
                <c:pt idx="637">
                  <c:v>4/21/2022</c:v>
                </c:pt>
                <c:pt idx="638">
                  <c:v>4/22/2022</c:v>
                </c:pt>
                <c:pt idx="639">
                  <c:v>4/25/2022</c:v>
                </c:pt>
                <c:pt idx="640">
                  <c:v>4/26/2022</c:v>
                </c:pt>
                <c:pt idx="641">
                  <c:v>4/27/2022</c:v>
                </c:pt>
                <c:pt idx="642">
                  <c:v>4/28/2022</c:v>
                </c:pt>
                <c:pt idx="643">
                  <c:v>4/29/2022</c:v>
                </c:pt>
                <c:pt idx="644">
                  <c:v>5/2/2022</c:v>
                </c:pt>
                <c:pt idx="645">
                  <c:v>5/3/2022</c:v>
                </c:pt>
                <c:pt idx="646">
                  <c:v>5/4/2022</c:v>
                </c:pt>
                <c:pt idx="647">
                  <c:v>5/5/2022</c:v>
                </c:pt>
                <c:pt idx="648">
                  <c:v>5/6/2022</c:v>
                </c:pt>
                <c:pt idx="649">
                  <c:v>5/9/2022</c:v>
                </c:pt>
                <c:pt idx="650">
                  <c:v>5/10/2022</c:v>
                </c:pt>
                <c:pt idx="651">
                  <c:v>5/11/2022</c:v>
                </c:pt>
                <c:pt idx="652">
                  <c:v>5/12/2022</c:v>
                </c:pt>
                <c:pt idx="653">
                  <c:v>5/13/2022</c:v>
                </c:pt>
                <c:pt idx="654">
                  <c:v>5/16/2022</c:v>
                </c:pt>
                <c:pt idx="655">
                  <c:v>5/17/2022</c:v>
                </c:pt>
                <c:pt idx="656">
                  <c:v>5/18/2022</c:v>
                </c:pt>
                <c:pt idx="657">
                  <c:v>5/19/2022</c:v>
                </c:pt>
                <c:pt idx="658">
                  <c:v>5/20/2022</c:v>
                </c:pt>
                <c:pt idx="659">
                  <c:v>5/23/2022</c:v>
                </c:pt>
                <c:pt idx="660">
                  <c:v>5/24/2022</c:v>
                </c:pt>
                <c:pt idx="661">
                  <c:v>5/25/2022</c:v>
                </c:pt>
                <c:pt idx="662">
                  <c:v>5/26/2022</c:v>
                </c:pt>
                <c:pt idx="663">
                  <c:v>5/27/2022</c:v>
                </c:pt>
                <c:pt idx="664">
                  <c:v>5/30/2022</c:v>
                </c:pt>
                <c:pt idx="665">
                  <c:v>5/31/2022</c:v>
                </c:pt>
                <c:pt idx="666">
                  <c:v>6/1/2022</c:v>
                </c:pt>
                <c:pt idx="667">
                  <c:v>6/2/2022</c:v>
                </c:pt>
                <c:pt idx="668">
                  <c:v>6/3/2022</c:v>
                </c:pt>
                <c:pt idx="669">
                  <c:v>6/6/2022</c:v>
                </c:pt>
                <c:pt idx="670">
                  <c:v>6/7/2022</c:v>
                </c:pt>
                <c:pt idx="671">
                  <c:v>6/8/2022</c:v>
                </c:pt>
                <c:pt idx="672">
                  <c:v>6/9/2022</c:v>
                </c:pt>
                <c:pt idx="673">
                  <c:v>6/10/2022</c:v>
                </c:pt>
                <c:pt idx="674">
                  <c:v>6/13/2022</c:v>
                </c:pt>
                <c:pt idx="675">
                  <c:v>6/14/2022</c:v>
                </c:pt>
                <c:pt idx="676">
                  <c:v>6/15/2022</c:v>
                </c:pt>
                <c:pt idx="677">
                  <c:v>6/16/2022</c:v>
                </c:pt>
                <c:pt idx="678">
                  <c:v>6/17/2022</c:v>
                </c:pt>
                <c:pt idx="679">
                  <c:v>6/21/2022</c:v>
                </c:pt>
                <c:pt idx="680">
                  <c:v>6/22/2022</c:v>
                </c:pt>
                <c:pt idx="681">
                  <c:v>6/23/2022</c:v>
                </c:pt>
                <c:pt idx="682">
                  <c:v>6/24/2022</c:v>
                </c:pt>
                <c:pt idx="683">
                  <c:v>6/27/2022</c:v>
                </c:pt>
              </c:strCache>
            </c:strRef>
          </c:cat>
          <c:val>
            <c:numRef>
              <c:f>'Crude to Gas Correlation '!$C$4:$C$688</c:f>
              <c:numCache>
                <c:formatCode>"$"#,##0.00</c:formatCode>
                <c:ptCount val="684"/>
                <c:pt idx="0">
                  <c:v>1.5871</c:v>
                </c:pt>
                <c:pt idx="1">
                  <c:v>1.6233</c:v>
                </c:pt>
                <c:pt idx="2">
                  <c:v>1.6388</c:v>
                </c:pt>
                <c:pt idx="3">
                  <c:v>1.5702</c:v>
                </c:pt>
                <c:pt idx="4">
                  <c:v>1.5704</c:v>
                </c:pt>
                <c:pt idx="5">
                  <c:v>1.5842000000000001</c:v>
                </c:pt>
                <c:pt idx="6">
                  <c:v>1.5819000000000001</c:v>
                </c:pt>
                <c:pt idx="7">
                  <c:v>1.5778000000000001</c:v>
                </c:pt>
                <c:pt idx="8">
                  <c:v>1.5637000000000001</c:v>
                </c:pt>
                <c:pt idx="9">
                  <c:v>1.569</c:v>
                </c:pt>
                <c:pt idx="10">
                  <c:v>1.6133</c:v>
                </c:pt>
                <c:pt idx="11">
                  <c:v>1.6258999999999999</c:v>
                </c:pt>
                <c:pt idx="12">
                  <c:v>1.6355999999999999</c:v>
                </c:pt>
                <c:pt idx="13">
                  <c:v>1.6344000000000001</c:v>
                </c:pt>
                <c:pt idx="14">
                  <c:v>1.6415999999999999</c:v>
                </c:pt>
                <c:pt idx="15">
                  <c:v>1.6645000000000001</c:v>
                </c:pt>
                <c:pt idx="16">
                  <c:v>1.5946</c:v>
                </c:pt>
                <c:pt idx="17">
                  <c:v>1.6556999999999999</c:v>
                </c:pt>
                <c:pt idx="18">
                  <c:v>1.6637</c:v>
                </c:pt>
                <c:pt idx="19">
                  <c:v>1.6746000000000001</c:v>
                </c:pt>
                <c:pt idx="20">
                  <c:v>1.6262000000000001</c:v>
                </c:pt>
                <c:pt idx="21">
                  <c:v>1.6355</c:v>
                </c:pt>
                <c:pt idx="22">
                  <c:v>1.6336999999999999</c:v>
                </c:pt>
                <c:pt idx="23">
                  <c:v>1.6099000000000001</c:v>
                </c:pt>
                <c:pt idx="24">
                  <c:v>1.6144000000000001</c:v>
                </c:pt>
                <c:pt idx="25">
                  <c:v>1.6309</c:v>
                </c:pt>
                <c:pt idx="26">
                  <c:v>1.6115999999999999</c:v>
                </c:pt>
                <c:pt idx="27">
                  <c:v>1.6308</c:v>
                </c:pt>
                <c:pt idx="28">
                  <c:v>1.6160000000000001</c:v>
                </c:pt>
                <c:pt idx="29">
                  <c:v>1.6036999999999999</c:v>
                </c:pt>
                <c:pt idx="30">
                  <c:v>1.6563000000000001</c:v>
                </c:pt>
                <c:pt idx="31">
                  <c:v>1.6982999999999999</c:v>
                </c:pt>
                <c:pt idx="32">
                  <c:v>1.6742999999999999</c:v>
                </c:pt>
                <c:pt idx="33">
                  <c:v>1.6715</c:v>
                </c:pt>
                <c:pt idx="34">
                  <c:v>1.6976</c:v>
                </c:pt>
                <c:pt idx="35">
                  <c:v>1.6792</c:v>
                </c:pt>
                <c:pt idx="36">
                  <c:v>1.591</c:v>
                </c:pt>
                <c:pt idx="37">
                  <c:v>1.5732999999999999</c:v>
                </c:pt>
                <c:pt idx="38">
                  <c:v>1.5629</c:v>
                </c:pt>
                <c:pt idx="39">
                  <c:v>1.6042000000000001</c:v>
                </c:pt>
                <c:pt idx="40">
                  <c:v>1.6211</c:v>
                </c:pt>
                <c:pt idx="41">
                  <c:v>1.6474</c:v>
                </c:pt>
                <c:pt idx="42">
                  <c:v>1.6548</c:v>
                </c:pt>
                <c:pt idx="43">
                  <c:v>1.6525000000000001</c:v>
                </c:pt>
                <c:pt idx="44">
                  <c:v>1.6261000000000001</c:v>
                </c:pt>
                <c:pt idx="45">
                  <c:v>1.6283000000000001</c:v>
                </c:pt>
                <c:pt idx="46">
                  <c:v>1.6632</c:v>
                </c:pt>
                <c:pt idx="47">
                  <c:v>1.6677999999999999</c:v>
                </c:pt>
                <c:pt idx="48">
                  <c:v>1.6899</c:v>
                </c:pt>
                <c:pt idx="49">
                  <c:v>1.6904999999999999</c:v>
                </c:pt>
                <c:pt idx="50">
                  <c:v>1.7097</c:v>
                </c:pt>
                <c:pt idx="51">
                  <c:v>1.7072000000000001</c:v>
                </c:pt>
                <c:pt idx="52">
                  <c:v>1.7064999999999999</c:v>
                </c:pt>
                <c:pt idx="53">
                  <c:v>1.7274</c:v>
                </c:pt>
                <c:pt idx="54">
                  <c:v>1.7539</c:v>
                </c:pt>
                <c:pt idx="55">
                  <c:v>1.7446999999999999</c:v>
                </c:pt>
                <c:pt idx="56">
                  <c:v>1.724</c:v>
                </c:pt>
                <c:pt idx="57">
                  <c:v>1.6904999999999999</c:v>
                </c:pt>
                <c:pt idx="58">
                  <c:v>1.7041999999999999</c:v>
                </c:pt>
                <c:pt idx="59">
                  <c:v>1.7487999999999999</c:v>
                </c:pt>
                <c:pt idx="60">
                  <c:v>1.7544</c:v>
                </c:pt>
                <c:pt idx="61">
                  <c:v>1.7222</c:v>
                </c:pt>
                <c:pt idx="62">
                  <c:v>1.6488</c:v>
                </c:pt>
                <c:pt idx="63">
                  <c:v>1.6527000000000001</c:v>
                </c:pt>
                <c:pt idx="64">
                  <c:v>1.6596</c:v>
                </c:pt>
                <c:pt idx="65">
                  <c:v>1.6573</c:v>
                </c:pt>
                <c:pt idx="66">
                  <c:v>1.6641999999999999</c:v>
                </c:pt>
                <c:pt idx="67">
                  <c:v>1.6492</c:v>
                </c:pt>
                <c:pt idx="68">
                  <c:v>1.667</c:v>
                </c:pt>
                <c:pt idx="69">
                  <c:v>1.6549</c:v>
                </c:pt>
                <c:pt idx="70">
                  <c:v>1.6365000000000001</c:v>
                </c:pt>
                <c:pt idx="71">
                  <c:v>1.5933999999999999</c:v>
                </c:pt>
                <c:pt idx="72">
                  <c:v>1.573</c:v>
                </c:pt>
                <c:pt idx="73">
                  <c:v>1.5259</c:v>
                </c:pt>
                <c:pt idx="74">
                  <c:v>1.4930000000000001</c:v>
                </c:pt>
                <c:pt idx="75">
                  <c:v>1.5143</c:v>
                </c:pt>
                <c:pt idx="76">
                  <c:v>1.5407999999999999</c:v>
                </c:pt>
                <c:pt idx="77">
                  <c:v>1.5055000000000001</c:v>
                </c:pt>
                <c:pt idx="78">
                  <c:v>1.5041</c:v>
                </c:pt>
                <c:pt idx="79">
                  <c:v>1.4737</c:v>
                </c:pt>
                <c:pt idx="80">
                  <c:v>1.4432</c:v>
                </c:pt>
                <c:pt idx="81">
                  <c:v>1.4863</c:v>
                </c:pt>
                <c:pt idx="82">
                  <c:v>1.498</c:v>
                </c:pt>
                <c:pt idx="83">
                  <c:v>1.5239</c:v>
                </c:pt>
                <c:pt idx="84">
                  <c:v>1.5213000000000001</c:v>
                </c:pt>
                <c:pt idx="85">
                  <c:v>1.5142</c:v>
                </c:pt>
                <c:pt idx="86">
                  <c:v>1.581</c:v>
                </c:pt>
                <c:pt idx="87">
                  <c:v>1.7226999999999999</c:v>
                </c:pt>
                <c:pt idx="88">
                  <c:v>1.5832999999999999</c:v>
                </c:pt>
                <c:pt idx="89">
                  <c:v>1.6148</c:v>
                </c:pt>
                <c:pt idx="90">
                  <c:v>1.7819</c:v>
                </c:pt>
                <c:pt idx="91">
                  <c:v>1.7845</c:v>
                </c:pt>
                <c:pt idx="92">
                  <c:v>1.7612000000000001</c:v>
                </c:pt>
                <c:pt idx="93">
                  <c:v>1.7132000000000001</c:v>
                </c:pt>
                <c:pt idx="94">
                  <c:v>1.6418999999999999</c:v>
                </c:pt>
                <c:pt idx="95">
                  <c:v>1.5645</c:v>
                </c:pt>
                <c:pt idx="96">
                  <c:v>1.5206</c:v>
                </c:pt>
                <c:pt idx="97">
                  <c:v>1.4827999999999999</c:v>
                </c:pt>
                <c:pt idx="98">
                  <c:v>1.5396000000000001</c:v>
                </c:pt>
                <c:pt idx="99">
                  <c:v>1.5313000000000001</c:v>
                </c:pt>
                <c:pt idx="100">
                  <c:v>1.5555000000000001</c:v>
                </c:pt>
                <c:pt idx="101">
                  <c:v>1.5218</c:v>
                </c:pt>
                <c:pt idx="102">
                  <c:v>1.389</c:v>
                </c:pt>
                <c:pt idx="103">
                  <c:v>1.1369</c:v>
                </c:pt>
                <c:pt idx="104">
                  <c:v>1.1571</c:v>
                </c:pt>
                <c:pt idx="105">
                  <c:v>1.1103000000000001</c:v>
                </c:pt>
                <c:pt idx="106">
                  <c:v>0.91900000000000004</c:v>
                </c:pt>
                <c:pt idx="107">
                  <c:v>0.91349999999999998</c:v>
                </c:pt>
                <c:pt idx="108">
                  <c:v>0.70169999999999999</c:v>
                </c:pt>
                <c:pt idx="109">
                  <c:v>0.71140000000000003</c:v>
                </c:pt>
                <c:pt idx="110">
                  <c:v>0.64590000000000003</c:v>
                </c:pt>
                <c:pt idx="111">
                  <c:v>0.69320000000000004</c:v>
                </c:pt>
                <c:pt idx="112">
                  <c:v>0.60540000000000005</c:v>
                </c:pt>
                <c:pt idx="113">
                  <c:v>0.49469999999999997</c:v>
                </c:pt>
                <c:pt idx="114">
                  <c:v>0.51049999999999995</c:v>
                </c:pt>
                <c:pt idx="115">
                  <c:v>0.60540000000000005</c:v>
                </c:pt>
                <c:pt idx="116">
                  <c:v>0.59799999999999998</c:v>
                </c:pt>
                <c:pt idx="117">
                  <c:v>0.61360000000000003</c:v>
                </c:pt>
                <c:pt idx="118">
                  <c:v>0.61680000000000001</c:v>
                </c:pt>
                <c:pt idx="119">
                  <c:v>0.5927</c:v>
                </c:pt>
                <c:pt idx="120">
                  <c:v>0.54649999999999999</c:v>
                </c:pt>
                <c:pt idx="121">
                  <c:v>0.66279999999999994</c:v>
                </c:pt>
                <c:pt idx="122">
                  <c:v>0.69159999999999999</c:v>
                </c:pt>
                <c:pt idx="123">
                  <c:v>0.7016</c:v>
                </c:pt>
                <c:pt idx="124">
                  <c:v>0.6482</c:v>
                </c:pt>
                <c:pt idx="125">
                  <c:v>0.67800000000000005</c:v>
                </c:pt>
                <c:pt idx="126">
                  <c:v>0.67730000000000001</c:v>
                </c:pt>
                <c:pt idx="127">
                  <c:v>0.70330000000000004</c:v>
                </c:pt>
                <c:pt idx="128">
                  <c:v>0.72</c:v>
                </c:pt>
                <c:pt idx="129">
                  <c:v>0.72040000000000004</c:v>
                </c:pt>
                <c:pt idx="130">
                  <c:v>0.75690000000000002</c:v>
                </c:pt>
                <c:pt idx="131">
                  <c:v>0.76459999999999995</c:v>
                </c:pt>
                <c:pt idx="132">
                  <c:v>0.72550000000000003</c:v>
                </c:pt>
                <c:pt idx="133">
                  <c:v>0.62529999999999997</c:v>
                </c:pt>
                <c:pt idx="134">
                  <c:v>0.6875</c:v>
                </c:pt>
                <c:pt idx="135">
                  <c:v>0.68210000000000004</c:v>
                </c:pt>
                <c:pt idx="136">
                  <c:v>0.70009999999999994</c:v>
                </c:pt>
                <c:pt idx="137">
                  <c:v>0.68489999999999995</c:v>
                </c:pt>
                <c:pt idx="138">
                  <c:v>0.70399999999999996</c:v>
                </c:pt>
                <c:pt idx="139">
                  <c:v>0.72719999999999996</c:v>
                </c:pt>
                <c:pt idx="140">
                  <c:v>0.78369999999999995</c:v>
                </c:pt>
                <c:pt idx="141">
                  <c:v>0.76629999999999998</c:v>
                </c:pt>
                <c:pt idx="142">
                  <c:v>0.82150000000000001</c:v>
                </c:pt>
                <c:pt idx="143">
                  <c:v>0.90129999999999999</c:v>
                </c:pt>
                <c:pt idx="144">
                  <c:v>0.87690000000000001</c:v>
                </c:pt>
                <c:pt idx="145">
                  <c:v>0.93140000000000001</c:v>
                </c:pt>
                <c:pt idx="146">
                  <c:v>0.95220000000000005</c:v>
                </c:pt>
                <c:pt idx="147">
                  <c:v>0.92420000000000002</c:v>
                </c:pt>
                <c:pt idx="148">
                  <c:v>0.93630000000000002</c:v>
                </c:pt>
                <c:pt idx="149">
                  <c:v>0.88180000000000003</c:v>
                </c:pt>
                <c:pt idx="150">
                  <c:v>0.93689999999999996</c:v>
                </c:pt>
                <c:pt idx="151">
                  <c:v>0.98380000000000001</c:v>
                </c:pt>
                <c:pt idx="152">
                  <c:v>1.0426</c:v>
                </c:pt>
                <c:pt idx="153">
                  <c:v>1.0549999999999999</c:v>
                </c:pt>
                <c:pt idx="154">
                  <c:v>1.0438000000000001</c:v>
                </c:pt>
                <c:pt idx="155">
                  <c:v>1.0618000000000001</c:v>
                </c:pt>
                <c:pt idx="156">
                  <c:v>1.0518000000000001</c:v>
                </c:pt>
                <c:pt idx="157">
                  <c:v>1.0648</c:v>
                </c:pt>
                <c:pt idx="158">
                  <c:v>1.0177</c:v>
                </c:pt>
                <c:pt idx="159">
                  <c:v>1.026</c:v>
                </c:pt>
                <c:pt idx="160">
                  <c:v>1.0785</c:v>
                </c:pt>
                <c:pt idx="161">
                  <c:v>1.0667</c:v>
                </c:pt>
                <c:pt idx="162">
                  <c:v>1.1183000000000001</c:v>
                </c:pt>
                <c:pt idx="163">
                  <c:v>1.1193</c:v>
                </c:pt>
                <c:pt idx="164">
                  <c:v>1.149</c:v>
                </c:pt>
                <c:pt idx="165">
                  <c:v>1.2136</c:v>
                </c:pt>
                <c:pt idx="166">
                  <c:v>1.1950000000000001</c:v>
                </c:pt>
                <c:pt idx="167">
                  <c:v>1.2102999999999999</c:v>
                </c:pt>
                <c:pt idx="168">
                  <c:v>1.2099</c:v>
                </c:pt>
                <c:pt idx="169">
                  <c:v>1.1188</c:v>
                </c:pt>
                <c:pt idx="170">
                  <c:v>1.1367</c:v>
                </c:pt>
                <c:pt idx="171">
                  <c:v>1.1732</c:v>
                </c:pt>
                <c:pt idx="172">
                  <c:v>1.2149000000000001</c:v>
                </c:pt>
                <c:pt idx="173">
                  <c:v>1.2219</c:v>
                </c:pt>
                <c:pt idx="174">
                  <c:v>1.2575000000000001</c:v>
                </c:pt>
                <c:pt idx="175">
                  <c:v>1.2709999999999999</c:v>
                </c:pt>
                <c:pt idx="176">
                  <c:v>1.2904</c:v>
                </c:pt>
                <c:pt idx="177">
                  <c:v>1.2983</c:v>
                </c:pt>
                <c:pt idx="178">
                  <c:v>1.1992</c:v>
                </c:pt>
                <c:pt idx="179">
                  <c:v>1.1972</c:v>
                </c:pt>
                <c:pt idx="180">
                  <c:v>1.1569</c:v>
                </c:pt>
                <c:pt idx="181">
                  <c:v>1.1878</c:v>
                </c:pt>
                <c:pt idx="182">
                  <c:v>1.2015</c:v>
                </c:pt>
                <c:pt idx="183">
                  <c:v>1.2169000000000001</c:v>
                </c:pt>
                <c:pt idx="184">
                  <c:v>1.2592000000000001</c:v>
                </c:pt>
                <c:pt idx="185">
                  <c:v>1.2407999999999999</c:v>
                </c:pt>
                <c:pt idx="186">
                  <c:v>1.2749999999999999</c:v>
                </c:pt>
                <c:pt idx="187">
                  <c:v>1.2908999999999999</c:v>
                </c:pt>
                <c:pt idx="188">
                  <c:v>1.2504999999999999</c:v>
                </c:pt>
                <c:pt idx="189">
                  <c:v>1.2830999999999999</c:v>
                </c:pt>
                <c:pt idx="190">
                  <c:v>1.2471000000000001</c:v>
                </c:pt>
                <c:pt idx="191">
                  <c:v>1.2262</c:v>
                </c:pt>
                <c:pt idx="192">
                  <c:v>1.2427999999999999</c:v>
                </c:pt>
                <c:pt idx="193">
                  <c:v>1.2157</c:v>
                </c:pt>
                <c:pt idx="194">
                  <c:v>1.2061999999999999</c:v>
                </c:pt>
                <c:pt idx="195">
                  <c:v>1.2131000000000001</c:v>
                </c:pt>
                <c:pt idx="196">
                  <c:v>1.2604</c:v>
                </c:pt>
                <c:pt idx="197">
                  <c:v>1.2603</c:v>
                </c:pt>
                <c:pt idx="198">
                  <c:v>1.2363</c:v>
                </c:pt>
                <c:pt idx="199">
                  <c:v>1.256</c:v>
                </c:pt>
                <c:pt idx="200">
                  <c:v>1.2446999999999999</c:v>
                </c:pt>
                <c:pt idx="201">
                  <c:v>1.2352000000000001</c:v>
                </c:pt>
                <c:pt idx="202">
                  <c:v>1.2132000000000001</c:v>
                </c:pt>
                <c:pt idx="203">
                  <c:v>1.1908000000000001</c:v>
                </c:pt>
                <c:pt idx="204">
                  <c:v>1.1711</c:v>
                </c:pt>
                <c:pt idx="205">
                  <c:v>1.2131000000000001</c:v>
                </c:pt>
                <c:pt idx="206">
                  <c:v>1.2142999999999999</c:v>
                </c:pt>
                <c:pt idx="207">
                  <c:v>1.2228000000000001</c:v>
                </c:pt>
                <c:pt idx="208">
                  <c:v>1.2281</c:v>
                </c:pt>
                <c:pt idx="209">
                  <c:v>1.2076</c:v>
                </c:pt>
                <c:pt idx="210">
                  <c:v>1.2293000000000001</c:v>
                </c:pt>
                <c:pt idx="211">
                  <c:v>1.2044999999999999</c:v>
                </c:pt>
                <c:pt idx="212">
                  <c:v>1.1858</c:v>
                </c:pt>
                <c:pt idx="213">
                  <c:v>1.1789000000000001</c:v>
                </c:pt>
                <c:pt idx="214">
                  <c:v>1.1879999999999999</c:v>
                </c:pt>
                <c:pt idx="215">
                  <c:v>1.2134</c:v>
                </c:pt>
                <c:pt idx="216">
                  <c:v>1.2249000000000001</c:v>
                </c:pt>
                <c:pt idx="217">
                  <c:v>1.2284999999999999</c:v>
                </c:pt>
                <c:pt idx="218">
                  <c:v>1.2263999999999999</c:v>
                </c:pt>
                <c:pt idx="219">
                  <c:v>1.2130000000000001</c:v>
                </c:pt>
                <c:pt idx="220">
                  <c:v>1.2598</c:v>
                </c:pt>
                <c:pt idx="221">
                  <c:v>1.2685</c:v>
                </c:pt>
                <c:pt idx="222">
                  <c:v>1.2634000000000001</c:v>
                </c:pt>
                <c:pt idx="223">
                  <c:v>1.2181999999999999</c:v>
                </c:pt>
                <c:pt idx="224">
                  <c:v>1.2464999999999999</c:v>
                </c:pt>
                <c:pt idx="225">
                  <c:v>1.2137</c:v>
                </c:pt>
                <c:pt idx="226">
                  <c:v>1.2246999999999999</c:v>
                </c:pt>
                <c:pt idx="227">
                  <c:v>1.202</c:v>
                </c:pt>
                <c:pt idx="228">
                  <c:v>1.2049000000000001</c:v>
                </c:pt>
                <c:pt idx="229">
                  <c:v>1.1772</c:v>
                </c:pt>
                <c:pt idx="230">
                  <c:v>1.1028</c:v>
                </c:pt>
                <c:pt idx="231">
                  <c:v>1.1193</c:v>
                </c:pt>
                <c:pt idx="232">
                  <c:v>1.0976999999999999</c:v>
                </c:pt>
                <c:pt idx="233">
                  <c:v>1.0949</c:v>
                </c:pt>
                <c:pt idx="234">
                  <c:v>1.0922000000000001</c:v>
                </c:pt>
                <c:pt idx="235">
                  <c:v>1.1198999999999999</c:v>
                </c:pt>
                <c:pt idx="236">
                  <c:v>1.1694</c:v>
                </c:pt>
                <c:pt idx="237">
                  <c:v>1.2017</c:v>
                </c:pt>
                <c:pt idx="238">
                  <c:v>1.2097</c:v>
                </c:pt>
                <c:pt idx="239">
                  <c:v>1.1544000000000001</c:v>
                </c:pt>
                <c:pt idx="240">
                  <c:v>1.1437999999999999</c:v>
                </c:pt>
                <c:pt idx="241">
                  <c:v>1.1577999999999999</c:v>
                </c:pt>
                <c:pt idx="242">
                  <c:v>1.1732</c:v>
                </c:pt>
                <c:pt idx="243">
                  <c:v>1.1898</c:v>
                </c:pt>
                <c:pt idx="244">
                  <c:v>1.2132000000000001</c:v>
                </c:pt>
                <c:pt idx="245">
                  <c:v>1.1711</c:v>
                </c:pt>
                <c:pt idx="246">
                  <c:v>1.1816</c:v>
                </c:pt>
                <c:pt idx="247">
                  <c:v>1.1524000000000001</c:v>
                </c:pt>
                <c:pt idx="248">
                  <c:v>1.1234999999999999</c:v>
                </c:pt>
                <c:pt idx="249">
                  <c:v>1.1940999999999999</c:v>
                </c:pt>
                <c:pt idx="250">
                  <c:v>1.2351000000000001</c:v>
                </c:pt>
                <c:pt idx="251">
                  <c:v>1.2009000000000001</c:v>
                </c:pt>
                <c:pt idx="252">
                  <c:v>1.2316</c:v>
                </c:pt>
                <c:pt idx="253">
                  <c:v>1.2032</c:v>
                </c:pt>
                <c:pt idx="254">
                  <c:v>1.1757</c:v>
                </c:pt>
                <c:pt idx="255">
                  <c:v>1.1633</c:v>
                </c:pt>
                <c:pt idx="256">
                  <c:v>1.1795</c:v>
                </c:pt>
                <c:pt idx="257">
                  <c:v>1.1637</c:v>
                </c:pt>
                <c:pt idx="258">
                  <c:v>1.1535</c:v>
                </c:pt>
                <c:pt idx="259">
                  <c:v>1.1485000000000001</c:v>
                </c:pt>
                <c:pt idx="260">
                  <c:v>1.1725000000000001</c:v>
                </c:pt>
                <c:pt idx="261">
                  <c:v>1.1271</c:v>
                </c:pt>
                <c:pt idx="262">
                  <c:v>1.1452</c:v>
                </c:pt>
                <c:pt idx="263">
                  <c:v>1.127</c:v>
                </c:pt>
                <c:pt idx="264">
                  <c:v>1.0969</c:v>
                </c:pt>
                <c:pt idx="265">
                  <c:v>1.1288</c:v>
                </c:pt>
                <c:pt idx="266">
                  <c:v>1.0636000000000001</c:v>
                </c:pt>
                <c:pt idx="267">
                  <c:v>1.028</c:v>
                </c:pt>
                <c:pt idx="268">
                  <c:v>1.0322</c:v>
                </c:pt>
                <c:pt idx="269">
                  <c:v>1.052</c:v>
                </c:pt>
                <c:pt idx="270">
                  <c:v>1.0769</c:v>
                </c:pt>
                <c:pt idx="271">
                  <c:v>1.1081000000000001</c:v>
                </c:pt>
                <c:pt idx="272">
                  <c:v>1.1158999999999999</c:v>
                </c:pt>
                <c:pt idx="273">
                  <c:v>1.0844</c:v>
                </c:pt>
                <c:pt idx="274">
                  <c:v>1.1607000000000001</c:v>
                </c:pt>
                <c:pt idx="275">
                  <c:v>1.1940999999999999</c:v>
                </c:pt>
                <c:pt idx="276">
                  <c:v>1.1758999999999999</c:v>
                </c:pt>
                <c:pt idx="277">
                  <c:v>1.1557999999999999</c:v>
                </c:pt>
                <c:pt idx="278">
                  <c:v>1.125</c:v>
                </c:pt>
                <c:pt idx="279">
                  <c:v>1.147</c:v>
                </c:pt>
                <c:pt idx="280">
                  <c:v>1.1528</c:v>
                </c:pt>
                <c:pt idx="281">
                  <c:v>1.1626000000000001</c:v>
                </c:pt>
                <c:pt idx="282">
                  <c:v>1.1596</c:v>
                </c:pt>
                <c:pt idx="283">
                  <c:v>1.1702999999999999</c:v>
                </c:pt>
                <c:pt idx="284">
                  <c:v>1.1971000000000001</c:v>
                </c:pt>
                <c:pt idx="285">
                  <c:v>1.2509999999999999</c:v>
                </c:pt>
                <c:pt idx="286">
                  <c:v>1.2709999999999999</c:v>
                </c:pt>
                <c:pt idx="287">
                  <c:v>1.266</c:v>
                </c:pt>
                <c:pt idx="288">
                  <c:v>1.2416</c:v>
                </c:pt>
                <c:pt idx="289">
                  <c:v>1.2203999999999999</c:v>
                </c:pt>
                <c:pt idx="290">
                  <c:v>1.2399</c:v>
                </c:pt>
                <c:pt idx="291">
                  <c:v>1.2617</c:v>
                </c:pt>
                <c:pt idx="292">
                  <c:v>1.2685</c:v>
                </c:pt>
                <c:pt idx="293">
                  <c:v>1.2558</c:v>
                </c:pt>
                <c:pt idx="294">
                  <c:v>1.2559</c:v>
                </c:pt>
                <c:pt idx="295">
                  <c:v>1.2759</c:v>
                </c:pt>
                <c:pt idx="296">
                  <c:v>1.3166</c:v>
                </c:pt>
                <c:pt idx="297">
                  <c:v>1.3077000000000001</c:v>
                </c:pt>
                <c:pt idx="298">
                  <c:v>1.3190999999999999</c:v>
                </c:pt>
                <c:pt idx="299">
                  <c:v>1.3268</c:v>
                </c:pt>
                <c:pt idx="300">
                  <c:v>1.3514999999999999</c:v>
                </c:pt>
                <c:pt idx="301">
                  <c:v>1.3816999999999999</c:v>
                </c:pt>
                <c:pt idx="302">
                  <c:v>1.391</c:v>
                </c:pt>
                <c:pt idx="303">
                  <c:v>1.3548</c:v>
                </c:pt>
                <c:pt idx="304">
                  <c:v>1.3354999999999999</c:v>
                </c:pt>
                <c:pt idx="305">
                  <c:v>1.3762000000000001</c:v>
                </c:pt>
                <c:pt idx="306">
                  <c:v>1.3722000000000001</c:v>
                </c:pt>
                <c:pt idx="307">
                  <c:v>1.3607</c:v>
                </c:pt>
                <c:pt idx="308">
                  <c:v>1.3783000000000001</c:v>
                </c:pt>
                <c:pt idx="309">
                  <c:v>1.4013</c:v>
                </c:pt>
                <c:pt idx="310">
                  <c:v>1.4100999999999999</c:v>
                </c:pt>
                <c:pt idx="311">
                  <c:v>1.3729</c:v>
                </c:pt>
                <c:pt idx="312">
                  <c:v>1.4520999999999999</c:v>
                </c:pt>
                <c:pt idx="313">
                  <c:v>1.4750000000000001</c:v>
                </c:pt>
                <c:pt idx="314">
                  <c:v>1.4826999999999999</c:v>
                </c:pt>
                <c:pt idx="315">
                  <c:v>1.5423</c:v>
                </c:pt>
                <c:pt idx="316">
                  <c:v>1.5207999999999999</c:v>
                </c:pt>
                <c:pt idx="317">
                  <c:v>1.5518000000000001</c:v>
                </c:pt>
                <c:pt idx="318">
                  <c:v>1.5467</c:v>
                </c:pt>
                <c:pt idx="319">
                  <c:v>1.5538000000000001</c:v>
                </c:pt>
                <c:pt idx="320">
                  <c:v>1.5277000000000001</c:v>
                </c:pt>
                <c:pt idx="321">
                  <c:v>1.5379</c:v>
                </c:pt>
                <c:pt idx="322">
                  <c:v>1.5437000000000001</c:v>
                </c:pt>
                <c:pt idx="323">
                  <c:v>1.5471999999999999</c:v>
                </c:pt>
                <c:pt idx="324">
                  <c:v>1.5449999999999999</c:v>
                </c:pt>
                <c:pt idx="325">
                  <c:v>1.5579000000000001</c:v>
                </c:pt>
                <c:pt idx="326">
                  <c:v>1.5748</c:v>
                </c:pt>
                <c:pt idx="327">
                  <c:v>1.5716000000000001</c:v>
                </c:pt>
                <c:pt idx="328">
                  <c:v>1.5753999999999999</c:v>
                </c:pt>
                <c:pt idx="329">
                  <c:v>1.5527</c:v>
                </c:pt>
                <c:pt idx="330">
                  <c:v>1.5901000000000001</c:v>
                </c:pt>
                <c:pt idx="331">
                  <c:v>1.6160000000000001</c:v>
                </c:pt>
                <c:pt idx="332">
                  <c:v>1.6486000000000001</c:v>
                </c:pt>
                <c:pt idx="333">
                  <c:v>1.6448</c:v>
                </c:pt>
                <c:pt idx="334">
                  <c:v>1.6493</c:v>
                </c:pt>
                <c:pt idx="335">
                  <c:v>1.6748000000000001</c:v>
                </c:pt>
                <c:pt idx="336">
                  <c:v>1.6736</c:v>
                </c:pt>
                <c:pt idx="337">
                  <c:v>1.7841</c:v>
                </c:pt>
                <c:pt idx="338">
                  <c:v>1.7786</c:v>
                </c:pt>
                <c:pt idx="339">
                  <c:v>1.8139000000000001</c:v>
                </c:pt>
                <c:pt idx="340">
                  <c:v>1.8636999999999999</c:v>
                </c:pt>
                <c:pt idx="341">
                  <c:v>1.8937999999999999</c:v>
                </c:pt>
                <c:pt idx="342">
                  <c:v>1.8872</c:v>
                </c:pt>
                <c:pt idx="343">
                  <c:v>1.8889</c:v>
                </c:pt>
                <c:pt idx="344">
                  <c:v>1.9309000000000001</c:v>
                </c:pt>
                <c:pt idx="345">
                  <c:v>1.9424999999999999</c:v>
                </c:pt>
                <c:pt idx="346">
                  <c:v>1.9777</c:v>
                </c:pt>
                <c:pt idx="347">
                  <c:v>1.9763999999999999</c:v>
                </c:pt>
                <c:pt idx="348">
                  <c:v>1.9504999999999999</c:v>
                </c:pt>
                <c:pt idx="349">
                  <c:v>1.9429000000000001</c:v>
                </c:pt>
                <c:pt idx="350">
                  <c:v>1.9363999999999999</c:v>
                </c:pt>
                <c:pt idx="351">
                  <c:v>1.9518</c:v>
                </c:pt>
                <c:pt idx="352">
                  <c:v>1.9979</c:v>
                </c:pt>
                <c:pt idx="353">
                  <c:v>2.0647000000000002</c:v>
                </c:pt>
                <c:pt idx="354">
                  <c:v>2.0487000000000002</c:v>
                </c:pt>
                <c:pt idx="355">
                  <c:v>2.0501999999999998</c:v>
                </c:pt>
                <c:pt idx="356">
                  <c:v>2.0747</c:v>
                </c:pt>
                <c:pt idx="357">
                  <c:v>2.1273</c:v>
                </c:pt>
                <c:pt idx="358">
                  <c:v>2.1347999999999998</c:v>
                </c:pt>
                <c:pt idx="359">
                  <c:v>2.0994000000000002</c:v>
                </c:pt>
                <c:pt idx="360">
                  <c:v>2.0956999999999999</c:v>
                </c:pt>
                <c:pt idx="361">
                  <c:v>2.0474999999999999</c:v>
                </c:pt>
                <c:pt idx="362">
                  <c:v>1.9407000000000001</c:v>
                </c:pt>
                <c:pt idx="363">
                  <c:v>1.9437</c:v>
                </c:pt>
                <c:pt idx="364">
                  <c:v>1.9583999999999999</c:v>
                </c:pt>
                <c:pt idx="365">
                  <c:v>1.8958999999999999</c:v>
                </c:pt>
                <c:pt idx="366">
                  <c:v>1.9875</c:v>
                </c:pt>
                <c:pt idx="367">
                  <c:v>1.9196</c:v>
                </c:pt>
                <c:pt idx="368">
                  <c:v>1.9709000000000001</c:v>
                </c:pt>
                <c:pt idx="369">
                  <c:v>2.0009000000000001</c:v>
                </c:pt>
                <c:pt idx="370">
                  <c:v>1.9964</c:v>
                </c:pt>
                <c:pt idx="371">
                  <c:v>1.9597</c:v>
                </c:pt>
                <c:pt idx="372">
                  <c:v>2.0223</c:v>
                </c:pt>
                <c:pt idx="373">
                  <c:v>1.9611000000000001</c:v>
                </c:pt>
                <c:pt idx="374">
                  <c:v>1.9662999999999999</c:v>
                </c:pt>
                <c:pt idx="375">
                  <c:v>1.9518</c:v>
                </c:pt>
                <c:pt idx="376">
                  <c:v>1.9593</c:v>
                </c:pt>
                <c:pt idx="377">
                  <c:v>1.9621</c:v>
                </c:pt>
                <c:pt idx="378">
                  <c:v>1.97</c:v>
                </c:pt>
                <c:pt idx="379">
                  <c:v>1.9757</c:v>
                </c:pt>
                <c:pt idx="380">
                  <c:v>2.0409000000000002</c:v>
                </c:pt>
                <c:pt idx="381">
                  <c:v>2.0526</c:v>
                </c:pt>
                <c:pt idx="382">
                  <c:v>2.0426000000000002</c:v>
                </c:pt>
                <c:pt idx="383">
                  <c:v>2.0463</c:v>
                </c:pt>
                <c:pt idx="384">
                  <c:v>2.0209000000000001</c:v>
                </c:pt>
                <c:pt idx="385">
                  <c:v>1.9881</c:v>
                </c:pt>
                <c:pt idx="386">
                  <c:v>1.9811000000000001</c:v>
                </c:pt>
                <c:pt idx="387">
                  <c:v>2.0051000000000001</c:v>
                </c:pt>
                <c:pt idx="388">
                  <c:v>1.9902</c:v>
                </c:pt>
                <c:pt idx="389">
                  <c:v>2.0287999999999999</c:v>
                </c:pt>
                <c:pt idx="390">
                  <c:v>2.0743</c:v>
                </c:pt>
                <c:pt idx="391">
                  <c:v>2.0988000000000002</c:v>
                </c:pt>
                <c:pt idx="392">
                  <c:v>2.0762999999999998</c:v>
                </c:pt>
                <c:pt idx="393">
                  <c:v>2.1015000000000001</c:v>
                </c:pt>
                <c:pt idx="394">
                  <c:v>2.1511999999999998</c:v>
                </c:pt>
                <c:pt idx="395">
                  <c:v>2.1513</c:v>
                </c:pt>
                <c:pt idx="396">
                  <c:v>2.1137000000000001</c:v>
                </c:pt>
                <c:pt idx="397">
                  <c:v>2.1269</c:v>
                </c:pt>
                <c:pt idx="398">
                  <c:v>2.1334</c:v>
                </c:pt>
                <c:pt idx="399">
                  <c:v>2.1398999999999999</c:v>
                </c:pt>
                <c:pt idx="400">
                  <c:v>2.161</c:v>
                </c:pt>
                <c:pt idx="401">
                  <c:v>2.093</c:v>
                </c:pt>
                <c:pt idx="402">
                  <c:v>2.1223999999999998</c:v>
                </c:pt>
                <c:pt idx="403">
                  <c:v>2.1536</c:v>
                </c:pt>
                <c:pt idx="404">
                  <c:v>2.1554000000000002</c:v>
                </c:pt>
                <c:pt idx="405">
                  <c:v>2.0979000000000001</c:v>
                </c:pt>
                <c:pt idx="406">
                  <c:v>2.0461999999999998</c:v>
                </c:pt>
                <c:pt idx="407">
                  <c:v>2.0709</c:v>
                </c:pt>
                <c:pt idx="408">
                  <c:v>2.1217000000000001</c:v>
                </c:pt>
                <c:pt idx="409">
                  <c:v>2.1229</c:v>
                </c:pt>
                <c:pt idx="410">
                  <c:v>2.1511999999999998</c:v>
                </c:pt>
                <c:pt idx="411">
                  <c:v>2.1551999999999998</c:v>
                </c:pt>
                <c:pt idx="412">
                  <c:v>2.1368999999999998</c:v>
                </c:pt>
                <c:pt idx="413">
                  <c:v>2.1703999999999999</c:v>
                </c:pt>
                <c:pt idx="414">
                  <c:v>2.1941000000000002</c:v>
                </c:pt>
                <c:pt idx="415">
                  <c:v>2.2018</c:v>
                </c:pt>
                <c:pt idx="416">
                  <c:v>2.2115</c:v>
                </c:pt>
                <c:pt idx="417">
                  <c:v>2.1930999999999998</c:v>
                </c:pt>
                <c:pt idx="418">
                  <c:v>2.2189999999999999</c:v>
                </c:pt>
                <c:pt idx="419">
                  <c:v>2.2025000000000001</c:v>
                </c:pt>
                <c:pt idx="420">
                  <c:v>2.2122000000000002</c:v>
                </c:pt>
                <c:pt idx="421">
                  <c:v>2.1861000000000002</c:v>
                </c:pt>
                <c:pt idx="422">
                  <c:v>2.173</c:v>
                </c:pt>
                <c:pt idx="423">
                  <c:v>2.1728999999999998</c:v>
                </c:pt>
                <c:pt idx="424">
                  <c:v>2.16</c:v>
                </c:pt>
                <c:pt idx="425">
                  <c:v>2.1387999999999998</c:v>
                </c:pt>
                <c:pt idx="426">
                  <c:v>2.1739999999999999</c:v>
                </c:pt>
                <c:pt idx="427">
                  <c:v>2.2031000000000001</c:v>
                </c:pt>
                <c:pt idx="428">
                  <c:v>2.2301000000000002</c:v>
                </c:pt>
                <c:pt idx="429">
                  <c:v>2.2698999999999998</c:v>
                </c:pt>
                <c:pt idx="430">
                  <c:v>2.2799999999999998</c:v>
                </c:pt>
                <c:pt idx="431">
                  <c:v>2.2612000000000001</c:v>
                </c:pt>
                <c:pt idx="432">
                  <c:v>2.2176999999999998</c:v>
                </c:pt>
                <c:pt idx="433">
                  <c:v>2.2414999999999998</c:v>
                </c:pt>
                <c:pt idx="434">
                  <c:v>2.2418</c:v>
                </c:pt>
                <c:pt idx="435">
                  <c:v>2.2675999999999998</c:v>
                </c:pt>
                <c:pt idx="436">
                  <c:v>2.2997999999999998</c:v>
                </c:pt>
                <c:pt idx="437">
                  <c:v>2.2282000000000002</c:v>
                </c:pt>
                <c:pt idx="438">
                  <c:v>2.206</c:v>
                </c:pt>
                <c:pt idx="439">
                  <c:v>2.2551999999999999</c:v>
                </c:pt>
                <c:pt idx="440">
                  <c:v>2.2919999999999998</c:v>
                </c:pt>
                <c:pt idx="441">
                  <c:v>2.2772000000000001</c:v>
                </c:pt>
                <c:pt idx="442">
                  <c:v>2.3016999999999999</c:v>
                </c:pt>
                <c:pt idx="443">
                  <c:v>2.2722000000000002</c:v>
                </c:pt>
                <c:pt idx="444">
                  <c:v>2.2317999999999998</c:v>
                </c:pt>
                <c:pt idx="445">
                  <c:v>2.2345000000000002</c:v>
                </c:pt>
                <c:pt idx="446">
                  <c:v>2.0903</c:v>
                </c:pt>
                <c:pt idx="447">
                  <c:v>2.1103999999999998</c:v>
                </c:pt>
                <c:pt idx="448">
                  <c:v>2.1941000000000002</c:v>
                </c:pt>
                <c:pt idx="449">
                  <c:v>2.2473999999999998</c:v>
                </c:pt>
                <c:pt idx="450">
                  <c:v>2.2612000000000001</c:v>
                </c:pt>
                <c:pt idx="451">
                  <c:v>2.2753999999999999</c:v>
                </c:pt>
                <c:pt idx="452">
                  <c:v>2.2812999999999999</c:v>
                </c:pt>
                <c:pt idx="453">
                  <c:v>2.282</c:v>
                </c:pt>
                <c:pt idx="454">
                  <c:v>2.3250999999999999</c:v>
                </c:pt>
                <c:pt idx="455">
                  <c:v>2.3347000000000002</c:v>
                </c:pt>
                <c:pt idx="456">
                  <c:v>2.2747000000000002</c:v>
                </c:pt>
                <c:pt idx="457">
                  <c:v>2.2707999999999999</c:v>
                </c:pt>
                <c:pt idx="458">
                  <c:v>2.25</c:v>
                </c:pt>
                <c:pt idx="459">
                  <c:v>2.294</c:v>
                </c:pt>
                <c:pt idx="460">
                  <c:v>2.2568999999999999</c:v>
                </c:pt>
                <c:pt idx="461">
                  <c:v>2.2347999999999999</c:v>
                </c:pt>
                <c:pt idx="462">
                  <c:v>2.2679</c:v>
                </c:pt>
                <c:pt idx="463">
                  <c:v>2.3022</c:v>
                </c:pt>
                <c:pt idx="464">
                  <c:v>2.13</c:v>
                </c:pt>
                <c:pt idx="465">
                  <c:v>2.1128999999999998</c:v>
                </c:pt>
                <c:pt idx="466">
                  <c:v>2.0668000000000002</c:v>
                </c:pt>
                <c:pt idx="467">
                  <c:v>2.0396999999999998</c:v>
                </c:pt>
                <c:pt idx="468">
                  <c:v>2.0162</c:v>
                </c:pt>
                <c:pt idx="469">
                  <c:v>1.9524999999999999</c:v>
                </c:pt>
                <c:pt idx="470">
                  <c:v>1.8902000000000001</c:v>
                </c:pt>
                <c:pt idx="471">
                  <c:v>1.9865999999999999</c:v>
                </c:pt>
                <c:pt idx="472">
                  <c:v>2.0575999999999999</c:v>
                </c:pt>
                <c:pt idx="473">
                  <c:v>2.145</c:v>
                </c:pt>
                <c:pt idx="474">
                  <c:v>2.0922999999999998</c:v>
                </c:pt>
                <c:pt idx="475">
                  <c:v>2.1196000000000002</c:v>
                </c:pt>
                <c:pt idx="476">
                  <c:v>2.1537999999999999</c:v>
                </c:pt>
                <c:pt idx="477">
                  <c:v>2.1419000000000001</c:v>
                </c:pt>
                <c:pt idx="478">
                  <c:v>2.1109</c:v>
                </c:pt>
                <c:pt idx="479">
                  <c:v>2.1635</c:v>
                </c:pt>
                <c:pt idx="480">
                  <c:v>2.1539999999999999</c:v>
                </c:pt>
                <c:pt idx="481">
                  <c:v>2.13</c:v>
                </c:pt>
                <c:pt idx="482">
                  <c:v>2.1320999999999999</c:v>
                </c:pt>
                <c:pt idx="483">
                  <c:v>2.0996999999999999</c:v>
                </c:pt>
                <c:pt idx="484">
                  <c:v>2.1539999999999999</c:v>
                </c:pt>
                <c:pt idx="485">
                  <c:v>2.1608999999999998</c:v>
                </c:pt>
                <c:pt idx="486">
                  <c:v>2.1118999999999999</c:v>
                </c:pt>
                <c:pt idx="487">
                  <c:v>2.1438000000000001</c:v>
                </c:pt>
                <c:pt idx="488">
                  <c:v>2.1269</c:v>
                </c:pt>
                <c:pt idx="489">
                  <c:v>2.1156999999999999</c:v>
                </c:pt>
                <c:pt idx="490">
                  <c:v>2.0602999999999998</c:v>
                </c:pt>
                <c:pt idx="491">
                  <c:v>2.0598000000000001</c:v>
                </c:pt>
                <c:pt idx="492">
                  <c:v>2.0836999999999999</c:v>
                </c:pt>
                <c:pt idx="493">
                  <c:v>2.1261000000000001</c:v>
                </c:pt>
                <c:pt idx="494">
                  <c:v>2.1377000000000002</c:v>
                </c:pt>
                <c:pt idx="495">
                  <c:v>2.17</c:v>
                </c:pt>
                <c:pt idx="496">
                  <c:v>2.1475</c:v>
                </c:pt>
                <c:pt idx="497">
                  <c:v>2.1749999999999998</c:v>
                </c:pt>
                <c:pt idx="498">
                  <c:v>2.194</c:v>
                </c:pt>
                <c:pt idx="499">
                  <c:v>2.25</c:v>
                </c:pt>
                <c:pt idx="500">
                  <c:v>2.3085</c:v>
                </c:pt>
                <c:pt idx="501">
                  <c:v>2.3578999999999999</c:v>
                </c:pt>
                <c:pt idx="502">
                  <c:v>2.3081999999999998</c:v>
                </c:pt>
                <c:pt idx="503">
                  <c:v>2.3344</c:v>
                </c:pt>
                <c:pt idx="504">
                  <c:v>2.3662000000000001</c:v>
                </c:pt>
                <c:pt idx="505">
                  <c:v>2.3778999999999999</c:v>
                </c:pt>
                <c:pt idx="506">
                  <c:v>2.3828999999999998</c:v>
                </c:pt>
                <c:pt idx="507">
                  <c:v>2.4055</c:v>
                </c:pt>
                <c:pt idx="508">
                  <c:v>2.3824000000000001</c:v>
                </c:pt>
                <c:pt idx="509">
                  <c:v>2.4251</c:v>
                </c:pt>
                <c:pt idx="510">
                  <c:v>2.4222999999999999</c:v>
                </c:pt>
                <c:pt idx="511">
                  <c:v>2.4176000000000002</c:v>
                </c:pt>
                <c:pt idx="512">
                  <c:v>2.4468999999999999</c:v>
                </c:pt>
                <c:pt idx="513">
                  <c:v>2.419</c:v>
                </c:pt>
                <c:pt idx="514">
                  <c:v>2.4156</c:v>
                </c:pt>
                <c:pt idx="515">
                  <c:v>2.4426999999999999</c:v>
                </c:pt>
                <c:pt idx="516">
                  <c:v>2.4472</c:v>
                </c:pt>
                <c:pt idx="517">
                  <c:v>2.3792</c:v>
                </c:pt>
                <c:pt idx="518">
                  <c:v>2.3589000000000002</c:v>
                </c:pt>
                <c:pt idx="519">
                  <c:v>2.3696999999999999</c:v>
                </c:pt>
                <c:pt idx="520">
                  <c:v>2.4093</c:v>
                </c:pt>
                <c:pt idx="521">
                  <c:v>2.4500999999999999</c:v>
                </c:pt>
                <c:pt idx="522">
                  <c:v>2.3384999999999998</c:v>
                </c:pt>
                <c:pt idx="523">
                  <c:v>2.2926000000000002</c:v>
                </c:pt>
                <c:pt idx="524">
                  <c:v>2.3209</c:v>
                </c:pt>
                <c:pt idx="525">
                  <c:v>2.3222</c:v>
                </c:pt>
                <c:pt idx="526">
                  <c:v>2.3752</c:v>
                </c:pt>
                <c:pt idx="527">
                  <c:v>2.2646000000000002</c:v>
                </c:pt>
                <c:pt idx="528">
                  <c:v>2.2806000000000002</c:v>
                </c:pt>
                <c:pt idx="529">
                  <c:v>2.2685</c:v>
                </c:pt>
                <c:pt idx="530">
                  <c:v>2.2761999999999998</c:v>
                </c:pt>
                <c:pt idx="531">
                  <c:v>2.2936000000000001</c:v>
                </c:pt>
                <c:pt idx="532">
                  <c:v>2.2305000000000001</c:v>
                </c:pt>
                <c:pt idx="533">
                  <c:v>2.2427000000000001</c:v>
                </c:pt>
                <c:pt idx="534">
                  <c:v>2.1568999999999998</c:v>
                </c:pt>
                <c:pt idx="535">
                  <c:v>2.2033</c:v>
                </c:pt>
                <c:pt idx="536">
                  <c:v>2.2783000000000002</c:v>
                </c:pt>
                <c:pt idx="537">
                  <c:v>2.2658999999999998</c:v>
                </c:pt>
                <c:pt idx="538">
                  <c:v>1.9811000000000001</c:v>
                </c:pt>
                <c:pt idx="539">
                  <c:v>2.0329999999999999</c:v>
                </c:pt>
                <c:pt idx="540">
                  <c:v>1.9400999999999999</c:v>
                </c:pt>
                <c:pt idx="541">
                  <c:v>1.9511000000000001</c:v>
                </c:pt>
                <c:pt idx="542">
                  <c:v>1.9677</c:v>
                </c:pt>
                <c:pt idx="543">
                  <c:v>1.9529000000000001</c:v>
                </c:pt>
                <c:pt idx="544">
                  <c:v>2.0432999999999999</c:v>
                </c:pt>
                <c:pt idx="545">
                  <c:v>2.1</c:v>
                </c:pt>
                <c:pt idx="546">
                  <c:v>2.1484999999999999</c:v>
                </c:pt>
                <c:pt idx="547">
                  <c:v>2.1284000000000001</c:v>
                </c:pt>
                <c:pt idx="548">
                  <c:v>2.1372</c:v>
                </c:pt>
                <c:pt idx="549">
                  <c:v>2.1164999999999998</c:v>
                </c:pt>
                <c:pt idx="550">
                  <c:v>2.1107999999999998</c:v>
                </c:pt>
                <c:pt idx="551">
                  <c:v>2.1122999999999998</c:v>
                </c:pt>
                <c:pt idx="552">
                  <c:v>2.1644000000000001</c:v>
                </c:pt>
                <c:pt idx="553">
                  <c:v>2.1126</c:v>
                </c:pt>
                <c:pt idx="554">
                  <c:v>2.0785999999999998</c:v>
                </c:pt>
                <c:pt idx="555">
                  <c:v>2.1448</c:v>
                </c:pt>
                <c:pt idx="556">
                  <c:v>2.165</c:v>
                </c:pt>
                <c:pt idx="557">
                  <c:v>2.2033</c:v>
                </c:pt>
                <c:pt idx="558">
                  <c:v>2.2303999999999999</c:v>
                </c:pt>
                <c:pt idx="559">
                  <c:v>2.246</c:v>
                </c:pt>
                <c:pt idx="560">
                  <c:v>2.2665999999999999</c:v>
                </c:pt>
                <c:pt idx="561">
                  <c:v>2.2913999999999999</c:v>
                </c:pt>
                <c:pt idx="562">
                  <c:v>2.2246000000000001</c:v>
                </c:pt>
                <c:pt idx="563">
                  <c:v>2.2565</c:v>
                </c:pt>
                <c:pt idx="564">
                  <c:v>2.2763</c:v>
                </c:pt>
                <c:pt idx="565">
                  <c:v>2.2921</c:v>
                </c:pt>
                <c:pt idx="566">
                  <c:v>2.3043</c:v>
                </c:pt>
                <c:pt idx="567">
                  <c:v>2.2989000000000002</c:v>
                </c:pt>
                <c:pt idx="568">
                  <c:v>2.2753999999999999</c:v>
                </c:pt>
                <c:pt idx="569">
                  <c:v>2.3574000000000002</c:v>
                </c:pt>
                <c:pt idx="570">
                  <c:v>2.3908</c:v>
                </c:pt>
                <c:pt idx="571">
                  <c:v>2.3877000000000002</c:v>
                </c:pt>
                <c:pt idx="572">
                  <c:v>2.4237000000000002</c:v>
                </c:pt>
                <c:pt idx="573">
                  <c:v>2.4386999999999999</c:v>
                </c:pt>
                <c:pt idx="574">
                  <c:v>2.4615</c:v>
                </c:pt>
                <c:pt idx="575">
                  <c:v>2.4662000000000002</c:v>
                </c:pt>
                <c:pt idx="576">
                  <c:v>2.4464999999999999</c:v>
                </c:pt>
                <c:pt idx="577">
                  <c:v>2.4020999999999999</c:v>
                </c:pt>
                <c:pt idx="578">
                  <c:v>2.4626000000000001</c:v>
                </c:pt>
                <c:pt idx="579">
                  <c:v>2.5232000000000001</c:v>
                </c:pt>
                <c:pt idx="580">
                  <c:v>2.5209999999999999</c:v>
                </c:pt>
                <c:pt idx="581">
                  <c:v>2.5379</c:v>
                </c:pt>
                <c:pt idx="582">
                  <c:v>2.5543999999999998</c:v>
                </c:pt>
                <c:pt idx="583">
                  <c:v>2.5752000000000002</c:v>
                </c:pt>
                <c:pt idx="584">
                  <c:v>2.6070000000000002</c:v>
                </c:pt>
                <c:pt idx="585">
                  <c:v>2.6427</c:v>
                </c:pt>
                <c:pt idx="586">
                  <c:v>2.6785000000000001</c:v>
                </c:pt>
                <c:pt idx="587">
                  <c:v>2.6852999999999998</c:v>
                </c:pt>
                <c:pt idx="588">
                  <c:v>2.6251000000000002</c:v>
                </c:pt>
                <c:pt idx="589">
                  <c:v>2.6534</c:v>
                </c:pt>
                <c:pt idx="590">
                  <c:v>2.6654</c:v>
                </c:pt>
                <c:pt idx="591">
                  <c:v>2.7385999999999999</c:v>
                </c:pt>
                <c:pt idx="592">
                  <c:v>2.9068000000000001</c:v>
                </c:pt>
                <c:pt idx="593">
                  <c:v>2.8094999999999999</c:v>
                </c:pt>
                <c:pt idx="594">
                  <c:v>2.8283</c:v>
                </c:pt>
                <c:pt idx="595">
                  <c:v>2.7959999999999998</c:v>
                </c:pt>
                <c:pt idx="596">
                  <c:v>2.8119000000000001</c:v>
                </c:pt>
                <c:pt idx="597">
                  <c:v>2.8542999999999998</c:v>
                </c:pt>
                <c:pt idx="598">
                  <c:v>2.8759999999999999</c:v>
                </c:pt>
                <c:pt idx="599">
                  <c:v>2.9165000000000001</c:v>
                </c:pt>
                <c:pt idx="600">
                  <c:v>2.8740999999999999</c:v>
                </c:pt>
                <c:pt idx="601">
                  <c:v>2.9325000000000001</c:v>
                </c:pt>
                <c:pt idx="602">
                  <c:v>3.0886999999999998</c:v>
                </c:pt>
                <c:pt idx="603">
                  <c:v>3.3083</c:v>
                </c:pt>
                <c:pt idx="604">
                  <c:v>3.2844000000000002</c:v>
                </c:pt>
                <c:pt idx="605">
                  <c:v>3.544</c:v>
                </c:pt>
                <c:pt idx="606">
                  <c:v>3.5720999999999998</c:v>
                </c:pt>
                <c:pt idx="607">
                  <c:v>3.6825999999999999</c:v>
                </c:pt>
                <c:pt idx="608">
                  <c:v>3.2938000000000001</c:v>
                </c:pt>
                <c:pt idx="609">
                  <c:v>3.1566999999999998</c:v>
                </c:pt>
                <c:pt idx="610">
                  <c:v>3.3121</c:v>
                </c:pt>
                <c:pt idx="611">
                  <c:v>3.1339000000000001</c:v>
                </c:pt>
                <c:pt idx="612">
                  <c:v>2.9657</c:v>
                </c:pt>
                <c:pt idx="613">
                  <c:v>2.952</c:v>
                </c:pt>
                <c:pt idx="614">
                  <c:v>3.1821999999999999</c:v>
                </c:pt>
                <c:pt idx="615">
                  <c:v>3.2059000000000002</c:v>
                </c:pt>
                <c:pt idx="616">
                  <c:v>3.3378999999999999</c:v>
                </c:pt>
                <c:pt idx="617">
                  <c:v>3.3046000000000002</c:v>
                </c:pt>
                <c:pt idx="618">
                  <c:v>3.4195000000000002</c:v>
                </c:pt>
                <c:pt idx="619">
                  <c:v>3.3689</c:v>
                </c:pt>
                <c:pt idx="620">
                  <c:v>3.4363000000000001</c:v>
                </c:pt>
                <c:pt idx="621">
                  <c:v>3.1962000000000002</c:v>
                </c:pt>
                <c:pt idx="622">
                  <c:v>3.1766999999999999</c:v>
                </c:pt>
                <c:pt idx="623">
                  <c:v>3.2864</c:v>
                </c:pt>
                <c:pt idx="624">
                  <c:v>3.1509</c:v>
                </c:pt>
                <c:pt idx="625">
                  <c:v>3.1535000000000002</c:v>
                </c:pt>
                <c:pt idx="626">
                  <c:v>3.1981000000000002</c:v>
                </c:pt>
                <c:pt idx="627">
                  <c:v>3.1648999999999998</c:v>
                </c:pt>
                <c:pt idx="628">
                  <c:v>3.0461999999999998</c:v>
                </c:pt>
                <c:pt idx="629">
                  <c:v>3.0398000000000001</c:v>
                </c:pt>
                <c:pt idx="630">
                  <c:v>3.1316000000000002</c:v>
                </c:pt>
                <c:pt idx="631">
                  <c:v>3.0030999999999999</c:v>
                </c:pt>
                <c:pt idx="632">
                  <c:v>3.1537999999999999</c:v>
                </c:pt>
                <c:pt idx="633">
                  <c:v>3.2913000000000001</c:v>
                </c:pt>
                <c:pt idx="634">
                  <c:v>3.3814000000000002</c:v>
                </c:pt>
                <c:pt idx="635">
                  <c:v>3.3580000000000001</c:v>
                </c:pt>
                <c:pt idx="636">
                  <c:v>3.2288999999999999</c:v>
                </c:pt>
                <c:pt idx="637">
                  <c:v>3.2618</c:v>
                </c:pt>
                <c:pt idx="638">
                  <c:v>3.3174999999999999</c:v>
                </c:pt>
                <c:pt idx="639">
                  <c:v>3.286</c:v>
                </c:pt>
                <c:pt idx="640">
                  <c:v>3.2206000000000001</c:v>
                </c:pt>
                <c:pt idx="641">
                  <c:v>3.3109999999999999</c:v>
                </c:pt>
                <c:pt idx="642">
                  <c:v>3.4135</c:v>
                </c:pt>
                <c:pt idx="643">
                  <c:v>3.4759000000000002</c:v>
                </c:pt>
                <c:pt idx="644">
                  <c:v>3.4424000000000001</c:v>
                </c:pt>
                <c:pt idx="645">
                  <c:v>3.5101</c:v>
                </c:pt>
                <c:pt idx="646">
                  <c:v>3.5011999999999999</c:v>
                </c:pt>
                <c:pt idx="647">
                  <c:v>3.6522999999999999</c:v>
                </c:pt>
                <c:pt idx="648">
                  <c:v>3.6587000000000001</c:v>
                </c:pt>
                <c:pt idx="649">
                  <c:v>3.7589999999999999</c:v>
                </c:pt>
                <c:pt idx="650">
                  <c:v>3.6419000000000001</c:v>
                </c:pt>
                <c:pt idx="651">
                  <c:v>3.5415000000000001</c:v>
                </c:pt>
                <c:pt idx="652">
                  <c:v>3.6855000000000002</c:v>
                </c:pt>
                <c:pt idx="653">
                  <c:v>3.7917000000000001</c:v>
                </c:pt>
                <c:pt idx="654">
                  <c:v>3.9578000000000002</c:v>
                </c:pt>
                <c:pt idx="655">
                  <c:v>3.8405</c:v>
                </c:pt>
                <c:pt idx="656">
                  <c:v>3.7763</c:v>
                </c:pt>
                <c:pt idx="657">
                  <c:v>3.5912999999999999</c:v>
                </c:pt>
                <c:pt idx="658">
                  <c:v>3.6776</c:v>
                </c:pt>
                <c:pt idx="659">
                  <c:v>3.6897000000000002</c:v>
                </c:pt>
                <c:pt idx="660">
                  <c:v>3.6802000000000001</c:v>
                </c:pt>
                <c:pt idx="661">
                  <c:v>3.6897000000000002</c:v>
                </c:pt>
                <c:pt idx="662">
                  <c:v>3.7252999999999998</c:v>
                </c:pt>
                <c:pt idx="663">
                  <c:v>3.7924000000000002</c:v>
                </c:pt>
                <c:pt idx="664">
                  <c:v>3.9119000000000002</c:v>
                </c:pt>
                <c:pt idx="665">
                  <c:v>3.9161999999999999</c:v>
                </c:pt>
                <c:pt idx="666">
                  <c:v>4.0716000000000001</c:v>
                </c:pt>
                <c:pt idx="667">
                  <c:v>4.1909000000000001</c:v>
                </c:pt>
                <c:pt idx="668">
                  <c:v>4.2522000000000002</c:v>
                </c:pt>
                <c:pt idx="669">
                  <c:v>4.1929999999999996</c:v>
                </c:pt>
                <c:pt idx="670">
                  <c:v>4.1577000000000002</c:v>
                </c:pt>
                <c:pt idx="671">
                  <c:v>4.2218999999999998</c:v>
                </c:pt>
                <c:pt idx="672">
                  <c:v>4.2762000000000002</c:v>
                </c:pt>
                <c:pt idx="673">
                  <c:v>4.1722000000000001</c:v>
                </c:pt>
                <c:pt idx="674">
                  <c:v>4.0353000000000003</c:v>
                </c:pt>
                <c:pt idx="675">
                  <c:v>3.9937999999999998</c:v>
                </c:pt>
                <c:pt idx="676">
                  <c:v>3.8942000000000001</c:v>
                </c:pt>
                <c:pt idx="677">
                  <c:v>3.9558</c:v>
                </c:pt>
                <c:pt idx="678">
                  <c:v>3.7930000000000001</c:v>
                </c:pt>
                <c:pt idx="679">
                  <c:v>3.69</c:v>
                </c:pt>
                <c:pt idx="680">
                  <c:v>3.7298</c:v>
                </c:pt>
                <c:pt idx="681">
                  <c:v>3.661</c:v>
                </c:pt>
                <c:pt idx="682">
                  <c:v>3.72</c:v>
                </c:pt>
                <c:pt idx="683">
                  <c:v>3.73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281-4A7C-BB1C-41FCF9583E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79996288"/>
        <c:axId val="1179979888"/>
      </c:lineChart>
      <c:catAx>
        <c:axId val="9469310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46922208"/>
        <c:crosses val="autoZero"/>
        <c:auto val="1"/>
        <c:lblAlgn val="ctr"/>
        <c:lblOffset val="100"/>
        <c:noMultiLvlLbl val="0"/>
      </c:catAx>
      <c:valAx>
        <c:axId val="9469222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46931064"/>
        <c:crosses val="autoZero"/>
        <c:crossBetween val="between"/>
      </c:valAx>
      <c:valAx>
        <c:axId val="1179979888"/>
        <c:scaling>
          <c:orientation val="minMax"/>
        </c:scaling>
        <c:delete val="0"/>
        <c:axPos val="r"/>
        <c:numFmt formatCode="&quot;$&quot;#,##0.0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79996288"/>
        <c:crosses val="max"/>
        <c:crossBetween val="between"/>
      </c:valAx>
      <c:catAx>
        <c:axId val="117999628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179979888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[Foley_FinalProject_Completed.xlsm]Crude to Gas Correlation !PivotTable5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'Crude to Gas Correlation '!$U$2</c:f>
              <c:strCache>
                <c:ptCount val="1"/>
                <c:pt idx="0">
                  <c:v>Crude oil Price_v2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'Crude to Gas Correlation '!$T$3:$T$552</c:f>
              <c:strCache>
                <c:ptCount val="549"/>
                <c:pt idx="0">
                  <c:v>4/9/2020</c:v>
                </c:pt>
                <c:pt idx="1">
                  <c:v>4/13/2020</c:v>
                </c:pt>
                <c:pt idx="2">
                  <c:v>4/14/2020</c:v>
                </c:pt>
                <c:pt idx="3">
                  <c:v>4/15/2020</c:v>
                </c:pt>
                <c:pt idx="4">
                  <c:v>4/16/2020</c:v>
                </c:pt>
                <c:pt idx="5">
                  <c:v>4/17/2020</c:v>
                </c:pt>
                <c:pt idx="6">
                  <c:v>4/20/2020</c:v>
                </c:pt>
                <c:pt idx="7">
                  <c:v>4/21/2020</c:v>
                </c:pt>
                <c:pt idx="8">
                  <c:v>4/22/2020</c:v>
                </c:pt>
                <c:pt idx="9">
                  <c:v>4/23/2020</c:v>
                </c:pt>
                <c:pt idx="10">
                  <c:v>4/24/2020</c:v>
                </c:pt>
                <c:pt idx="11">
                  <c:v>4/27/2020</c:v>
                </c:pt>
                <c:pt idx="12">
                  <c:v>4/28/2020</c:v>
                </c:pt>
                <c:pt idx="13">
                  <c:v>4/29/2020</c:v>
                </c:pt>
                <c:pt idx="14">
                  <c:v>4/30/2020</c:v>
                </c:pt>
                <c:pt idx="15">
                  <c:v>5/1/2020</c:v>
                </c:pt>
                <c:pt idx="16">
                  <c:v>5/4/2020</c:v>
                </c:pt>
                <c:pt idx="17">
                  <c:v>5/5/2020</c:v>
                </c:pt>
                <c:pt idx="18">
                  <c:v>5/6/2020</c:v>
                </c:pt>
                <c:pt idx="19">
                  <c:v>5/7/2020</c:v>
                </c:pt>
                <c:pt idx="20">
                  <c:v>5/8/2020</c:v>
                </c:pt>
                <c:pt idx="21">
                  <c:v>5/11/2020</c:v>
                </c:pt>
                <c:pt idx="22">
                  <c:v>5/12/2020</c:v>
                </c:pt>
                <c:pt idx="23">
                  <c:v>5/13/2020</c:v>
                </c:pt>
                <c:pt idx="24">
                  <c:v>5/14/2020</c:v>
                </c:pt>
                <c:pt idx="25">
                  <c:v>5/15/2020</c:v>
                </c:pt>
                <c:pt idx="26">
                  <c:v>5/18/2020</c:v>
                </c:pt>
                <c:pt idx="27">
                  <c:v>5/19/2020</c:v>
                </c:pt>
                <c:pt idx="28">
                  <c:v>5/20/2020</c:v>
                </c:pt>
                <c:pt idx="29">
                  <c:v>5/21/2020</c:v>
                </c:pt>
                <c:pt idx="30">
                  <c:v>5/22/2020</c:v>
                </c:pt>
                <c:pt idx="31">
                  <c:v>5/26/2020</c:v>
                </c:pt>
                <c:pt idx="32">
                  <c:v>5/27/2020</c:v>
                </c:pt>
                <c:pt idx="33">
                  <c:v>5/28/2020</c:v>
                </c:pt>
                <c:pt idx="34">
                  <c:v>5/29/2020</c:v>
                </c:pt>
                <c:pt idx="35">
                  <c:v>6/1/2020</c:v>
                </c:pt>
                <c:pt idx="36">
                  <c:v>6/2/2020</c:v>
                </c:pt>
                <c:pt idx="37">
                  <c:v>6/3/2020</c:v>
                </c:pt>
                <c:pt idx="38">
                  <c:v>6/4/2020</c:v>
                </c:pt>
                <c:pt idx="39">
                  <c:v>6/5/2020</c:v>
                </c:pt>
                <c:pt idx="40">
                  <c:v>6/8/2020</c:v>
                </c:pt>
                <c:pt idx="41">
                  <c:v>6/9/2020</c:v>
                </c:pt>
                <c:pt idx="42">
                  <c:v>6/10/2020</c:v>
                </c:pt>
                <c:pt idx="43">
                  <c:v>6/11/2020</c:v>
                </c:pt>
                <c:pt idx="44">
                  <c:v>6/12/2020</c:v>
                </c:pt>
                <c:pt idx="45">
                  <c:v>6/15/2020</c:v>
                </c:pt>
                <c:pt idx="46">
                  <c:v>6/16/2020</c:v>
                </c:pt>
                <c:pt idx="47">
                  <c:v>6/17/2020</c:v>
                </c:pt>
                <c:pt idx="48">
                  <c:v>6/18/2020</c:v>
                </c:pt>
                <c:pt idx="49">
                  <c:v>6/19/2020</c:v>
                </c:pt>
                <c:pt idx="50">
                  <c:v>6/22/2020</c:v>
                </c:pt>
                <c:pt idx="51">
                  <c:v>6/23/2020</c:v>
                </c:pt>
                <c:pt idx="52">
                  <c:v>6/24/2020</c:v>
                </c:pt>
                <c:pt idx="53">
                  <c:v>6/25/2020</c:v>
                </c:pt>
                <c:pt idx="54">
                  <c:v>6/26/2020</c:v>
                </c:pt>
                <c:pt idx="55">
                  <c:v>6/29/2020</c:v>
                </c:pt>
                <c:pt idx="56">
                  <c:v>6/30/2020</c:v>
                </c:pt>
                <c:pt idx="57">
                  <c:v>7/1/2020</c:v>
                </c:pt>
                <c:pt idx="58">
                  <c:v>7/2/2020</c:v>
                </c:pt>
                <c:pt idx="59">
                  <c:v>7/3/2020</c:v>
                </c:pt>
                <c:pt idx="60">
                  <c:v>7/6/2020</c:v>
                </c:pt>
                <c:pt idx="61">
                  <c:v>7/7/2020</c:v>
                </c:pt>
                <c:pt idx="62">
                  <c:v>7/8/2020</c:v>
                </c:pt>
                <c:pt idx="63">
                  <c:v>7/9/2020</c:v>
                </c:pt>
                <c:pt idx="64">
                  <c:v>7/10/2020</c:v>
                </c:pt>
                <c:pt idx="65">
                  <c:v>7/13/2020</c:v>
                </c:pt>
                <c:pt idx="66">
                  <c:v>7/14/2020</c:v>
                </c:pt>
                <c:pt idx="67">
                  <c:v>7/15/2020</c:v>
                </c:pt>
                <c:pt idx="68">
                  <c:v>7/16/2020</c:v>
                </c:pt>
                <c:pt idx="69">
                  <c:v>7/17/2020</c:v>
                </c:pt>
                <c:pt idx="70">
                  <c:v>7/20/2020</c:v>
                </c:pt>
                <c:pt idx="71">
                  <c:v>7/21/2020</c:v>
                </c:pt>
                <c:pt idx="72">
                  <c:v>7/22/2020</c:v>
                </c:pt>
                <c:pt idx="73">
                  <c:v>7/23/2020</c:v>
                </c:pt>
                <c:pt idx="74">
                  <c:v>7/24/2020</c:v>
                </c:pt>
                <c:pt idx="75">
                  <c:v>7/27/2020</c:v>
                </c:pt>
                <c:pt idx="76">
                  <c:v>7/28/2020</c:v>
                </c:pt>
                <c:pt idx="77">
                  <c:v>7/29/2020</c:v>
                </c:pt>
                <c:pt idx="78">
                  <c:v>7/30/2020</c:v>
                </c:pt>
                <c:pt idx="79">
                  <c:v>7/31/2020</c:v>
                </c:pt>
                <c:pt idx="80">
                  <c:v>8/3/2020</c:v>
                </c:pt>
                <c:pt idx="81">
                  <c:v>8/4/2020</c:v>
                </c:pt>
                <c:pt idx="82">
                  <c:v>8/5/2020</c:v>
                </c:pt>
                <c:pt idx="83">
                  <c:v>8/6/2020</c:v>
                </c:pt>
                <c:pt idx="84">
                  <c:v>8/7/2020</c:v>
                </c:pt>
                <c:pt idx="85">
                  <c:v>8/10/2020</c:v>
                </c:pt>
                <c:pt idx="86">
                  <c:v>8/11/2020</c:v>
                </c:pt>
                <c:pt idx="87">
                  <c:v>8/12/2020</c:v>
                </c:pt>
                <c:pt idx="88">
                  <c:v>8/13/2020</c:v>
                </c:pt>
                <c:pt idx="89">
                  <c:v>8/14/2020</c:v>
                </c:pt>
                <c:pt idx="90">
                  <c:v>8/17/2020</c:v>
                </c:pt>
                <c:pt idx="91">
                  <c:v>8/18/2020</c:v>
                </c:pt>
                <c:pt idx="92">
                  <c:v>8/19/2020</c:v>
                </c:pt>
                <c:pt idx="93">
                  <c:v>8/20/2020</c:v>
                </c:pt>
                <c:pt idx="94">
                  <c:v>8/21/2020</c:v>
                </c:pt>
                <c:pt idx="95">
                  <c:v>8/24/2020</c:v>
                </c:pt>
                <c:pt idx="96">
                  <c:v>8/25/2020</c:v>
                </c:pt>
                <c:pt idx="97">
                  <c:v>8/26/2020</c:v>
                </c:pt>
                <c:pt idx="98">
                  <c:v>8/27/2020</c:v>
                </c:pt>
                <c:pt idx="99">
                  <c:v>8/28/2020</c:v>
                </c:pt>
                <c:pt idx="100">
                  <c:v>8/31/2020</c:v>
                </c:pt>
                <c:pt idx="101">
                  <c:v>9/1/2020</c:v>
                </c:pt>
                <c:pt idx="102">
                  <c:v>9/2/2020</c:v>
                </c:pt>
                <c:pt idx="103">
                  <c:v>9/3/2020</c:v>
                </c:pt>
                <c:pt idx="104">
                  <c:v>9/4/2020</c:v>
                </c:pt>
                <c:pt idx="105">
                  <c:v>9/7/2020</c:v>
                </c:pt>
                <c:pt idx="106">
                  <c:v>9/8/2020</c:v>
                </c:pt>
                <c:pt idx="107">
                  <c:v>9/9/2020</c:v>
                </c:pt>
                <c:pt idx="108">
                  <c:v>9/10/2020</c:v>
                </c:pt>
                <c:pt idx="109">
                  <c:v>9/11/2020</c:v>
                </c:pt>
                <c:pt idx="110">
                  <c:v>9/14/2020</c:v>
                </c:pt>
                <c:pt idx="111">
                  <c:v>9/15/2020</c:v>
                </c:pt>
                <c:pt idx="112">
                  <c:v>9/16/2020</c:v>
                </c:pt>
                <c:pt idx="113">
                  <c:v>9/17/2020</c:v>
                </c:pt>
                <c:pt idx="114">
                  <c:v>9/18/2020</c:v>
                </c:pt>
                <c:pt idx="115">
                  <c:v>9/21/2020</c:v>
                </c:pt>
                <c:pt idx="116">
                  <c:v>9/22/2020</c:v>
                </c:pt>
                <c:pt idx="117">
                  <c:v>9/23/2020</c:v>
                </c:pt>
                <c:pt idx="118">
                  <c:v>9/24/2020</c:v>
                </c:pt>
                <c:pt idx="119">
                  <c:v>9/25/2020</c:v>
                </c:pt>
                <c:pt idx="120">
                  <c:v>9/28/2020</c:v>
                </c:pt>
                <c:pt idx="121">
                  <c:v>9/29/2020</c:v>
                </c:pt>
                <c:pt idx="122">
                  <c:v>9/30/2020</c:v>
                </c:pt>
                <c:pt idx="123">
                  <c:v>10/1/2020</c:v>
                </c:pt>
                <c:pt idx="124">
                  <c:v>10/2/2020</c:v>
                </c:pt>
                <c:pt idx="125">
                  <c:v>10/5/2020</c:v>
                </c:pt>
                <c:pt idx="126">
                  <c:v>10/6/2020</c:v>
                </c:pt>
                <c:pt idx="127">
                  <c:v>10/7/2020</c:v>
                </c:pt>
                <c:pt idx="128">
                  <c:v>10/8/2020</c:v>
                </c:pt>
                <c:pt idx="129">
                  <c:v>10/9/2020</c:v>
                </c:pt>
                <c:pt idx="130">
                  <c:v>10/12/2020</c:v>
                </c:pt>
                <c:pt idx="131">
                  <c:v>10/13/2020</c:v>
                </c:pt>
                <c:pt idx="132">
                  <c:v>10/14/2020</c:v>
                </c:pt>
                <c:pt idx="133">
                  <c:v>10/15/2020</c:v>
                </c:pt>
                <c:pt idx="134">
                  <c:v>10/16/2020</c:v>
                </c:pt>
                <c:pt idx="135">
                  <c:v>10/19/2020</c:v>
                </c:pt>
                <c:pt idx="136">
                  <c:v>10/20/2020</c:v>
                </c:pt>
                <c:pt idx="137">
                  <c:v>10/21/2020</c:v>
                </c:pt>
                <c:pt idx="138">
                  <c:v>10/22/2020</c:v>
                </c:pt>
                <c:pt idx="139">
                  <c:v>10/23/2020</c:v>
                </c:pt>
                <c:pt idx="140">
                  <c:v>10/26/2020</c:v>
                </c:pt>
                <c:pt idx="141">
                  <c:v>10/27/2020</c:v>
                </c:pt>
                <c:pt idx="142">
                  <c:v>10/28/2020</c:v>
                </c:pt>
                <c:pt idx="143">
                  <c:v>10/29/2020</c:v>
                </c:pt>
                <c:pt idx="144">
                  <c:v>10/30/2020</c:v>
                </c:pt>
                <c:pt idx="145">
                  <c:v>11/2/2020</c:v>
                </c:pt>
                <c:pt idx="146">
                  <c:v>11/3/2020</c:v>
                </c:pt>
                <c:pt idx="147">
                  <c:v>11/4/2020</c:v>
                </c:pt>
                <c:pt idx="148">
                  <c:v>11/5/2020</c:v>
                </c:pt>
                <c:pt idx="149">
                  <c:v>11/6/2020</c:v>
                </c:pt>
                <c:pt idx="150">
                  <c:v>11/9/2020</c:v>
                </c:pt>
                <c:pt idx="151">
                  <c:v>11/10/2020</c:v>
                </c:pt>
                <c:pt idx="152">
                  <c:v>11/11/2020</c:v>
                </c:pt>
                <c:pt idx="153">
                  <c:v>11/12/2020</c:v>
                </c:pt>
                <c:pt idx="154">
                  <c:v>11/13/2020</c:v>
                </c:pt>
                <c:pt idx="155">
                  <c:v>11/16/2020</c:v>
                </c:pt>
                <c:pt idx="156">
                  <c:v>11/17/2020</c:v>
                </c:pt>
                <c:pt idx="157">
                  <c:v>11/18/2020</c:v>
                </c:pt>
                <c:pt idx="158">
                  <c:v>11/19/2020</c:v>
                </c:pt>
                <c:pt idx="159">
                  <c:v>11/20/2020</c:v>
                </c:pt>
                <c:pt idx="160">
                  <c:v>11/23/2020</c:v>
                </c:pt>
                <c:pt idx="161">
                  <c:v>11/24/2020</c:v>
                </c:pt>
                <c:pt idx="162">
                  <c:v>11/25/2020</c:v>
                </c:pt>
                <c:pt idx="163">
                  <c:v>11/26/2020</c:v>
                </c:pt>
                <c:pt idx="164">
                  <c:v>11/27/2020</c:v>
                </c:pt>
                <c:pt idx="165">
                  <c:v>11/30/2020</c:v>
                </c:pt>
                <c:pt idx="166">
                  <c:v>12/1/2020</c:v>
                </c:pt>
                <c:pt idx="167">
                  <c:v>12/2/2020</c:v>
                </c:pt>
                <c:pt idx="168">
                  <c:v>12/3/2020</c:v>
                </c:pt>
                <c:pt idx="169">
                  <c:v>12/4/2020</c:v>
                </c:pt>
                <c:pt idx="170">
                  <c:v>12/7/2020</c:v>
                </c:pt>
                <c:pt idx="171">
                  <c:v>12/8/2020</c:v>
                </c:pt>
                <c:pt idx="172">
                  <c:v>12/9/2020</c:v>
                </c:pt>
                <c:pt idx="173">
                  <c:v>12/10/2020</c:v>
                </c:pt>
                <c:pt idx="174">
                  <c:v>12/11/2020</c:v>
                </c:pt>
                <c:pt idx="175">
                  <c:v>12/14/2020</c:v>
                </c:pt>
                <c:pt idx="176">
                  <c:v>12/15/2020</c:v>
                </c:pt>
                <c:pt idx="177">
                  <c:v>12/16/2020</c:v>
                </c:pt>
                <c:pt idx="178">
                  <c:v>12/17/2020</c:v>
                </c:pt>
                <c:pt idx="179">
                  <c:v>12/18/2020</c:v>
                </c:pt>
                <c:pt idx="180">
                  <c:v>12/21/2020</c:v>
                </c:pt>
                <c:pt idx="181">
                  <c:v>12/22/2020</c:v>
                </c:pt>
                <c:pt idx="182">
                  <c:v>12/23/2020</c:v>
                </c:pt>
                <c:pt idx="183">
                  <c:v>12/24/2020</c:v>
                </c:pt>
                <c:pt idx="184">
                  <c:v>12/28/2020</c:v>
                </c:pt>
                <c:pt idx="185">
                  <c:v>12/29/2020</c:v>
                </c:pt>
                <c:pt idx="186">
                  <c:v>12/30/2020</c:v>
                </c:pt>
                <c:pt idx="187">
                  <c:v>12/31/2020</c:v>
                </c:pt>
                <c:pt idx="188">
                  <c:v>1/4/2021</c:v>
                </c:pt>
                <c:pt idx="189">
                  <c:v>1/5/2021</c:v>
                </c:pt>
                <c:pt idx="190">
                  <c:v>1/6/2021</c:v>
                </c:pt>
                <c:pt idx="191">
                  <c:v>1/7/2021</c:v>
                </c:pt>
                <c:pt idx="192">
                  <c:v>1/8/2021</c:v>
                </c:pt>
                <c:pt idx="193">
                  <c:v>1/11/2021</c:v>
                </c:pt>
                <c:pt idx="194">
                  <c:v>1/12/2021</c:v>
                </c:pt>
                <c:pt idx="195">
                  <c:v>1/13/2021</c:v>
                </c:pt>
                <c:pt idx="196">
                  <c:v>1/14/2021</c:v>
                </c:pt>
                <c:pt idx="197">
                  <c:v>1/15/2021</c:v>
                </c:pt>
                <c:pt idx="198">
                  <c:v>1/18/2021</c:v>
                </c:pt>
                <c:pt idx="199">
                  <c:v>1/19/2021</c:v>
                </c:pt>
                <c:pt idx="200">
                  <c:v>1/20/2021</c:v>
                </c:pt>
                <c:pt idx="201">
                  <c:v>1/21/2021</c:v>
                </c:pt>
                <c:pt idx="202">
                  <c:v>1/22/2021</c:v>
                </c:pt>
                <c:pt idx="203">
                  <c:v>1/25/2021</c:v>
                </c:pt>
                <c:pt idx="204">
                  <c:v>1/26/2021</c:v>
                </c:pt>
                <c:pt idx="205">
                  <c:v>1/27/2021</c:v>
                </c:pt>
                <c:pt idx="206">
                  <c:v>1/28/2021</c:v>
                </c:pt>
                <c:pt idx="207">
                  <c:v>1/29/2021</c:v>
                </c:pt>
                <c:pt idx="208">
                  <c:v>2/1/2021</c:v>
                </c:pt>
                <c:pt idx="209">
                  <c:v>2/2/2021</c:v>
                </c:pt>
                <c:pt idx="210">
                  <c:v>2/3/2021</c:v>
                </c:pt>
                <c:pt idx="211">
                  <c:v>2/4/2021</c:v>
                </c:pt>
                <c:pt idx="212">
                  <c:v>2/5/2021</c:v>
                </c:pt>
                <c:pt idx="213">
                  <c:v>2/8/2021</c:v>
                </c:pt>
                <c:pt idx="214">
                  <c:v>2/9/2021</c:v>
                </c:pt>
                <c:pt idx="215">
                  <c:v>2/10/2021</c:v>
                </c:pt>
                <c:pt idx="216">
                  <c:v>2/11/2021</c:v>
                </c:pt>
                <c:pt idx="217">
                  <c:v>2/12/2021</c:v>
                </c:pt>
                <c:pt idx="218">
                  <c:v>2/15/2021</c:v>
                </c:pt>
                <c:pt idx="219">
                  <c:v>2/16/2021</c:v>
                </c:pt>
                <c:pt idx="220">
                  <c:v>2/17/2021</c:v>
                </c:pt>
                <c:pt idx="221">
                  <c:v>2/18/2021</c:v>
                </c:pt>
                <c:pt idx="222">
                  <c:v>2/19/2021</c:v>
                </c:pt>
                <c:pt idx="223">
                  <c:v>2/22/2021</c:v>
                </c:pt>
                <c:pt idx="224">
                  <c:v>2/23/2021</c:v>
                </c:pt>
                <c:pt idx="225">
                  <c:v>2/24/2021</c:v>
                </c:pt>
                <c:pt idx="226">
                  <c:v>2/25/2021</c:v>
                </c:pt>
                <c:pt idx="227">
                  <c:v>2/26/2021</c:v>
                </c:pt>
                <c:pt idx="228">
                  <c:v>3/1/2021</c:v>
                </c:pt>
                <c:pt idx="229">
                  <c:v>3/2/2021</c:v>
                </c:pt>
                <c:pt idx="230">
                  <c:v>3/3/2021</c:v>
                </c:pt>
                <c:pt idx="231">
                  <c:v>3/4/2021</c:v>
                </c:pt>
                <c:pt idx="232">
                  <c:v>3/5/2021</c:v>
                </c:pt>
                <c:pt idx="233">
                  <c:v>3/8/2021</c:v>
                </c:pt>
                <c:pt idx="234">
                  <c:v>3/9/2021</c:v>
                </c:pt>
                <c:pt idx="235">
                  <c:v>3/10/2021</c:v>
                </c:pt>
                <c:pt idx="236">
                  <c:v>3/11/2021</c:v>
                </c:pt>
                <c:pt idx="237">
                  <c:v>3/12/2021</c:v>
                </c:pt>
                <c:pt idx="238">
                  <c:v>3/15/2021</c:v>
                </c:pt>
                <c:pt idx="239">
                  <c:v>3/16/2021</c:v>
                </c:pt>
                <c:pt idx="240">
                  <c:v>3/17/2021</c:v>
                </c:pt>
                <c:pt idx="241">
                  <c:v>3/18/2021</c:v>
                </c:pt>
                <c:pt idx="242">
                  <c:v>3/19/2021</c:v>
                </c:pt>
                <c:pt idx="243">
                  <c:v>3/22/2021</c:v>
                </c:pt>
                <c:pt idx="244">
                  <c:v>3/23/2021</c:v>
                </c:pt>
                <c:pt idx="245">
                  <c:v>3/24/2021</c:v>
                </c:pt>
                <c:pt idx="246">
                  <c:v>3/25/2021</c:v>
                </c:pt>
                <c:pt idx="247">
                  <c:v>3/26/2021</c:v>
                </c:pt>
                <c:pt idx="248">
                  <c:v>3/29/2021</c:v>
                </c:pt>
                <c:pt idx="249">
                  <c:v>3/30/2021</c:v>
                </c:pt>
                <c:pt idx="250">
                  <c:v>3/31/2021</c:v>
                </c:pt>
                <c:pt idx="251">
                  <c:v>4/1/2021</c:v>
                </c:pt>
                <c:pt idx="252">
                  <c:v>4/5/2021</c:v>
                </c:pt>
                <c:pt idx="253">
                  <c:v>4/6/2021</c:v>
                </c:pt>
                <c:pt idx="254">
                  <c:v>4/7/2021</c:v>
                </c:pt>
                <c:pt idx="255">
                  <c:v>4/8/2021</c:v>
                </c:pt>
                <c:pt idx="256">
                  <c:v>4/9/2021</c:v>
                </c:pt>
                <c:pt idx="257">
                  <c:v>4/12/2021</c:v>
                </c:pt>
                <c:pt idx="258">
                  <c:v>4/13/2021</c:v>
                </c:pt>
                <c:pt idx="259">
                  <c:v>4/14/2021</c:v>
                </c:pt>
                <c:pt idx="260">
                  <c:v>4/15/2021</c:v>
                </c:pt>
                <c:pt idx="261">
                  <c:v>4/16/2021</c:v>
                </c:pt>
                <c:pt idx="262">
                  <c:v>4/19/2021</c:v>
                </c:pt>
                <c:pt idx="263">
                  <c:v>4/20/2021</c:v>
                </c:pt>
                <c:pt idx="264">
                  <c:v>4/21/2021</c:v>
                </c:pt>
                <c:pt idx="265">
                  <c:v>4/22/2021</c:v>
                </c:pt>
                <c:pt idx="266">
                  <c:v>4/23/2021</c:v>
                </c:pt>
                <c:pt idx="267">
                  <c:v>4/26/2021</c:v>
                </c:pt>
                <c:pt idx="268">
                  <c:v>4/27/2021</c:v>
                </c:pt>
                <c:pt idx="269">
                  <c:v>4/28/2021</c:v>
                </c:pt>
                <c:pt idx="270">
                  <c:v>4/29/2021</c:v>
                </c:pt>
                <c:pt idx="271">
                  <c:v>4/30/2021</c:v>
                </c:pt>
                <c:pt idx="272">
                  <c:v>5/3/2021</c:v>
                </c:pt>
                <c:pt idx="273">
                  <c:v>5/4/2021</c:v>
                </c:pt>
                <c:pt idx="274">
                  <c:v>5/5/2021</c:v>
                </c:pt>
                <c:pt idx="275">
                  <c:v>5/6/2021</c:v>
                </c:pt>
                <c:pt idx="276">
                  <c:v>5/7/2021</c:v>
                </c:pt>
                <c:pt idx="277">
                  <c:v>5/10/2021</c:v>
                </c:pt>
                <c:pt idx="278">
                  <c:v>5/11/2021</c:v>
                </c:pt>
                <c:pt idx="279">
                  <c:v>5/12/2021</c:v>
                </c:pt>
                <c:pt idx="280">
                  <c:v>5/13/2021</c:v>
                </c:pt>
                <c:pt idx="281">
                  <c:v>5/14/2021</c:v>
                </c:pt>
                <c:pt idx="282">
                  <c:v>5/17/2021</c:v>
                </c:pt>
                <c:pt idx="283">
                  <c:v>5/18/2021</c:v>
                </c:pt>
                <c:pt idx="284">
                  <c:v>5/19/2021</c:v>
                </c:pt>
                <c:pt idx="285">
                  <c:v>5/20/2021</c:v>
                </c:pt>
                <c:pt idx="286">
                  <c:v>5/21/2021</c:v>
                </c:pt>
                <c:pt idx="287">
                  <c:v>5/24/2021</c:v>
                </c:pt>
                <c:pt idx="288">
                  <c:v>5/25/2021</c:v>
                </c:pt>
                <c:pt idx="289">
                  <c:v>5/26/2021</c:v>
                </c:pt>
                <c:pt idx="290">
                  <c:v>5/27/2021</c:v>
                </c:pt>
                <c:pt idx="291">
                  <c:v>5/28/2021</c:v>
                </c:pt>
                <c:pt idx="292">
                  <c:v>5/31/2021</c:v>
                </c:pt>
                <c:pt idx="293">
                  <c:v>6/1/2021</c:v>
                </c:pt>
                <c:pt idx="294">
                  <c:v>6/2/2021</c:v>
                </c:pt>
                <c:pt idx="295">
                  <c:v>6/3/2021</c:v>
                </c:pt>
                <c:pt idx="296">
                  <c:v>6/4/2021</c:v>
                </c:pt>
                <c:pt idx="297">
                  <c:v>6/7/2021</c:v>
                </c:pt>
                <c:pt idx="298">
                  <c:v>6/8/2021</c:v>
                </c:pt>
                <c:pt idx="299">
                  <c:v>6/9/2021</c:v>
                </c:pt>
                <c:pt idx="300">
                  <c:v>6/10/2021</c:v>
                </c:pt>
                <c:pt idx="301">
                  <c:v>6/11/2021</c:v>
                </c:pt>
                <c:pt idx="302">
                  <c:v>6/14/2021</c:v>
                </c:pt>
                <c:pt idx="303">
                  <c:v>6/15/2021</c:v>
                </c:pt>
                <c:pt idx="304">
                  <c:v>6/16/2021</c:v>
                </c:pt>
                <c:pt idx="305">
                  <c:v>6/17/2021</c:v>
                </c:pt>
                <c:pt idx="306">
                  <c:v>6/18/2021</c:v>
                </c:pt>
                <c:pt idx="307">
                  <c:v>6/21/2021</c:v>
                </c:pt>
                <c:pt idx="308">
                  <c:v>6/22/2021</c:v>
                </c:pt>
                <c:pt idx="309">
                  <c:v>6/23/2021</c:v>
                </c:pt>
                <c:pt idx="310">
                  <c:v>6/24/2021</c:v>
                </c:pt>
                <c:pt idx="311">
                  <c:v>6/25/2021</c:v>
                </c:pt>
                <c:pt idx="312">
                  <c:v>6/28/2021</c:v>
                </c:pt>
                <c:pt idx="313">
                  <c:v>6/29/2021</c:v>
                </c:pt>
                <c:pt idx="314">
                  <c:v>6/30/2021</c:v>
                </c:pt>
                <c:pt idx="315">
                  <c:v>7/1/2021</c:v>
                </c:pt>
                <c:pt idx="316">
                  <c:v>7/2/2021</c:v>
                </c:pt>
                <c:pt idx="317">
                  <c:v>7/5/2021</c:v>
                </c:pt>
                <c:pt idx="318">
                  <c:v>7/6/2021</c:v>
                </c:pt>
                <c:pt idx="319">
                  <c:v>7/7/2021</c:v>
                </c:pt>
                <c:pt idx="320">
                  <c:v>7/8/2021</c:v>
                </c:pt>
                <c:pt idx="321">
                  <c:v>7/9/2021</c:v>
                </c:pt>
                <c:pt idx="322">
                  <c:v>7/12/2021</c:v>
                </c:pt>
                <c:pt idx="323">
                  <c:v>7/13/2021</c:v>
                </c:pt>
                <c:pt idx="324">
                  <c:v>7/14/2021</c:v>
                </c:pt>
                <c:pt idx="325">
                  <c:v>7/15/2021</c:v>
                </c:pt>
                <c:pt idx="326">
                  <c:v>7/16/2021</c:v>
                </c:pt>
                <c:pt idx="327">
                  <c:v>7/19/2021</c:v>
                </c:pt>
                <c:pt idx="328">
                  <c:v>7/20/2021</c:v>
                </c:pt>
                <c:pt idx="329">
                  <c:v>7/21/2021</c:v>
                </c:pt>
                <c:pt idx="330">
                  <c:v>7/22/2021</c:v>
                </c:pt>
                <c:pt idx="331">
                  <c:v>7/23/2021</c:v>
                </c:pt>
                <c:pt idx="332">
                  <c:v>7/26/2021</c:v>
                </c:pt>
                <c:pt idx="333">
                  <c:v>7/27/2021</c:v>
                </c:pt>
                <c:pt idx="334">
                  <c:v>7/28/2021</c:v>
                </c:pt>
                <c:pt idx="335">
                  <c:v>7/29/2021</c:v>
                </c:pt>
                <c:pt idx="336">
                  <c:v>7/30/2021</c:v>
                </c:pt>
                <c:pt idx="337">
                  <c:v>8/2/2021</c:v>
                </c:pt>
                <c:pt idx="338">
                  <c:v>8/3/2021</c:v>
                </c:pt>
                <c:pt idx="339">
                  <c:v>8/4/2021</c:v>
                </c:pt>
                <c:pt idx="340">
                  <c:v>8/5/2021</c:v>
                </c:pt>
                <c:pt idx="341">
                  <c:v>8/6/2021</c:v>
                </c:pt>
                <c:pt idx="342">
                  <c:v>8/9/2021</c:v>
                </c:pt>
                <c:pt idx="343">
                  <c:v>8/10/2021</c:v>
                </c:pt>
                <c:pt idx="344">
                  <c:v>8/11/2021</c:v>
                </c:pt>
                <c:pt idx="345">
                  <c:v>8/12/2021</c:v>
                </c:pt>
                <c:pt idx="346">
                  <c:v>8/13/2021</c:v>
                </c:pt>
                <c:pt idx="347">
                  <c:v>8/16/2021</c:v>
                </c:pt>
                <c:pt idx="348">
                  <c:v>8/17/2021</c:v>
                </c:pt>
                <c:pt idx="349">
                  <c:v>8/18/2021</c:v>
                </c:pt>
                <c:pt idx="350">
                  <c:v>8/19/2021</c:v>
                </c:pt>
                <c:pt idx="351">
                  <c:v>8/20/2021</c:v>
                </c:pt>
                <c:pt idx="352">
                  <c:v>8/23/2021</c:v>
                </c:pt>
                <c:pt idx="353">
                  <c:v>8/24/2021</c:v>
                </c:pt>
                <c:pt idx="354">
                  <c:v>8/25/2021</c:v>
                </c:pt>
                <c:pt idx="355">
                  <c:v>8/26/2021</c:v>
                </c:pt>
                <c:pt idx="356">
                  <c:v>8/27/2021</c:v>
                </c:pt>
                <c:pt idx="357">
                  <c:v>8/30/2021</c:v>
                </c:pt>
                <c:pt idx="358">
                  <c:v>8/31/2021</c:v>
                </c:pt>
                <c:pt idx="359">
                  <c:v>9/1/2021</c:v>
                </c:pt>
                <c:pt idx="360">
                  <c:v>9/2/2021</c:v>
                </c:pt>
                <c:pt idx="361">
                  <c:v>9/3/2021</c:v>
                </c:pt>
                <c:pt idx="362">
                  <c:v>9/6/2021</c:v>
                </c:pt>
                <c:pt idx="363">
                  <c:v>9/7/2021</c:v>
                </c:pt>
                <c:pt idx="364">
                  <c:v>9/8/2021</c:v>
                </c:pt>
                <c:pt idx="365">
                  <c:v>9/9/2021</c:v>
                </c:pt>
                <c:pt idx="366">
                  <c:v>9/10/2021</c:v>
                </c:pt>
                <c:pt idx="367">
                  <c:v>9/13/2021</c:v>
                </c:pt>
                <c:pt idx="368">
                  <c:v>9/14/2021</c:v>
                </c:pt>
                <c:pt idx="369">
                  <c:v>9/15/2021</c:v>
                </c:pt>
                <c:pt idx="370">
                  <c:v>9/16/2021</c:v>
                </c:pt>
                <c:pt idx="371">
                  <c:v>9/17/2021</c:v>
                </c:pt>
                <c:pt idx="372">
                  <c:v>9/20/2021</c:v>
                </c:pt>
                <c:pt idx="373">
                  <c:v>9/21/2021</c:v>
                </c:pt>
                <c:pt idx="374">
                  <c:v>9/22/2021</c:v>
                </c:pt>
                <c:pt idx="375">
                  <c:v>9/23/2021</c:v>
                </c:pt>
                <c:pt idx="376">
                  <c:v>9/24/2021</c:v>
                </c:pt>
                <c:pt idx="377">
                  <c:v>9/27/2021</c:v>
                </c:pt>
                <c:pt idx="378">
                  <c:v>9/28/2021</c:v>
                </c:pt>
                <c:pt idx="379">
                  <c:v>9/29/2021</c:v>
                </c:pt>
                <c:pt idx="380">
                  <c:v>9/30/2021</c:v>
                </c:pt>
                <c:pt idx="381">
                  <c:v>10/1/2021</c:v>
                </c:pt>
                <c:pt idx="382">
                  <c:v>10/4/2021</c:v>
                </c:pt>
                <c:pt idx="383">
                  <c:v>10/5/2021</c:v>
                </c:pt>
                <c:pt idx="384">
                  <c:v>10/6/2021</c:v>
                </c:pt>
                <c:pt idx="385">
                  <c:v>10/7/2021</c:v>
                </c:pt>
                <c:pt idx="386">
                  <c:v>10/8/2021</c:v>
                </c:pt>
                <c:pt idx="387">
                  <c:v>10/11/2021</c:v>
                </c:pt>
                <c:pt idx="388">
                  <c:v>10/12/2021</c:v>
                </c:pt>
                <c:pt idx="389">
                  <c:v>10/13/2021</c:v>
                </c:pt>
                <c:pt idx="390">
                  <c:v>10/14/2021</c:v>
                </c:pt>
                <c:pt idx="391">
                  <c:v>10/15/2021</c:v>
                </c:pt>
                <c:pt idx="392">
                  <c:v>10/18/2021</c:v>
                </c:pt>
                <c:pt idx="393">
                  <c:v>10/19/2021</c:v>
                </c:pt>
                <c:pt idx="394">
                  <c:v>10/20/2021</c:v>
                </c:pt>
                <c:pt idx="395">
                  <c:v>10/21/2021</c:v>
                </c:pt>
                <c:pt idx="396">
                  <c:v>10/22/2021</c:v>
                </c:pt>
                <c:pt idx="397">
                  <c:v>10/25/2021</c:v>
                </c:pt>
                <c:pt idx="398">
                  <c:v>10/26/2021</c:v>
                </c:pt>
                <c:pt idx="399">
                  <c:v>10/27/2021</c:v>
                </c:pt>
                <c:pt idx="400">
                  <c:v>10/28/2021</c:v>
                </c:pt>
                <c:pt idx="401">
                  <c:v>10/29/2021</c:v>
                </c:pt>
                <c:pt idx="402">
                  <c:v>11/1/2021</c:v>
                </c:pt>
                <c:pt idx="403">
                  <c:v>11/2/2021</c:v>
                </c:pt>
                <c:pt idx="404">
                  <c:v>11/3/2021</c:v>
                </c:pt>
                <c:pt idx="405">
                  <c:v>11/4/2021</c:v>
                </c:pt>
                <c:pt idx="406">
                  <c:v>11/5/2021</c:v>
                </c:pt>
                <c:pt idx="407">
                  <c:v>11/8/2021</c:v>
                </c:pt>
                <c:pt idx="408">
                  <c:v>11/9/2021</c:v>
                </c:pt>
                <c:pt idx="409">
                  <c:v>11/10/2021</c:v>
                </c:pt>
                <c:pt idx="410">
                  <c:v>11/11/2021</c:v>
                </c:pt>
                <c:pt idx="411">
                  <c:v>11/12/2021</c:v>
                </c:pt>
                <c:pt idx="412">
                  <c:v>11/15/2021</c:v>
                </c:pt>
                <c:pt idx="413">
                  <c:v>11/16/2021</c:v>
                </c:pt>
                <c:pt idx="414">
                  <c:v>11/17/2021</c:v>
                </c:pt>
                <c:pt idx="415">
                  <c:v>11/18/2021</c:v>
                </c:pt>
                <c:pt idx="416">
                  <c:v>11/19/2021</c:v>
                </c:pt>
                <c:pt idx="417">
                  <c:v>11/22/2021</c:v>
                </c:pt>
                <c:pt idx="418">
                  <c:v>11/23/2021</c:v>
                </c:pt>
                <c:pt idx="419">
                  <c:v>11/24/2021</c:v>
                </c:pt>
                <c:pt idx="420">
                  <c:v>11/25/2021</c:v>
                </c:pt>
                <c:pt idx="421">
                  <c:v>11/26/2021</c:v>
                </c:pt>
                <c:pt idx="422">
                  <c:v>11/29/2021</c:v>
                </c:pt>
                <c:pt idx="423">
                  <c:v>11/30/2021</c:v>
                </c:pt>
                <c:pt idx="424">
                  <c:v>12/1/2021</c:v>
                </c:pt>
                <c:pt idx="425">
                  <c:v>12/2/2021</c:v>
                </c:pt>
                <c:pt idx="426">
                  <c:v>12/3/2021</c:v>
                </c:pt>
                <c:pt idx="427">
                  <c:v>12/6/2021</c:v>
                </c:pt>
                <c:pt idx="428">
                  <c:v>12/7/2021</c:v>
                </c:pt>
                <c:pt idx="429">
                  <c:v>12/8/2021</c:v>
                </c:pt>
                <c:pt idx="430">
                  <c:v>12/9/2021</c:v>
                </c:pt>
                <c:pt idx="431">
                  <c:v>12/10/2021</c:v>
                </c:pt>
                <c:pt idx="432">
                  <c:v>12/13/2021</c:v>
                </c:pt>
                <c:pt idx="433">
                  <c:v>12/14/2021</c:v>
                </c:pt>
                <c:pt idx="434">
                  <c:v>12/15/2021</c:v>
                </c:pt>
                <c:pt idx="435">
                  <c:v>12/16/2021</c:v>
                </c:pt>
                <c:pt idx="436">
                  <c:v>12/17/2021</c:v>
                </c:pt>
                <c:pt idx="437">
                  <c:v>12/20/2021</c:v>
                </c:pt>
                <c:pt idx="438">
                  <c:v>12/21/2021</c:v>
                </c:pt>
                <c:pt idx="439">
                  <c:v>12/22/2021</c:v>
                </c:pt>
                <c:pt idx="440">
                  <c:v>12/23/2021</c:v>
                </c:pt>
                <c:pt idx="441">
                  <c:v>12/24/2021</c:v>
                </c:pt>
                <c:pt idx="442">
                  <c:v>12/27/2021</c:v>
                </c:pt>
                <c:pt idx="443">
                  <c:v>12/28/2021</c:v>
                </c:pt>
                <c:pt idx="444">
                  <c:v>12/29/2021</c:v>
                </c:pt>
                <c:pt idx="445">
                  <c:v>12/30/2021</c:v>
                </c:pt>
                <c:pt idx="446">
                  <c:v>12/31/2021</c:v>
                </c:pt>
                <c:pt idx="447">
                  <c:v>1/3/2022</c:v>
                </c:pt>
                <c:pt idx="448">
                  <c:v>1/4/2022</c:v>
                </c:pt>
                <c:pt idx="449">
                  <c:v>1/5/2022</c:v>
                </c:pt>
                <c:pt idx="450">
                  <c:v>1/6/2022</c:v>
                </c:pt>
                <c:pt idx="451">
                  <c:v>1/7/2022</c:v>
                </c:pt>
                <c:pt idx="452">
                  <c:v>1/10/2022</c:v>
                </c:pt>
                <c:pt idx="453">
                  <c:v>1/11/2022</c:v>
                </c:pt>
                <c:pt idx="454">
                  <c:v>1/12/2022</c:v>
                </c:pt>
                <c:pt idx="455">
                  <c:v>1/13/2022</c:v>
                </c:pt>
                <c:pt idx="456">
                  <c:v>1/14/2022</c:v>
                </c:pt>
                <c:pt idx="457">
                  <c:v>1/17/2022</c:v>
                </c:pt>
                <c:pt idx="458">
                  <c:v>1/18/2022</c:v>
                </c:pt>
                <c:pt idx="459">
                  <c:v>1/19/2022</c:v>
                </c:pt>
                <c:pt idx="460">
                  <c:v>1/20/2022</c:v>
                </c:pt>
                <c:pt idx="461">
                  <c:v>1/21/2022</c:v>
                </c:pt>
                <c:pt idx="462">
                  <c:v>1/24/2022</c:v>
                </c:pt>
                <c:pt idx="463">
                  <c:v>1/25/2022</c:v>
                </c:pt>
                <c:pt idx="464">
                  <c:v>1/26/2022</c:v>
                </c:pt>
                <c:pt idx="465">
                  <c:v>1/27/2022</c:v>
                </c:pt>
                <c:pt idx="466">
                  <c:v>1/28/2022</c:v>
                </c:pt>
                <c:pt idx="467">
                  <c:v>1/31/2022</c:v>
                </c:pt>
                <c:pt idx="468">
                  <c:v>2/1/2022</c:v>
                </c:pt>
                <c:pt idx="469">
                  <c:v>2/2/2022</c:v>
                </c:pt>
                <c:pt idx="470">
                  <c:v>2/3/2022</c:v>
                </c:pt>
                <c:pt idx="471">
                  <c:v>2/4/2022</c:v>
                </c:pt>
                <c:pt idx="472">
                  <c:v>2/7/2022</c:v>
                </c:pt>
                <c:pt idx="473">
                  <c:v>2/8/2022</c:v>
                </c:pt>
                <c:pt idx="474">
                  <c:v>2/9/2022</c:v>
                </c:pt>
                <c:pt idx="475">
                  <c:v>2/10/2022</c:v>
                </c:pt>
                <c:pt idx="476">
                  <c:v>2/11/2022</c:v>
                </c:pt>
                <c:pt idx="477">
                  <c:v>2/14/2022</c:v>
                </c:pt>
                <c:pt idx="478">
                  <c:v>2/15/2022</c:v>
                </c:pt>
                <c:pt idx="479">
                  <c:v>2/16/2022</c:v>
                </c:pt>
                <c:pt idx="480">
                  <c:v>2/17/2022</c:v>
                </c:pt>
                <c:pt idx="481">
                  <c:v>2/18/2022</c:v>
                </c:pt>
                <c:pt idx="482">
                  <c:v>2/21/2022</c:v>
                </c:pt>
                <c:pt idx="483">
                  <c:v>2/22/2022</c:v>
                </c:pt>
                <c:pt idx="484">
                  <c:v>2/23/2022</c:v>
                </c:pt>
                <c:pt idx="485">
                  <c:v>2/24/2022</c:v>
                </c:pt>
                <c:pt idx="486">
                  <c:v>2/25/2022</c:v>
                </c:pt>
                <c:pt idx="487">
                  <c:v>2/28/2022</c:v>
                </c:pt>
                <c:pt idx="488">
                  <c:v>3/1/2022</c:v>
                </c:pt>
                <c:pt idx="489">
                  <c:v>3/2/2022</c:v>
                </c:pt>
                <c:pt idx="490">
                  <c:v>3/3/2022</c:v>
                </c:pt>
                <c:pt idx="491">
                  <c:v>3/4/2022</c:v>
                </c:pt>
                <c:pt idx="492">
                  <c:v>3/7/2022</c:v>
                </c:pt>
                <c:pt idx="493">
                  <c:v>3/8/2022</c:v>
                </c:pt>
                <c:pt idx="494">
                  <c:v>3/9/2022</c:v>
                </c:pt>
                <c:pt idx="495">
                  <c:v>3/10/2022</c:v>
                </c:pt>
                <c:pt idx="496">
                  <c:v>3/11/2022</c:v>
                </c:pt>
                <c:pt idx="497">
                  <c:v>3/14/2022</c:v>
                </c:pt>
                <c:pt idx="498">
                  <c:v>3/15/2022</c:v>
                </c:pt>
                <c:pt idx="499">
                  <c:v>3/16/2022</c:v>
                </c:pt>
                <c:pt idx="500">
                  <c:v>3/17/2022</c:v>
                </c:pt>
                <c:pt idx="501">
                  <c:v>3/18/2022</c:v>
                </c:pt>
                <c:pt idx="502">
                  <c:v>3/21/2022</c:v>
                </c:pt>
                <c:pt idx="503">
                  <c:v>3/22/2022</c:v>
                </c:pt>
                <c:pt idx="504">
                  <c:v>3/23/2022</c:v>
                </c:pt>
                <c:pt idx="505">
                  <c:v>3/24/2022</c:v>
                </c:pt>
                <c:pt idx="506">
                  <c:v>3/25/2022</c:v>
                </c:pt>
                <c:pt idx="507">
                  <c:v>3/28/2022</c:v>
                </c:pt>
                <c:pt idx="508">
                  <c:v>3/29/2022</c:v>
                </c:pt>
                <c:pt idx="509">
                  <c:v>3/30/2022</c:v>
                </c:pt>
                <c:pt idx="510">
                  <c:v>3/31/2022</c:v>
                </c:pt>
                <c:pt idx="511">
                  <c:v>4/1/2022</c:v>
                </c:pt>
                <c:pt idx="512">
                  <c:v>4/4/2022</c:v>
                </c:pt>
                <c:pt idx="513">
                  <c:v>4/5/2022</c:v>
                </c:pt>
                <c:pt idx="514">
                  <c:v>4/6/2022</c:v>
                </c:pt>
                <c:pt idx="515">
                  <c:v>4/7/2022</c:v>
                </c:pt>
                <c:pt idx="516">
                  <c:v>4/8/2022</c:v>
                </c:pt>
                <c:pt idx="517">
                  <c:v>4/11/2022</c:v>
                </c:pt>
                <c:pt idx="518">
                  <c:v>4/12/2022</c:v>
                </c:pt>
                <c:pt idx="519">
                  <c:v>4/13/2022</c:v>
                </c:pt>
                <c:pt idx="520">
                  <c:v>4/14/2022</c:v>
                </c:pt>
                <c:pt idx="521">
                  <c:v>4/18/2022</c:v>
                </c:pt>
                <c:pt idx="522">
                  <c:v>4/19/2022</c:v>
                </c:pt>
                <c:pt idx="523">
                  <c:v>4/20/2022</c:v>
                </c:pt>
                <c:pt idx="524">
                  <c:v>4/21/2022</c:v>
                </c:pt>
                <c:pt idx="525">
                  <c:v>4/22/2022</c:v>
                </c:pt>
                <c:pt idx="526">
                  <c:v>4/25/2022</c:v>
                </c:pt>
                <c:pt idx="527">
                  <c:v>4/26/2022</c:v>
                </c:pt>
                <c:pt idx="528">
                  <c:v>4/27/2022</c:v>
                </c:pt>
                <c:pt idx="529">
                  <c:v>4/28/2022</c:v>
                </c:pt>
                <c:pt idx="530">
                  <c:v>4/29/2022</c:v>
                </c:pt>
                <c:pt idx="531">
                  <c:v>5/2/2022</c:v>
                </c:pt>
                <c:pt idx="532">
                  <c:v>5/3/2022</c:v>
                </c:pt>
                <c:pt idx="533">
                  <c:v>5/4/2022</c:v>
                </c:pt>
                <c:pt idx="534">
                  <c:v>5/5/2022</c:v>
                </c:pt>
                <c:pt idx="535">
                  <c:v>5/6/2022</c:v>
                </c:pt>
                <c:pt idx="536">
                  <c:v>5/9/2022</c:v>
                </c:pt>
                <c:pt idx="537">
                  <c:v>5/10/2022</c:v>
                </c:pt>
                <c:pt idx="538">
                  <c:v>5/11/2022</c:v>
                </c:pt>
                <c:pt idx="539">
                  <c:v>5/12/2022</c:v>
                </c:pt>
                <c:pt idx="540">
                  <c:v>5/13/2022</c:v>
                </c:pt>
                <c:pt idx="541">
                  <c:v>5/16/2022</c:v>
                </c:pt>
                <c:pt idx="542">
                  <c:v>5/17/2022</c:v>
                </c:pt>
                <c:pt idx="543">
                  <c:v>5/18/2022</c:v>
                </c:pt>
                <c:pt idx="544">
                  <c:v>5/19/2022</c:v>
                </c:pt>
                <c:pt idx="545">
                  <c:v>5/20/2022</c:v>
                </c:pt>
                <c:pt idx="546">
                  <c:v>5/23/2022</c:v>
                </c:pt>
                <c:pt idx="547">
                  <c:v>5/24/2022</c:v>
                </c:pt>
                <c:pt idx="548">
                  <c:v>5/25/2022</c:v>
                </c:pt>
              </c:strCache>
            </c:strRef>
          </c:cat>
          <c:val>
            <c:numRef>
              <c:f>'Crude to Gas Correlation '!$U$3:$U$552</c:f>
              <c:numCache>
                <c:formatCode>"$"#,##0.00</c:formatCode>
                <c:ptCount val="549"/>
                <c:pt idx="0">
                  <c:v>0.49469999999999997</c:v>
                </c:pt>
                <c:pt idx="1">
                  <c:v>0.51049999999999995</c:v>
                </c:pt>
                <c:pt idx="2">
                  <c:v>0.60540000000000005</c:v>
                </c:pt>
                <c:pt idx="3">
                  <c:v>0.59799999999999998</c:v>
                </c:pt>
                <c:pt idx="4">
                  <c:v>0.61360000000000003</c:v>
                </c:pt>
                <c:pt idx="5">
                  <c:v>0.61680000000000001</c:v>
                </c:pt>
                <c:pt idx="6">
                  <c:v>0.5927</c:v>
                </c:pt>
                <c:pt idx="7">
                  <c:v>0.54649999999999999</c:v>
                </c:pt>
                <c:pt idx="8">
                  <c:v>0.66279999999999994</c:v>
                </c:pt>
                <c:pt idx="9">
                  <c:v>0.69159999999999999</c:v>
                </c:pt>
                <c:pt idx="10">
                  <c:v>0.7016</c:v>
                </c:pt>
                <c:pt idx="11">
                  <c:v>0.6482</c:v>
                </c:pt>
                <c:pt idx="12">
                  <c:v>0.67800000000000005</c:v>
                </c:pt>
                <c:pt idx="13">
                  <c:v>0.67730000000000001</c:v>
                </c:pt>
                <c:pt idx="14">
                  <c:v>0.70330000000000004</c:v>
                </c:pt>
                <c:pt idx="15">
                  <c:v>0.72</c:v>
                </c:pt>
                <c:pt idx="16">
                  <c:v>0.72040000000000004</c:v>
                </c:pt>
                <c:pt idx="17">
                  <c:v>0.75690000000000002</c:v>
                </c:pt>
                <c:pt idx="18">
                  <c:v>0.76459999999999995</c:v>
                </c:pt>
                <c:pt idx="19">
                  <c:v>0.72550000000000003</c:v>
                </c:pt>
                <c:pt idx="20">
                  <c:v>0.62529999999999997</c:v>
                </c:pt>
                <c:pt idx="21">
                  <c:v>0.6875</c:v>
                </c:pt>
                <c:pt idx="22">
                  <c:v>0.68210000000000004</c:v>
                </c:pt>
                <c:pt idx="23">
                  <c:v>0.70009999999999994</c:v>
                </c:pt>
                <c:pt idx="24">
                  <c:v>0.68489999999999995</c:v>
                </c:pt>
                <c:pt idx="25">
                  <c:v>0.70399999999999996</c:v>
                </c:pt>
                <c:pt idx="26">
                  <c:v>0.72719999999999996</c:v>
                </c:pt>
                <c:pt idx="27">
                  <c:v>0.78369999999999995</c:v>
                </c:pt>
                <c:pt idx="28">
                  <c:v>0.76629999999999998</c:v>
                </c:pt>
                <c:pt idx="29">
                  <c:v>0.82150000000000001</c:v>
                </c:pt>
                <c:pt idx="30">
                  <c:v>0.90129999999999999</c:v>
                </c:pt>
                <c:pt idx="31">
                  <c:v>0.87690000000000001</c:v>
                </c:pt>
                <c:pt idx="32">
                  <c:v>0.93140000000000001</c:v>
                </c:pt>
                <c:pt idx="33">
                  <c:v>0.95220000000000005</c:v>
                </c:pt>
                <c:pt idx="34">
                  <c:v>0.92420000000000002</c:v>
                </c:pt>
                <c:pt idx="35">
                  <c:v>0.93630000000000002</c:v>
                </c:pt>
                <c:pt idx="36">
                  <c:v>0.88180000000000003</c:v>
                </c:pt>
                <c:pt idx="37">
                  <c:v>0.93689999999999996</c:v>
                </c:pt>
                <c:pt idx="38">
                  <c:v>0.98380000000000001</c:v>
                </c:pt>
                <c:pt idx="39">
                  <c:v>1.0426</c:v>
                </c:pt>
                <c:pt idx="40">
                  <c:v>1.0549999999999999</c:v>
                </c:pt>
                <c:pt idx="41">
                  <c:v>1.0438000000000001</c:v>
                </c:pt>
                <c:pt idx="42">
                  <c:v>1.0618000000000001</c:v>
                </c:pt>
                <c:pt idx="43">
                  <c:v>1.0518000000000001</c:v>
                </c:pt>
                <c:pt idx="44">
                  <c:v>1.0648</c:v>
                </c:pt>
                <c:pt idx="45">
                  <c:v>1.0177</c:v>
                </c:pt>
                <c:pt idx="46">
                  <c:v>1.026</c:v>
                </c:pt>
                <c:pt idx="47">
                  <c:v>1.0785</c:v>
                </c:pt>
                <c:pt idx="48">
                  <c:v>1.0667</c:v>
                </c:pt>
                <c:pt idx="49">
                  <c:v>1.1183000000000001</c:v>
                </c:pt>
                <c:pt idx="50">
                  <c:v>1.1193</c:v>
                </c:pt>
                <c:pt idx="51">
                  <c:v>1.149</c:v>
                </c:pt>
                <c:pt idx="52">
                  <c:v>1.2136</c:v>
                </c:pt>
                <c:pt idx="53">
                  <c:v>1.1950000000000001</c:v>
                </c:pt>
                <c:pt idx="54">
                  <c:v>1.2102999999999999</c:v>
                </c:pt>
                <c:pt idx="55">
                  <c:v>1.2099</c:v>
                </c:pt>
                <c:pt idx="56">
                  <c:v>1.1188</c:v>
                </c:pt>
                <c:pt idx="57">
                  <c:v>1.1367</c:v>
                </c:pt>
                <c:pt idx="58">
                  <c:v>1.1732</c:v>
                </c:pt>
                <c:pt idx="59">
                  <c:v>1.2149000000000001</c:v>
                </c:pt>
                <c:pt idx="60">
                  <c:v>1.2219</c:v>
                </c:pt>
                <c:pt idx="61">
                  <c:v>1.2575000000000001</c:v>
                </c:pt>
                <c:pt idx="62">
                  <c:v>1.2709999999999999</c:v>
                </c:pt>
                <c:pt idx="63">
                  <c:v>1.2904</c:v>
                </c:pt>
                <c:pt idx="64">
                  <c:v>1.2983</c:v>
                </c:pt>
                <c:pt idx="65">
                  <c:v>1.1992</c:v>
                </c:pt>
                <c:pt idx="66">
                  <c:v>1.1972</c:v>
                </c:pt>
                <c:pt idx="67">
                  <c:v>1.1569</c:v>
                </c:pt>
                <c:pt idx="68">
                  <c:v>1.1878</c:v>
                </c:pt>
                <c:pt idx="69">
                  <c:v>1.2015</c:v>
                </c:pt>
                <c:pt idx="70">
                  <c:v>1.2169000000000001</c:v>
                </c:pt>
                <c:pt idx="71">
                  <c:v>1.2592000000000001</c:v>
                </c:pt>
                <c:pt idx="72">
                  <c:v>1.2407999999999999</c:v>
                </c:pt>
                <c:pt idx="73">
                  <c:v>1.2749999999999999</c:v>
                </c:pt>
                <c:pt idx="74">
                  <c:v>1.2908999999999999</c:v>
                </c:pt>
                <c:pt idx="75">
                  <c:v>1.2504999999999999</c:v>
                </c:pt>
                <c:pt idx="76">
                  <c:v>1.2830999999999999</c:v>
                </c:pt>
                <c:pt idx="77">
                  <c:v>1.2471000000000001</c:v>
                </c:pt>
                <c:pt idx="78">
                  <c:v>1.2262</c:v>
                </c:pt>
                <c:pt idx="79">
                  <c:v>1.2427999999999999</c:v>
                </c:pt>
                <c:pt idx="80">
                  <c:v>1.2157</c:v>
                </c:pt>
                <c:pt idx="81">
                  <c:v>1.2061999999999999</c:v>
                </c:pt>
                <c:pt idx="82">
                  <c:v>1.2131000000000001</c:v>
                </c:pt>
                <c:pt idx="83">
                  <c:v>1.2604</c:v>
                </c:pt>
                <c:pt idx="84">
                  <c:v>1.2603</c:v>
                </c:pt>
                <c:pt idx="85">
                  <c:v>1.2363</c:v>
                </c:pt>
                <c:pt idx="86">
                  <c:v>1.256</c:v>
                </c:pt>
                <c:pt idx="87">
                  <c:v>1.2446999999999999</c:v>
                </c:pt>
                <c:pt idx="88">
                  <c:v>1.2352000000000001</c:v>
                </c:pt>
                <c:pt idx="89">
                  <c:v>1.2132000000000001</c:v>
                </c:pt>
                <c:pt idx="90">
                  <c:v>1.1908000000000001</c:v>
                </c:pt>
                <c:pt idx="91">
                  <c:v>1.1711</c:v>
                </c:pt>
                <c:pt idx="92">
                  <c:v>1.2131000000000001</c:v>
                </c:pt>
                <c:pt idx="93">
                  <c:v>1.2142999999999999</c:v>
                </c:pt>
                <c:pt idx="94">
                  <c:v>1.2228000000000001</c:v>
                </c:pt>
                <c:pt idx="95">
                  <c:v>1.2281</c:v>
                </c:pt>
                <c:pt idx="96">
                  <c:v>1.2076</c:v>
                </c:pt>
                <c:pt idx="97">
                  <c:v>1.2293000000000001</c:v>
                </c:pt>
                <c:pt idx="98">
                  <c:v>1.2044999999999999</c:v>
                </c:pt>
                <c:pt idx="99">
                  <c:v>1.1858</c:v>
                </c:pt>
                <c:pt idx="100">
                  <c:v>1.1789000000000001</c:v>
                </c:pt>
                <c:pt idx="101">
                  <c:v>1.1879999999999999</c:v>
                </c:pt>
                <c:pt idx="102">
                  <c:v>1.2134</c:v>
                </c:pt>
                <c:pt idx="103">
                  <c:v>1.2249000000000001</c:v>
                </c:pt>
                <c:pt idx="104">
                  <c:v>1.2284999999999999</c:v>
                </c:pt>
                <c:pt idx="105">
                  <c:v>1.2263999999999999</c:v>
                </c:pt>
                <c:pt idx="106">
                  <c:v>1.2130000000000001</c:v>
                </c:pt>
                <c:pt idx="107">
                  <c:v>1.2598</c:v>
                </c:pt>
                <c:pt idx="108">
                  <c:v>1.2685</c:v>
                </c:pt>
                <c:pt idx="109">
                  <c:v>1.2634000000000001</c:v>
                </c:pt>
                <c:pt idx="110">
                  <c:v>1.2181999999999999</c:v>
                </c:pt>
                <c:pt idx="111">
                  <c:v>1.2464999999999999</c:v>
                </c:pt>
                <c:pt idx="112">
                  <c:v>1.2137</c:v>
                </c:pt>
                <c:pt idx="113">
                  <c:v>1.2246999999999999</c:v>
                </c:pt>
                <c:pt idx="114">
                  <c:v>1.202</c:v>
                </c:pt>
                <c:pt idx="115">
                  <c:v>1.2049000000000001</c:v>
                </c:pt>
                <c:pt idx="116">
                  <c:v>1.1772</c:v>
                </c:pt>
                <c:pt idx="117">
                  <c:v>1.1028</c:v>
                </c:pt>
                <c:pt idx="118">
                  <c:v>1.1193</c:v>
                </c:pt>
                <c:pt idx="119">
                  <c:v>1.0976999999999999</c:v>
                </c:pt>
                <c:pt idx="120">
                  <c:v>1.0949</c:v>
                </c:pt>
                <c:pt idx="121">
                  <c:v>1.0922000000000001</c:v>
                </c:pt>
                <c:pt idx="122">
                  <c:v>1.1198999999999999</c:v>
                </c:pt>
                <c:pt idx="123">
                  <c:v>1.1694</c:v>
                </c:pt>
                <c:pt idx="124">
                  <c:v>1.2017</c:v>
                </c:pt>
                <c:pt idx="125">
                  <c:v>1.2097</c:v>
                </c:pt>
                <c:pt idx="126">
                  <c:v>1.1544000000000001</c:v>
                </c:pt>
                <c:pt idx="127">
                  <c:v>1.1437999999999999</c:v>
                </c:pt>
                <c:pt idx="128">
                  <c:v>1.1577999999999999</c:v>
                </c:pt>
                <c:pt idx="129">
                  <c:v>1.1732</c:v>
                </c:pt>
                <c:pt idx="130">
                  <c:v>1.1898</c:v>
                </c:pt>
                <c:pt idx="131">
                  <c:v>1.2132000000000001</c:v>
                </c:pt>
                <c:pt idx="132">
                  <c:v>1.1711</c:v>
                </c:pt>
                <c:pt idx="133">
                  <c:v>1.1816</c:v>
                </c:pt>
                <c:pt idx="134">
                  <c:v>1.1524000000000001</c:v>
                </c:pt>
                <c:pt idx="135">
                  <c:v>1.1234999999999999</c:v>
                </c:pt>
                <c:pt idx="136">
                  <c:v>1.1940999999999999</c:v>
                </c:pt>
                <c:pt idx="137">
                  <c:v>1.2351000000000001</c:v>
                </c:pt>
                <c:pt idx="138">
                  <c:v>1.2009000000000001</c:v>
                </c:pt>
                <c:pt idx="139">
                  <c:v>1.2316</c:v>
                </c:pt>
                <c:pt idx="140">
                  <c:v>1.2032</c:v>
                </c:pt>
                <c:pt idx="141">
                  <c:v>1.1757</c:v>
                </c:pt>
                <c:pt idx="142">
                  <c:v>1.1633</c:v>
                </c:pt>
                <c:pt idx="143">
                  <c:v>1.1795</c:v>
                </c:pt>
                <c:pt idx="144">
                  <c:v>1.1637</c:v>
                </c:pt>
                <c:pt idx="145">
                  <c:v>1.1535</c:v>
                </c:pt>
                <c:pt idx="146">
                  <c:v>1.1485000000000001</c:v>
                </c:pt>
                <c:pt idx="147">
                  <c:v>1.1725000000000001</c:v>
                </c:pt>
                <c:pt idx="148">
                  <c:v>1.1271</c:v>
                </c:pt>
                <c:pt idx="149">
                  <c:v>1.1452</c:v>
                </c:pt>
                <c:pt idx="150">
                  <c:v>1.127</c:v>
                </c:pt>
                <c:pt idx="151">
                  <c:v>1.0969</c:v>
                </c:pt>
                <c:pt idx="152">
                  <c:v>1.1288</c:v>
                </c:pt>
                <c:pt idx="153">
                  <c:v>1.0636000000000001</c:v>
                </c:pt>
                <c:pt idx="154">
                  <c:v>1.028</c:v>
                </c:pt>
                <c:pt idx="155">
                  <c:v>1.0322</c:v>
                </c:pt>
                <c:pt idx="156">
                  <c:v>1.052</c:v>
                </c:pt>
                <c:pt idx="157">
                  <c:v>1.0769</c:v>
                </c:pt>
                <c:pt idx="158">
                  <c:v>1.1081000000000001</c:v>
                </c:pt>
                <c:pt idx="159">
                  <c:v>1.1158999999999999</c:v>
                </c:pt>
                <c:pt idx="160">
                  <c:v>1.0844</c:v>
                </c:pt>
                <c:pt idx="161">
                  <c:v>1.1607000000000001</c:v>
                </c:pt>
                <c:pt idx="162">
                  <c:v>1.1940999999999999</c:v>
                </c:pt>
                <c:pt idx="163">
                  <c:v>1.1758999999999999</c:v>
                </c:pt>
                <c:pt idx="164">
                  <c:v>1.1557999999999999</c:v>
                </c:pt>
                <c:pt idx="165">
                  <c:v>1.125</c:v>
                </c:pt>
                <c:pt idx="166">
                  <c:v>1.147</c:v>
                </c:pt>
                <c:pt idx="167">
                  <c:v>1.1528</c:v>
                </c:pt>
                <c:pt idx="168">
                  <c:v>1.1626000000000001</c:v>
                </c:pt>
                <c:pt idx="169">
                  <c:v>1.1596</c:v>
                </c:pt>
                <c:pt idx="170">
                  <c:v>1.1702999999999999</c:v>
                </c:pt>
                <c:pt idx="171">
                  <c:v>1.1971000000000001</c:v>
                </c:pt>
                <c:pt idx="172">
                  <c:v>1.2509999999999999</c:v>
                </c:pt>
                <c:pt idx="173">
                  <c:v>1.2709999999999999</c:v>
                </c:pt>
                <c:pt idx="174">
                  <c:v>1.266</c:v>
                </c:pt>
                <c:pt idx="175">
                  <c:v>1.2416</c:v>
                </c:pt>
                <c:pt idx="176">
                  <c:v>1.2203999999999999</c:v>
                </c:pt>
                <c:pt idx="177">
                  <c:v>1.2399</c:v>
                </c:pt>
                <c:pt idx="178">
                  <c:v>1.2617</c:v>
                </c:pt>
                <c:pt idx="179">
                  <c:v>1.2685</c:v>
                </c:pt>
                <c:pt idx="180">
                  <c:v>1.2558</c:v>
                </c:pt>
                <c:pt idx="181">
                  <c:v>1.2559</c:v>
                </c:pt>
                <c:pt idx="182">
                  <c:v>1.2759</c:v>
                </c:pt>
                <c:pt idx="183">
                  <c:v>1.3166</c:v>
                </c:pt>
                <c:pt idx="184">
                  <c:v>1.3077000000000001</c:v>
                </c:pt>
                <c:pt idx="185">
                  <c:v>1.3190999999999999</c:v>
                </c:pt>
                <c:pt idx="186">
                  <c:v>1.3268</c:v>
                </c:pt>
                <c:pt idx="187">
                  <c:v>1.3514999999999999</c:v>
                </c:pt>
                <c:pt idx="188">
                  <c:v>1.3816999999999999</c:v>
                </c:pt>
                <c:pt idx="189">
                  <c:v>1.391</c:v>
                </c:pt>
                <c:pt idx="190">
                  <c:v>1.3548</c:v>
                </c:pt>
                <c:pt idx="191">
                  <c:v>1.3354999999999999</c:v>
                </c:pt>
                <c:pt idx="192">
                  <c:v>1.3762000000000001</c:v>
                </c:pt>
                <c:pt idx="193">
                  <c:v>1.3722000000000001</c:v>
                </c:pt>
                <c:pt idx="194">
                  <c:v>1.3607</c:v>
                </c:pt>
                <c:pt idx="195">
                  <c:v>1.3783000000000001</c:v>
                </c:pt>
                <c:pt idx="196">
                  <c:v>1.4013</c:v>
                </c:pt>
                <c:pt idx="197">
                  <c:v>1.4100999999999999</c:v>
                </c:pt>
                <c:pt idx="198">
                  <c:v>1.3729</c:v>
                </c:pt>
                <c:pt idx="199">
                  <c:v>1.4520999999999999</c:v>
                </c:pt>
                <c:pt idx="200">
                  <c:v>1.4750000000000001</c:v>
                </c:pt>
                <c:pt idx="201">
                  <c:v>1.4826999999999999</c:v>
                </c:pt>
                <c:pt idx="202">
                  <c:v>1.5423</c:v>
                </c:pt>
                <c:pt idx="203">
                  <c:v>1.5207999999999999</c:v>
                </c:pt>
                <c:pt idx="204">
                  <c:v>1.5518000000000001</c:v>
                </c:pt>
                <c:pt idx="205">
                  <c:v>1.5467</c:v>
                </c:pt>
                <c:pt idx="206">
                  <c:v>1.5538000000000001</c:v>
                </c:pt>
                <c:pt idx="207">
                  <c:v>1.5277000000000001</c:v>
                </c:pt>
                <c:pt idx="208">
                  <c:v>1.5379</c:v>
                </c:pt>
                <c:pt idx="209">
                  <c:v>1.5437000000000001</c:v>
                </c:pt>
                <c:pt idx="210">
                  <c:v>1.5471999999999999</c:v>
                </c:pt>
                <c:pt idx="211">
                  <c:v>1.5449999999999999</c:v>
                </c:pt>
                <c:pt idx="212">
                  <c:v>1.5579000000000001</c:v>
                </c:pt>
                <c:pt idx="213">
                  <c:v>1.5748</c:v>
                </c:pt>
                <c:pt idx="214">
                  <c:v>1.5716000000000001</c:v>
                </c:pt>
                <c:pt idx="215">
                  <c:v>1.5753999999999999</c:v>
                </c:pt>
                <c:pt idx="216">
                  <c:v>1.5527</c:v>
                </c:pt>
                <c:pt idx="217">
                  <c:v>1.5901000000000001</c:v>
                </c:pt>
                <c:pt idx="218">
                  <c:v>1.6160000000000001</c:v>
                </c:pt>
                <c:pt idx="219">
                  <c:v>1.6486000000000001</c:v>
                </c:pt>
                <c:pt idx="220">
                  <c:v>1.6448</c:v>
                </c:pt>
                <c:pt idx="221">
                  <c:v>1.6493</c:v>
                </c:pt>
                <c:pt idx="222">
                  <c:v>1.6748000000000001</c:v>
                </c:pt>
                <c:pt idx="223">
                  <c:v>1.6736</c:v>
                </c:pt>
                <c:pt idx="224">
                  <c:v>1.7841</c:v>
                </c:pt>
                <c:pt idx="225">
                  <c:v>1.7786</c:v>
                </c:pt>
                <c:pt idx="226">
                  <c:v>1.8139000000000001</c:v>
                </c:pt>
                <c:pt idx="227">
                  <c:v>1.8636999999999999</c:v>
                </c:pt>
                <c:pt idx="228">
                  <c:v>1.8937999999999999</c:v>
                </c:pt>
                <c:pt idx="229">
                  <c:v>1.8872</c:v>
                </c:pt>
                <c:pt idx="230">
                  <c:v>1.8889</c:v>
                </c:pt>
                <c:pt idx="231">
                  <c:v>1.9309000000000001</c:v>
                </c:pt>
                <c:pt idx="232">
                  <c:v>1.9424999999999999</c:v>
                </c:pt>
                <c:pt idx="233">
                  <c:v>1.9777</c:v>
                </c:pt>
                <c:pt idx="234">
                  <c:v>1.9763999999999999</c:v>
                </c:pt>
                <c:pt idx="235">
                  <c:v>1.9504999999999999</c:v>
                </c:pt>
                <c:pt idx="236">
                  <c:v>1.9429000000000001</c:v>
                </c:pt>
                <c:pt idx="237">
                  <c:v>1.9363999999999999</c:v>
                </c:pt>
                <c:pt idx="238">
                  <c:v>1.9518</c:v>
                </c:pt>
                <c:pt idx="239">
                  <c:v>1.9979</c:v>
                </c:pt>
                <c:pt idx="240">
                  <c:v>2.0647000000000002</c:v>
                </c:pt>
                <c:pt idx="241">
                  <c:v>2.0487000000000002</c:v>
                </c:pt>
                <c:pt idx="242">
                  <c:v>2.0501999999999998</c:v>
                </c:pt>
                <c:pt idx="243">
                  <c:v>2.0747</c:v>
                </c:pt>
                <c:pt idx="244">
                  <c:v>2.1273</c:v>
                </c:pt>
                <c:pt idx="245">
                  <c:v>2.1347999999999998</c:v>
                </c:pt>
                <c:pt idx="246">
                  <c:v>2.0994000000000002</c:v>
                </c:pt>
                <c:pt idx="247">
                  <c:v>2.0956999999999999</c:v>
                </c:pt>
                <c:pt idx="248">
                  <c:v>2.0474999999999999</c:v>
                </c:pt>
                <c:pt idx="249">
                  <c:v>1.9407000000000001</c:v>
                </c:pt>
                <c:pt idx="250">
                  <c:v>1.9437</c:v>
                </c:pt>
                <c:pt idx="251">
                  <c:v>1.9583999999999999</c:v>
                </c:pt>
                <c:pt idx="252">
                  <c:v>1.8958999999999999</c:v>
                </c:pt>
                <c:pt idx="253">
                  <c:v>1.9875</c:v>
                </c:pt>
                <c:pt idx="254">
                  <c:v>1.9196</c:v>
                </c:pt>
                <c:pt idx="255">
                  <c:v>1.9709000000000001</c:v>
                </c:pt>
                <c:pt idx="256">
                  <c:v>2.0009000000000001</c:v>
                </c:pt>
                <c:pt idx="257">
                  <c:v>1.9964</c:v>
                </c:pt>
                <c:pt idx="258">
                  <c:v>1.9597</c:v>
                </c:pt>
                <c:pt idx="259">
                  <c:v>2.0223</c:v>
                </c:pt>
                <c:pt idx="260">
                  <c:v>1.9611000000000001</c:v>
                </c:pt>
                <c:pt idx="261">
                  <c:v>1.9662999999999999</c:v>
                </c:pt>
                <c:pt idx="262">
                  <c:v>1.9518</c:v>
                </c:pt>
                <c:pt idx="263">
                  <c:v>1.9593</c:v>
                </c:pt>
                <c:pt idx="264">
                  <c:v>1.9621</c:v>
                </c:pt>
                <c:pt idx="265">
                  <c:v>1.97</c:v>
                </c:pt>
                <c:pt idx="266">
                  <c:v>1.9757</c:v>
                </c:pt>
                <c:pt idx="267">
                  <c:v>2.0409000000000002</c:v>
                </c:pt>
                <c:pt idx="268">
                  <c:v>2.0526</c:v>
                </c:pt>
                <c:pt idx="269">
                  <c:v>2.0426000000000002</c:v>
                </c:pt>
                <c:pt idx="270">
                  <c:v>2.0463</c:v>
                </c:pt>
                <c:pt idx="271">
                  <c:v>2.0209000000000001</c:v>
                </c:pt>
                <c:pt idx="272">
                  <c:v>1.9881</c:v>
                </c:pt>
                <c:pt idx="273">
                  <c:v>1.9811000000000001</c:v>
                </c:pt>
                <c:pt idx="274">
                  <c:v>2.0051000000000001</c:v>
                </c:pt>
                <c:pt idx="275">
                  <c:v>1.9902</c:v>
                </c:pt>
                <c:pt idx="276">
                  <c:v>2.0287999999999999</c:v>
                </c:pt>
                <c:pt idx="277">
                  <c:v>2.0743</c:v>
                </c:pt>
                <c:pt idx="278">
                  <c:v>2.0988000000000002</c:v>
                </c:pt>
                <c:pt idx="279">
                  <c:v>2.0762999999999998</c:v>
                </c:pt>
                <c:pt idx="280">
                  <c:v>2.1015000000000001</c:v>
                </c:pt>
                <c:pt idx="281">
                  <c:v>2.1511999999999998</c:v>
                </c:pt>
                <c:pt idx="282">
                  <c:v>2.1513</c:v>
                </c:pt>
                <c:pt idx="283">
                  <c:v>2.1137000000000001</c:v>
                </c:pt>
                <c:pt idx="284">
                  <c:v>2.1269</c:v>
                </c:pt>
                <c:pt idx="285">
                  <c:v>2.1334</c:v>
                </c:pt>
                <c:pt idx="286">
                  <c:v>2.1398999999999999</c:v>
                </c:pt>
                <c:pt idx="287">
                  <c:v>2.161</c:v>
                </c:pt>
                <c:pt idx="288">
                  <c:v>2.093</c:v>
                </c:pt>
                <c:pt idx="289">
                  <c:v>2.1223999999999998</c:v>
                </c:pt>
                <c:pt idx="290">
                  <c:v>2.1536</c:v>
                </c:pt>
                <c:pt idx="291">
                  <c:v>2.1554000000000002</c:v>
                </c:pt>
                <c:pt idx="292">
                  <c:v>2.0979000000000001</c:v>
                </c:pt>
                <c:pt idx="293">
                  <c:v>2.0461999999999998</c:v>
                </c:pt>
                <c:pt idx="294">
                  <c:v>2.0709</c:v>
                </c:pt>
                <c:pt idx="295">
                  <c:v>2.1217000000000001</c:v>
                </c:pt>
                <c:pt idx="296">
                  <c:v>2.1229</c:v>
                </c:pt>
                <c:pt idx="297">
                  <c:v>2.1511999999999998</c:v>
                </c:pt>
                <c:pt idx="298">
                  <c:v>2.1551999999999998</c:v>
                </c:pt>
                <c:pt idx="299">
                  <c:v>2.1368999999999998</c:v>
                </c:pt>
                <c:pt idx="300">
                  <c:v>2.1703999999999999</c:v>
                </c:pt>
                <c:pt idx="301">
                  <c:v>2.1941000000000002</c:v>
                </c:pt>
                <c:pt idx="302">
                  <c:v>2.2018</c:v>
                </c:pt>
                <c:pt idx="303">
                  <c:v>2.2115</c:v>
                </c:pt>
                <c:pt idx="304">
                  <c:v>2.1930999999999998</c:v>
                </c:pt>
                <c:pt idx="305">
                  <c:v>2.2189999999999999</c:v>
                </c:pt>
                <c:pt idx="306">
                  <c:v>2.2025000000000001</c:v>
                </c:pt>
                <c:pt idx="307">
                  <c:v>2.2122000000000002</c:v>
                </c:pt>
                <c:pt idx="308">
                  <c:v>2.1861000000000002</c:v>
                </c:pt>
                <c:pt idx="309">
                  <c:v>2.173</c:v>
                </c:pt>
                <c:pt idx="310">
                  <c:v>2.1728999999999998</c:v>
                </c:pt>
                <c:pt idx="311">
                  <c:v>2.16</c:v>
                </c:pt>
                <c:pt idx="312">
                  <c:v>2.1387999999999998</c:v>
                </c:pt>
                <c:pt idx="313">
                  <c:v>2.1739999999999999</c:v>
                </c:pt>
                <c:pt idx="314">
                  <c:v>2.2031000000000001</c:v>
                </c:pt>
                <c:pt idx="315">
                  <c:v>2.2301000000000002</c:v>
                </c:pt>
                <c:pt idx="316">
                  <c:v>2.2698999999999998</c:v>
                </c:pt>
                <c:pt idx="317">
                  <c:v>2.2799999999999998</c:v>
                </c:pt>
                <c:pt idx="318">
                  <c:v>2.2612000000000001</c:v>
                </c:pt>
                <c:pt idx="319">
                  <c:v>2.2176999999999998</c:v>
                </c:pt>
                <c:pt idx="320">
                  <c:v>2.2414999999999998</c:v>
                </c:pt>
                <c:pt idx="321">
                  <c:v>2.2418</c:v>
                </c:pt>
                <c:pt idx="322">
                  <c:v>2.2675999999999998</c:v>
                </c:pt>
                <c:pt idx="323">
                  <c:v>2.2997999999999998</c:v>
                </c:pt>
                <c:pt idx="324">
                  <c:v>2.2282000000000002</c:v>
                </c:pt>
                <c:pt idx="325">
                  <c:v>2.206</c:v>
                </c:pt>
                <c:pt idx="326">
                  <c:v>2.2551999999999999</c:v>
                </c:pt>
                <c:pt idx="327">
                  <c:v>2.2919999999999998</c:v>
                </c:pt>
                <c:pt idx="328">
                  <c:v>2.2772000000000001</c:v>
                </c:pt>
                <c:pt idx="329">
                  <c:v>2.3016999999999999</c:v>
                </c:pt>
                <c:pt idx="330">
                  <c:v>2.2722000000000002</c:v>
                </c:pt>
                <c:pt idx="331">
                  <c:v>2.2317999999999998</c:v>
                </c:pt>
                <c:pt idx="332">
                  <c:v>2.2345000000000002</c:v>
                </c:pt>
                <c:pt idx="333">
                  <c:v>2.0903</c:v>
                </c:pt>
                <c:pt idx="334">
                  <c:v>2.1103999999999998</c:v>
                </c:pt>
                <c:pt idx="335">
                  <c:v>2.1941000000000002</c:v>
                </c:pt>
                <c:pt idx="336">
                  <c:v>2.2473999999999998</c:v>
                </c:pt>
                <c:pt idx="337">
                  <c:v>2.2612000000000001</c:v>
                </c:pt>
                <c:pt idx="338">
                  <c:v>2.2753999999999999</c:v>
                </c:pt>
                <c:pt idx="339">
                  <c:v>2.2812999999999999</c:v>
                </c:pt>
                <c:pt idx="340">
                  <c:v>2.282</c:v>
                </c:pt>
                <c:pt idx="341">
                  <c:v>2.3250999999999999</c:v>
                </c:pt>
                <c:pt idx="342">
                  <c:v>2.3347000000000002</c:v>
                </c:pt>
                <c:pt idx="343">
                  <c:v>2.2747000000000002</c:v>
                </c:pt>
                <c:pt idx="344">
                  <c:v>2.2707999999999999</c:v>
                </c:pt>
                <c:pt idx="345">
                  <c:v>2.25</c:v>
                </c:pt>
                <c:pt idx="346">
                  <c:v>2.294</c:v>
                </c:pt>
                <c:pt idx="347">
                  <c:v>2.2568999999999999</c:v>
                </c:pt>
                <c:pt idx="348">
                  <c:v>2.2347999999999999</c:v>
                </c:pt>
                <c:pt idx="349">
                  <c:v>2.2679</c:v>
                </c:pt>
                <c:pt idx="350">
                  <c:v>2.3022</c:v>
                </c:pt>
                <c:pt idx="351">
                  <c:v>2.13</c:v>
                </c:pt>
                <c:pt idx="352">
                  <c:v>2.1128999999999998</c:v>
                </c:pt>
                <c:pt idx="353">
                  <c:v>2.0668000000000002</c:v>
                </c:pt>
                <c:pt idx="354">
                  <c:v>2.0396999999999998</c:v>
                </c:pt>
                <c:pt idx="355">
                  <c:v>2.0162</c:v>
                </c:pt>
                <c:pt idx="356">
                  <c:v>1.9524999999999999</c:v>
                </c:pt>
                <c:pt idx="357">
                  <c:v>1.8902000000000001</c:v>
                </c:pt>
                <c:pt idx="358">
                  <c:v>1.9865999999999999</c:v>
                </c:pt>
                <c:pt idx="359">
                  <c:v>2.0575999999999999</c:v>
                </c:pt>
                <c:pt idx="360">
                  <c:v>2.145</c:v>
                </c:pt>
                <c:pt idx="361">
                  <c:v>2.0922999999999998</c:v>
                </c:pt>
                <c:pt idx="362">
                  <c:v>2.1196000000000002</c:v>
                </c:pt>
                <c:pt idx="363">
                  <c:v>2.1537999999999999</c:v>
                </c:pt>
                <c:pt idx="364">
                  <c:v>2.1419000000000001</c:v>
                </c:pt>
                <c:pt idx="365">
                  <c:v>2.1109</c:v>
                </c:pt>
                <c:pt idx="366">
                  <c:v>2.1635</c:v>
                </c:pt>
                <c:pt idx="367">
                  <c:v>2.1539999999999999</c:v>
                </c:pt>
                <c:pt idx="368">
                  <c:v>2.13</c:v>
                </c:pt>
                <c:pt idx="369">
                  <c:v>2.1320999999999999</c:v>
                </c:pt>
                <c:pt idx="370">
                  <c:v>2.0996999999999999</c:v>
                </c:pt>
                <c:pt idx="371">
                  <c:v>2.1539999999999999</c:v>
                </c:pt>
                <c:pt idx="372">
                  <c:v>2.1608999999999998</c:v>
                </c:pt>
                <c:pt idx="373">
                  <c:v>2.1118999999999999</c:v>
                </c:pt>
                <c:pt idx="374">
                  <c:v>2.1438000000000001</c:v>
                </c:pt>
                <c:pt idx="375">
                  <c:v>2.1269</c:v>
                </c:pt>
                <c:pt idx="376">
                  <c:v>2.1156999999999999</c:v>
                </c:pt>
                <c:pt idx="377">
                  <c:v>2.0602999999999998</c:v>
                </c:pt>
                <c:pt idx="378">
                  <c:v>2.0598000000000001</c:v>
                </c:pt>
                <c:pt idx="379">
                  <c:v>2.0836999999999999</c:v>
                </c:pt>
                <c:pt idx="380">
                  <c:v>2.1261000000000001</c:v>
                </c:pt>
                <c:pt idx="381">
                  <c:v>2.1377000000000002</c:v>
                </c:pt>
                <c:pt idx="382">
                  <c:v>2.17</c:v>
                </c:pt>
                <c:pt idx="383">
                  <c:v>2.1475</c:v>
                </c:pt>
                <c:pt idx="384">
                  <c:v>2.1749999999999998</c:v>
                </c:pt>
                <c:pt idx="385">
                  <c:v>2.194</c:v>
                </c:pt>
                <c:pt idx="386">
                  <c:v>2.25</c:v>
                </c:pt>
                <c:pt idx="387">
                  <c:v>2.3085</c:v>
                </c:pt>
                <c:pt idx="388">
                  <c:v>2.3578999999999999</c:v>
                </c:pt>
                <c:pt idx="389">
                  <c:v>2.3081999999999998</c:v>
                </c:pt>
                <c:pt idx="390">
                  <c:v>2.3344</c:v>
                </c:pt>
                <c:pt idx="391">
                  <c:v>2.3662000000000001</c:v>
                </c:pt>
                <c:pt idx="392">
                  <c:v>2.3778999999999999</c:v>
                </c:pt>
                <c:pt idx="393">
                  <c:v>2.3828999999999998</c:v>
                </c:pt>
                <c:pt idx="394">
                  <c:v>2.4055</c:v>
                </c:pt>
                <c:pt idx="395">
                  <c:v>2.3824000000000001</c:v>
                </c:pt>
                <c:pt idx="396">
                  <c:v>2.4251</c:v>
                </c:pt>
                <c:pt idx="397">
                  <c:v>2.4222999999999999</c:v>
                </c:pt>
                <c:pt idx="398">
                  <c:v>2.4176000000000002</c:v>
                </c:pt>
                <c:pt idx="399">
                  <c:v>2.4468999999999999</c:v>
                </c:pt>
                <c:pt idx="400">
                  <c:v>2.419</c:v>
                </c:pt>
                <c:pt idx="401">
                  <c:v>2.4156</c:v>
                </c:pt>
                <c:pt idx="402">
                  <c:v>2.4426999999999999</c:v>
                </c:pt>
                <c:pt idx="403">
                  <c:v>2.4472</c:v>
                </c:pt>
                <c:pt idx="404">
                  <c:v>2.3792</c:v>
                </c:pt>
                <c:pt idx="405">
                  <c:v>2.3589000000000002</c:v>
                </c:pt>
                <c:pt idx="406">
                  <c:v>2.3696999999999999</c:v>
                </c:pt>
                <c:pt idx="407">
                  <c:v>2.4093</c:v>
                </c:pt>
                <c:pt idx="408">
                  <c:v>2.4500999999999999</c:v>
                </c:pt>
                <c:pt idx="409">
                  <c:v>2.3384999999999998</c:v>
                </c:pt>
                <c:pt idx="410">
                  <c:v>2.2926000000000002</c:v>
                </c:pt>
                <c:pt idx="411">
                  <c:v>2.3209</c:v>
                </c:pt>
                <c:pt idx="412">
                  <c:v>2.3222</c:v>
                </c:pt>
                <c:pt idx="413">
                  <c:v>2.3752</c:v>
                </c:pt>
                <c:pt idx="414">
                  <c:v>2.2646000000000002</c:v>
                </c:pt>
                <c:pt idx="415">
                  <c:v>2.2806000000000002</c:v>
                </c:pt>
                <c:pt idx="416">
                  <c:v>2.2685</c:v>
                </c:pt>
                <c:pt idx="417">
                  <c:v>2.2761999999999998</c:v>
                </c:pt>
                <c:pt idx="418">
                  <c:v>2.2936000000000001</c:v>
                </c:pt>
                <c:pt idx="419">
                  <c:v>2.2305000000000001</c:v>
                </c:pt>
                <c:pt idx="420">
                  <c:v>2.2427000000000001</c:v>
                </c:pt>
                <c:pt idx="421">
                  <c:v>2.1568999999999998</c:v>
                </c:pt>
                <c:pt idx="422">
                  <c:v>2.2033</c:v>
                </c:pt>
                <c:pt idx="423">
                  <c:v>2.2783000000000002</c:v>
                </c:pt>
                <c:pt idx="424">
                  <c:v>2.2658999999999998</c:v>
                </c:pt>
                <c:pt idx="425">
                  <c:v>1.9811000000000001</c:v>
                </c:pt>
                <c:pt idx="426">
                  <c:v>2.0329999999999999</c:v>
                </c:pt>
                <c:pt idx="427">
                  <c:v>1.9400999999999999</c:v>
                </c:pt>
                <c:pt idx="428">
                  <c:v>1.9511000000000001</c:v>
                </c:pt>
                <c:pt idx="429">
                  <c:v>1.9677</c:v>
                </c:pt>
                <c:pt idx="430">
                  <c:v>1.9529000000000001</c:v>
                </c:pt>
                <c:pt idx="431">
                  <c:v>2.0432999999999999</c:v>
                </c:pt>
                <c:pt idx="432">
                  <c:v>2.1</c:v>
                </c:pt>
                <c:pt idx="433">
                  <c:v>2.1484999999999999</c:v>
                </c:pt>
                <c:pt idx="434">
                  <c:v>2.1284000000000001</c:v>
                </c:pt>
                <c:pt idx="435">
                  <c:v>2.1372</c:v>
                </c:pt>
                <c:pt idx="436">
                  <c:v>2.1164999999999998</c:v>
                </c:pt>
                <c:pt idx="437">
                  <c:v>2.1107999999999998</c:v>
                </c:pt>
                <c:pt idx="438">
                  <c:v>2.1122999999999998</c:v>
                </c:pt>
                <c:pt idx="439">
                  <c:v>2.1644000000000001</c:v>
                </c:pt>
                <c:pt idx="440">
                  <c:v>2.1126</c:v>
                </c:pt>
                <c:pt idx="441">
                  <c:v>2.0785999999999998</c:v>
                </c:pt>
                <c:pt idx="442">
                  <c:v>2.1448</c:v>
                </c:pt>
                <c:pt idx="443">
                  <c:v>2.165</c:v>
                </c:pt>
                <c:pt idx="444">
                  <c:v>2.2033</c:v>
                </c:pt>
                <c:pt idx="445">
                  <c:v>2.2303999999999999</c:v>
                </c:pt>
                <c:pt idx="446">
                  <c:v>2.246</c:v>
                </c:pt>
                <c:pt idx="447">
                  <c:v>2.2665999999999999</c:v>
                </c:pt>
                <c:pt idx="448">
                  <c:v>2.2913999999999999</c:v>
                </c:pt>
                <c:pt idx="449">
                  <c:v>2.2246000000000001</c:v>
                </c:pt>
                <c:pt idx="450">
                  <c:v>2.2565</c:v>
                </c:pt>
                <c:pt idx="451">
                  <c:v>2.2763</c:v>
                </c:pt>
                <c:pt idx="452">
                  <c:v>2.2921</c:v>
                </c:pt>
                <c:pt idx="453">
                  <c:v>2.3043</c:v>
                </c:pt>
                <c:pt idx="454">
                  <c:v>2.2989000000000002</c:v>
                </c:pt>
                <c:pt idx="455">
                  <c:v>2.2753999999999999</c:v>
                </c:pt>
                <c:pt idx="456">
                  <c:v>2.3574000000000002</c:v>
                </c:pt>
                <c:pt idx="457">
                  <c:v>2.3908</c:v>
                </c:pt>
                <c:pt idx="458">
                  <c:v>2.3877000000000002</c:v>
                </c:pt>
                <c:pt idx="459">
                  <c:v>2.4237000000000002</c:v>
                </c:pt>
                <c:pt idx="460">
                  <c:v>2.4386999999999999</c:v>
                </c:pt>
                <c:pt idx="461">
                  <c:v>2.4615</c:v>
                </c:pt>
                <c:pt idx="462">
                  <c:v>2.4662000000000002</c:v>
                </c:pt>
                <c:pt idx="463">
                  <c:v>2.4464999999999999</c:v>
                </c:pt>
                <c:pt idx="464">
                  <c:v>2.4020999999999999</c:v>
                </c:pt>
                <c:pt idx="465">
                  <c:v>2.4626000000000001</c:v>
                </c:pt>
                <c:pt idx="466">
                  <c:v>2.5232000000000001</c:v>
                </c:pt>
                <c:pt idx="467">
                  <c:v>2.5209999999999999</c:v>
                </c:pt>
                <c:pt idx="468">
                  <c:v>2.5379</c:v>
                </c:pt>
                <c:pt idx="469">
                  <c:v>2.5543999999999998</c:v>
                </c:pt>
                <c:pt idx="470">
                  <c:v>2.5752000000000002</c:v>
                </c:pt>
                <c:pt idx="471">
                  <c:v>2.6070000000000002</c:v>
                </c:pt>
                <c:pt idx="472">
                  <c:v>2.6427</c:v>
                </c:pt>
                <c:pt idx="473">
                  <c:v>2.6785000000000001</c:v>
                </c:pt>
                <c:pt idx="474">
                  <c:v>2.6852999999999998</c:v>
                </c:pt>
                <c:pt idx="475">
                  <c:v>2.6251000000000002</c:v>
                </c:pt>
                <c:pt idx="476">
                  <c:v>2.6534</c:v>
                </c:pt>
                <c:pt idx="477">
                  <c:v>2.6654</c:v>
                </c:pt>
                <c:pt idx="478">
                  <c:v>2.7385999999999999</c:v>
                </c:pt>
                <c:pt idx="479">
                  <c:v>2.9068000000000001</c:v>
                </c:pt>
                <c:pt idx="480">
                  <c:v>2.8094999999999999</c:v>
                </c:pt>
                <c:pt idx="481">
                  <c:v>2.8283</c:v>
                </c:pt>
                <c:pt idx="482">
                  <c:v>2.7959999999999998</c:v>
                </c:pt>
                <c:pt idx="483">
                  <c:v>2.8119000000000001</c:v>
                </c:pt>
                <c:pt idx="484">
                  <c:v>2.8542999999999998</c:v>
                </c:pt>
                <c:pt idx="485">
                  <c:v>2.8759999999999999</c:v>
                </c:pt>
                <c:pt idx="486">
                  <c:v>2.9165000000000001</c:v>
                </c:pt>
                <c:pt idx="487">
                  <c:v>2.8740999999999999</c:v>
                </c:pt>
                <c:pt idx="488">
                  <c:v>2.9325000000000001</c:v>
                </c:pt>
                <c:pt idx="489">
                  <c:v>3.0886999999999998</c:v>
                </c:pt>
                <c:pt idx="490">
                  <c:v>3.3083</c:v>
                </c:pt>
                <c:pt idx="491">
                  <c:v>3.2844000000000002</c:v>
                </c:pt>
                <c:pt idx="492">
                  <c:v>3.544</c:v>
                </c:pt>
                <c:pt idx="493">
                  <c:v>3.5720999999999998</c:v>
                </c:pt>
                <c:pt idx="494">
                  <c:v>3.6825999999999999</c:v>
                </c:pt>
                <c:pt idx="495">
                  <c:v>3.2938000000000001</c:v>
                </c:pt>
                <c:pt idx="496">
                  <c:v>3.1566999999999998</c:v>
                </c:pt>
                <c:pt idx="497">
                  <c:v>3.3121</c:v>
                </c:pt>
                <c:pt idx="498">
                  <c:v>3.1339000000000001</c:v>
                </c:pt>
                <c:pt idx="499">
                  <c:v>2.9657</c:v>
                </c:pt>
                <c:pt idx="500">
                  <c:v>2.952</c:v>
                </c:pt>
                <c:pt idx="501">
                  <c:v>3.1821999999999999</c:v>
                </c:pt>
                <c:pt idx="502">
                  <c:v>3.2059000000000002</c:v>
                </c:pt>
                <c:pt idx="503">
                  <c:v>3.3378999999999999</c:v>
                </c:pt>
                <c:pt idx="504">
                  <c:v>3.3046000000000002</c:v>
                </c:pt>
                <c:pt idx="505">
                  <c:v>3.4195000000000002</c:v>
                </c:pt>
                <c:pt idx="506">
                  <c:v>3.3689</c:v>
                </c:pt>
                <c:pt idx="507">
                  <c:v>3.4363000000000001</c:v>
                </c:pt>
                <c:pt idx="508">
                  <c:v>3.1962000000000002</c:v>
                </c:pt>
                <c:pt idx="509">
                  <c:v>3.1766999999999999</c:v>
                </c:pt>
                <c:pt idx="510">
                  <c:v>3.2864</c:v>
                </c:pt>
                <c:pt idx="511">
                  <c:v>3.1509</c:v>
                </c:pt>
                <c:pt idx="512">
                  <c:v>3.1535000000000002</c:v>
                </c:pt>
                <c:pt idx="513">
                  <c:v>3.1981000000000002</c:v>
                </c:pt>
                <c:pt idx="514">
                  <c:v>3.1648999999999998</c:v>
                </c:pt>
                <c:pt idx="515">
                  <c:v>3.0461999999999998</c:v>
                </c:pt>
                <c:pt idx="516">
                  <c:v>3.0398000000000001</c:v>
                </c:pt>
                <c:pt idx="517">
                  <c:v>3.1316000000000002</c:v>
                </c:pt>
                <c:pt idx="518">
                  <c:v>3.0030999999999999</c:v>
                </c:pt>
                <c:pt idx="519">
                  <c:v>3.1537999999999999</c:v>
                </c:pt>
                <c:pt idx="520">
                  <c:v>3.2913000000000001</c:v>
                </c:pt>
                <c:pt idx="521">
                  <c:v>3.3814000000000002</c:v>
                </c:pt>
                <c:pt idx="522">
                  <c:v>3.3580000000000001</c:v>
                </c:pt>
                <c:pt idx="523">
                  <c:v>3.2288999999999999</c:v>
                </c:pt>
                <c:pt idx="524">
                  <c:v>3.2618</c:v>
                </c:pt>
                <c:pt idx="525">
                  <c:v>3.3174999999999999</c:v>
                </c:pt>
                <c:pt idx="526">
                  <c:v>3.286</c:v>
                </c:pt>
                <c:pt idx="527">
                  <c:v>3.2206000000000001</c:v>
                </c:pt>
                <c:pt idx="528">
                  <c:v>3.3109999999999999</c:v>
                </c:pt>
                <c:pt idx="529">
                  <c:v>3.4135</c:v>
                </c:pt>
                <c:pt idx="530">
                  <c:v>3.4759000000000002</c:v>
                </c:pt>
                <c:pt idx="531">
                  <c:v>3.4424000000000001</c:v>
                </c:pt>
                <c:pt idx="532">
                  <c:v>3.5101</c:v>
                </c:pt>
                <c:pt idx="533">
                  <c:v>3.5011999999999999</c:v>
                </c:pt>
                <c:pt idx="534">
                  <c:v>3.6522999999999999</c:v>
                </c:pt>
                <c:pt idx="535">
                  <c:v>3.6587000000000001</c:v>
                </c:pt>
                <c:pt idx="536">
                  <c:v>3.7589999999999999</c:v>
                </c:pt>
                <c:pt idx="537">
                  <c:v>3.6419000000000001</c:v>
                </c:pt>
                <c:pt idx="538">
                  <c:v>3.5415000000000001</c:v>
                </c:pt>
                <c:pt idx="539">
                  <c:v>3.6855000000000002</c:v>
                </c:pt>
                <c:pt idx="540">
                  <c:v>3.7917000000000001</c:v>
                </c:pt>
                <c:pt idx="541">
                  <c:v>3.9578000000000002</c:v>
                </c:pt>
                <c:pt idx="542">
                  <c:v>3.8405</c:v>
                </c:pt>
                <c:pt idx="543">
                  <c:v>3.7763</c:v>
                </c:pt>
                <c:pt idx="544">
                  <c:v>3.5912999999999999</c:v>
                </c:pt>
                <c:pt idx="545">
                  <c:v>3.6776</c:v>
                </c:pt>
                <c:pt idx="546">
                  <c:v>3.6897000000000002</c:v>
                </c:pt>
                <c:pt idx="547">
                  <c:v>3.6802000000000001</c:v>
                </c:pt>
                <c:pt idx="548">
                  <c:v>3.6897000000000002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113-4DE3-B361-67AE7A6644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115215128"/>
        <c:axId val="2115220048"/>
      </c:barChart>
      <c:lineChart>
        <c:grouping val="standard"/>
        <c:varyColors val="0"/>
        <c:ser>
          <c:idx val="1"/>
          <c:order val="1"/>
          <c:tx>
            <c:strRef>
              <c:f>'Crude to Gas Correlation '!$V$2</c:f>
              <c:strCache>
                <c:ptCount val="1"/>
                <c:pt idx="0">
                  <c:v>Gasoline Price_V2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'Crude to Gas Correlation '!$T$3:$T$552</c:f>
              <c:strCache>
                <c:ptCount val="549"/>
                <c:pt idx="0">
                  <c:v>4/9/2020</c:v>
                </c:pt>
                <c:pt idx="1">
                  <c:v>4/13/2020</c:v>
                </c:pt>
                <c:pt idx="2">
                  <c:v>4/14/2020</c:v>
                </c:pt>
                <c:pt idx="3">
                  <c:v>4/15/2020</c:v>
                </c:pt>
                <c:pt idx="4">
                  <c:v>4/16/2020</c:v>
                </c:pt>
                <c:pt idx="5">
                  <c:v>4/17/2020</c:v>
                </c:pt>
                <c:pt idx="6">
                  <c:v>4/20/2020</c:v>
                </c:pt>
                <c:pt idx="7">
                  <c:v>4/21/2020</c:v>
                </c:pt>
                <c:pt idx="8">
                  <c:v>4/22/2020</c:v>
                </c:pt>
                <c:pt idx="9">
                  <c:v>4/23/2020</c:v>
                </c:pt>
                <c:pt idx="10">
                  <c:v>4/24/2020</c:v>
                </c:pt>
                <c:pt idx="11">
                  <c:v>4/27/2020</c:v>
                </c:pt>
                <c:pt idx="12">
                  <c:v>4/28/2020</c:v>
                </c:pt>
                <c:pt idx="13">
                  <c:v>4/29/2020</c:v>
                </c:pt>
                <c:pt idx="14">
                  <c:v>4/30/2020</c:v>
                </c:pt>
                <c:pt idx="15">
                  <c:v>5/1/2020</c:v>
                </c:pt>
                <c:pt idx="16">
                  <c:v>5/4/2020</c:v>
                </c:pt>
                <c:pt idx="17">
                  <c:v>5/5/2020</c:v>
                </c:pt>
                <c:pt idx="18">
                  <c:v>5/6/2020</c:v>
                </c:pt>
                <c:pt idx="19">
                  <c:v>5/7/2020</c:v>
                </c:pt>
                <c:pt idx="20">
                  <c:v>5/8/2020</c:v>
                </c:pt>
                <c:pt idx="21">
                  <c:v>5/11/2020</c:v>
                </c:pt>
                <c:pt idx="22">
                  <c:v>5/12/2020</c:v>
                </c:pt>
                <c:pt idx="23">
                  <c:v>5/13/2020</c:v>
                </c:pt>
                <c:pt idx="24">
                  <c:v>5/14/2020</c:v>
                </c:pt>
                <c:pt idx="25">
                  <c:v>5/15/2020</c:v>
                </c:pt>
                <c:pt idx="26">
                  <c:v>5/18/2020</c:v>
                </c:pt>
                <c:pt idx="27">
                  <c:v>5/19/2020</c:v>
                </c:pt>
                <c:pt idx="28">
                  <c:v>5/20/2020</c:v>
                </c:pt>
                <c:pt idx="29">
                  <c:v>5/21/2020</c:v>
                </c:pt>
                <c:pt idx="30">
                  <c:v>5/22/2020</c:v>
                </c:pt>
                <c:pt idx="31">
                  <c:v>5/26/2020</c:v>
                </c:pt>
                <c:pt idx="32">
                  <c:v>5/27/2020</c:v>
                </c:pt>
                <c:pt idx="33">
                  <c:v>5/28/2020</c:v>
                </c:pt>
                <c:pt idx="34">
                  <c:v>5/29/2020</c:v>
                </c:pt>
                <c:pt idx="35">
                  <c:v>6/1/2020</c:v>
                </c:pt>
                <c:pt idx="36">
                  <c:v>6/2/2020</c:v>
                </c:pt>
                <c:pt idx="37">
                  <c:v>6/3/2020</c:v>
                </c:pt>
                <c:pt idx="38">
                  <c:v>6/4/2020</c:v>
                </c:pt>
                <c:pt idx="39">
                  <c:v>6/5/2020</c:v>
                </c:pt>
                <c:pt idx="40">
                  <c:v>6/8/2020</c:v>
                </c:pt>
                <c:pt idx="41">
                  <c:v>6/9/2020</c:v>
                </c:pt>
                <c:pt idx="42">
                  <c:v>6/10/2020</c:v>
                </c:pt>
                <c:pt idx="43">
                  <c:v>6/11/2020</c:v>
                </c:pt>
                <c:pt idx="44">
                  <c:v>6/12/2020</c:v>
                </c:pt>
                <c:pt idx="45">
                  <c:v>6/15/2020</c:v>
                </c:pt>
                <c:pt idx="46">
                  <c:v>6/16/2020</c:v>
                </c:pt>
                <c:pt idx="47">
                  <c:v>6/17/2020</c:v>
                </c:pt>
                <c:pt idx="48">
                  <c:v>6/18/2020</c:v>
                </c:pt>
                <c:pt idx="49">
                  <c:v>6/19/2020</c:v>
                </c:pt>
                <c:pt idx="50">
                  <c:v>6/22/2020</c:v>
                </c:pt>
                <c:pt idx="51">
                  <c:v>6/23/2020</c:v>
                </c:pt>
                <c:pt idx="52">
                  <c:v>6/24/2020</c:v>
                </c:pt>
                <c:pt idx="53">
                  <c:v>6/25/2020</c:v>
                </c:pt>
                <c:pt idx="54">
                  <c:v>6/26/2020</c:v>
                </c:pt>
                <c:pt idx="55">
                  <c:v>6/29/2020</c:v>
                </c:pt>
                <c:pt idx="56">
                  <c:v>6/30/2020</c:v>
                </c:pt>
                <c:pt idx="57">
                  <c:v>7/1/2020</c:v>
                </c:pt>
                <c:pt idx="58">
                  <c:v>7/2/2020</c:v>
                </c:pt>
                <c:pt idx="59">
                  <c:v>7/3/2020</c:v>
                </c:pt>
                <c:pt idx="60">
                  <c:v>7/6/2020</c:v>
                </c:pt>
                <c:pt idx="61">
                  <c:v>7/7/2020</c:v>
                </c:pt>
                <c:pt idx="62">
                  <c:v>7/8/2020</c:v>
                </c:pt>
                <c:pt idx="63">
                  <c:v>7/9/2020</c:v>
                </c:pt>
                <c:pt idx="64">
                  <c:v>7/10/2020</c:v>
                </c:pt>
                <c:pt idx="65">
                  <c:v>7/13/2020</c:v>
                </c:pt>
                <c:pt idx="66">
                  <c:v>7/14/2020</c:v>
                </c:pt>
                <c:pt idx="67">
                  <c:v>7/15/2020</c:v>
                </c:pt>
                <c:pt idx="68">
                  <c:v>7/16/2020</c:v>
                </c:pt>
                <c:pt idx="69">
                  <c:v>7/17/2020</c:v>
                </c:pt>
                <c:pt idx="70">
                  <c:v>7/20/2020</c:v>
                </c:pt>
                <c:pt idx="71">
                  <c:v>7/21/2020</c:v>
                </c:pt>
                <c:pt idx="72">
                  <c:v>7/22/2020</c:v>
                </c:pt>
                <c:pt idx="73">
                  <c:v>7/23/2020</c:v>
                </c:pt>
                <c:pt idx="74">
                  <c:v>7/24/2020</c:v>
                </c:pt>
                <c:pt idx="75">
                  <c:v>7/27/2020</c:v>
                </c:pt>
                <c:pt idx="76">
                  <c:v>7/28/2020</c:v>
                </c:pt>
                <c:pt idx="77">
                  <c:v>7/29/2020</c:v>
                </c:pt>
                <c:pt idx="78">
                  <c:v>7/30/2020</c:v>
                </c:pt>
                <c:pt idx="79">
                  <c:v>7/31/2020</c:v>
                </c:pt>
                <c:pt idx="80">
                  <c:v>8/3/2020</c:v>
                </c:pt>
                <c:pt idx="81">
                  <c:v>8/4/2020</c:v>
                </c:pt>
                <c:pt idx="82">
                  <c:v>8/5/2020</c:v>
                </c:pt>
                <c:pt idx="83">
                  <c:v>8/6/2020</c:v>
                </c:pt>
                <c:pt idx="84">
                  <c:v>8/7/2020</c:v>
                </c:pt>
                <c:pt idx="85">
                  <c:v>8/10/2020</c:v>
                </c:pt>
                <c:pt idx="86">
                  <c:v>8/11/2020</c:v>
                </c:pt>
                <c:pt idx="87">
                  <c:v>8/12/2020</c:v>
                </c:pt>
                <c:pt idx="88">
                  <c:v>8/13/2020</c:v>
                </c:pt>
                <c:pt idx="89">
                  <c:v>8/14/2020</c:v>
                </c:pt>
                <c:pt idx="90">
                  <c:v>8/17/2020</c:v>
                </c:pt>
                <c:pt idx="91">
                  <c:v>8/18/2020</c:v>
                </c:pt>
                <c:pt idx="92">
                  <c:v>8/19/2020</c:v>
                </c:pt>
                <c:pt idx="93">
                  <c:v>8/20/2020</c:v>
                </c:pt>
                <c:pt idx="94">
                  <c:v>8/21/2020</c:v>
                </c:pt>
                <c:pt idx="95">
                  <c:v>8/24/2020</c:v>
                </c:pt>
                <c:pt idx="96">
                  <c:v>8/25/2020</c:v>
                </c:pt>
                <c:pt idx="97">
                  <c:v>8/26/2020</c:v>
                </c:pt>
                <c:pt idx="98">
                  <c:v>8/27/2020</c:v>
                </c:pt>
                <c:pt idx="99">
                  <c:v>8/28/2020</c:v>
                </c:pt>
                <c:pt idx="100">
                  <c:v>8/31/2020</c:v>
                </c:pt>
                <c:pt idx="101">
                  <c:v>9/1/2020</c:v>
                </c:pt>
                <c:pt idx="102">
                  <c:v>9/2/2020</c:v>
                </c:pt>
                <c:pt idx="103">
                  <c:v>9/3/2020</c:v>
                </c:pt>
                <c:pt idx="104">
                  <c:v>9/4/2020</c:v>
                </c:pt>
                <c:pt idx="105">
                  <c:v>9/7/2020</c:v>
                </c:pt>
                <c:pt idx="106">
                  <c:v>9/8/2020</c:v>
                </c:pt>
                <c:pt idx="107">
                  <c:v>9/9/2020</c:v>
                </c:pt>
                <c:pt idx="108">
                  <c:v>9/10/2020</c:v>
                </c:pt>
                <c:pt idx="109">
                  <c:v>9/11/2020</c:v>
                </c:pt>
                <c:pt idx="110">
                  <c:v>9/14/2020</c:v>
                </c:pt>
                <c:pt idx="111">
                  <c:v>9/15/2020</c:v>
                </c:pt>
                <c:pt idx="112">
                  <c:v>9/16/2020</c:v>
                </c:pt>
                <c:pt idx="113">
                  <c:v>9/17/2020</c:v>
                </c:pt>
                <c:pt idx="114">
                  <c:v>9/18/2020</c:v>
                </c:pt>
                <c:pt idx="115">
                  <c:v>9/21/2020</c:v>
                </c:pt>
                <c:pt idx="116">
                  <c:v>9/22/2020</c:v>
                </c:pt>
                <c:pt idx="117">
                  <c:v>9/23/2020</c:v>
                </c:pt>
                <c:pt idx="118">
                  <c:v>9/24/2020</c:v>
                </c:pt>
                <c:pt idx="119">
                  <c:v>9/25/2020</c:v>
                </c:pt>
                <c:pt idx="120">
                  <c:v>9/28/2020</c:v>
                </c:pt>
                <c:pt idx="121">
                  <c:v>9/29/2020</c:v>
                </c:pt>
                <c:pt idx="122">
                  <c:v>9/30/2020</c:v>
                </c:pt>
                <c:pt idx="123">
                  <c:v>10/1/2020</c:v>
                </c:pt>
                <c:pt idx="124">
                  <c:v>10/2/2020</c:v>
                </c:pt>
                <c:pt idx="125">
                  <c:v>10/5/2020</c:v>
                </c:pt>
                <c:pt idx="126">
                  <c:v>10/6/2020</c:v>
                </c:pt>
                <c:pt idx="127">
                  <c:v>10/7/2020</c:v>
                </c:pt>
                <c:pt idx="128">
                  <c:v>10/8/2020</c:v>
                </c:pt>
                <c:pt idx="129">
                  <c:v>10/9/2020</c:v>
                </c:pt>
                <c:pt idx="130">
                  <c:v>10/12/2020</c:v>
                </c:pt>
                <c:pt idx="131">
                  <c:v>10/13/2020</c:v>
                </c:pt>
                <c:pt idx="132">
                  <c:v>10/14/2020</c:v>
                </c:pt>
                <c:pt idx="133">
                  <c:v>10/15/2020</c:v>
                </c:pt>
                <c:pt idx="134">
                  <c:v>10/16/2020</c:v>
                </c:pt>
                <c:pt idx="135">
                  <c:v>10/19/2020</c:v>
                </c:pt>
                <c:pt idx="136">
                  <c:v>10/20/2020</c:v>
                </c:pt>
                <c:pt idx="137">
                  <c:v>10/21/2020</c:v>
                </c:pt>
                <c:pt idx="138">
                  <c:v>10/22/2020</c:v>
                </c:pt>
                <c:pt idx="139">
                  <c:v>10/23/2020</c:v>
                </c:pt>
                <c:pt idx="140">
                  <c:v>10/26/2020</c:v>
                </c:pt>
                <c:pt idx="141">
                  <c:v>10/27/2020</c:v>
                </c:pt>
                <c:pt idx="142">
                  <c:v>10/28/2020</c:v>
                </c:pt>
                <c:pt idx="143">
                  <c:v>10/29/2020</c:v>
                </c:pt>
                <c:pt idx="144">
                  <c:v>10/30/2020</c:v>
                </c:pt>
                <c:pt idx="145">
                  <c:v>11/2/2020</c:v>
                </c:pt>
                <c:pt idx="146">
                  <c:v>11/3/2020</c:v>
                </c:pt>
                <c:pt idx="147">
                  <c:v>11/4/2020</c:v>
                </c:pt>
                <c:pt idx="148">
                  <c:v>11/5/2020</c:v>
                </c:pt>
                <c:pt idx="149">
                  <c:v>11/6/2020</c:v>
                </c:pt>
                <c:pt idx="150">
                  <c:v>11/9/2020</c:v>
                </c:pt>
                <c:pt idx="151">
                  <c:v>11/10/2020</c:v>
                </c:pt>
                <c:pt idx="152">
                  <c:v>11/11/2020</c:v>
                </c:pt>
                <c:pt idx="153">
                  <c:v>11/12/2020</c:v>
                </c:pt>
                <c:pt idx="154">
                  <c:v>11/13/2020</c:v>
                </c:pt>
                <c:pt idx="155">
                  <c:v>11/16/2020</c:v>
                </c:pt>
                <c:pt idx="156">
                  <c:v>11/17/2020</c:v>
                </c:pt>
                <c:pt idx="157">
                  <c:v>11/18/2020</c:v>
                </c:pt>
                <c:pt idx="158">
                  <c:v>11/19/2020</c:v>
                </c:pt>
                <c:pt idx="159">
                  <c:v>11/20/2020</c:v>
                </c:pt>
                <c:pt idx="160">
                  <c:v>11/23/2020</c:v>
                </c:pt>
                <c:pt idx="161">
                  <c:v>11/24/2020</c:v>
                </c:pt>
                <c:pt idx="162">
                  <c:v>11/25/2020</c:v>
                </c:pt>
                <c:pt idx="163">
                  <c:v>11/26/2020</c:v>
                </c:pt>
                <c:pt idx="164">
                  <c:v>11/27/2020</c:v>
                </c:pt>
                <c:pt idx="165">
                  <c:v>11/30/2020</c:v>
                </c:pt>
                <c:pt idx="166">
                  <c:v>12/1/2020</c:v>
                </c:pt>
                <c:pt idx="167">
                  <c:v>12/2/2020</c:v>
                </c:pt>
                <c:pt idx="168">
                  <c:v>12/3/2020</c:v>
                </c:pt>
                <c:pt idx="169">
                  <c:v>12/4/2020</c:v>
                </c:pt>
                <c:pt idx="170">
                  <c:v>12/7/2020</c:v>
                </c:pt>
                <c:pt idx="171">
                  <c:v>12/8/2020</c:v>
                </c:pt>
                <c:pt idx="172">
                  <c:v>12/9/2020</c:v>
                </c:pt>
                <c:pt idx="173">
                  <c:v>12/10/2020</c:v>
                </c:pt>
                <c:pt idx="174">
                  <c:v>12/11/2020</c:v>
                </c:pt>
                <c:pt idx="175">
                  <c:v>12/14/2020</c:v>
                </c:pt>
                <c:pt idx="176">
                  <c:v>12/15/2020</c:v>
                </c:pt>
                <c:pt idx="177">
                  <c:v>12/16/2020</c:v>
                </c:pt>
                <c:pt idx="178">
                  <c:v>12/17/2020</c:v>
                </c:pt>
                <c:pt idx="179">
                  <c:v>12/18/2020</c:v>
                </c:pt>
                <c:pt idx="180">
                  <c:v>12/21/2020</c:v>
                </c:pt>
                <c:pt idx="181">
                  <c:v>12/22/2020</c:v>
                </c:pt>
                <c:pt idx="182">
                  <c:v>12/23/2020</c:v>
                </c:pt>
                <c:pt idx="183">
                  <c:v>12/24/2020</c:v>
                </c:pt>
                <c:pt idx="184">
                  <c:v>12/28/2020</c:v>
                </c:pt>
                <c:pt idx="185">
                  <c:v>12/29/2020</c:v>
                </c:pt>
                <c:pt idx="186">
                  <c:v>12/30/2020</c:v>
                </c:pt>
                <c:pt idx="187">
                  <c:v>12/31/2020</c:v>
                </c:pt>
                <c:pt idx="188">
                  <c:v>1/4/2021</c:v>
                </c:pt>
                <c:pt idx="189">
                  <c:v>1/5/2021</c:v>
                </c:pt>
                <c:pt idx="190">
                  <c:v>1/6/2021</c:v>
                </c:pt>
                <c:pt idx="191">
                  <c:v>1/7/2021</c:v>
                </c:pt>
                <c:pt idx="192">
                  <c:v>1/8/2021</c:v>
                </c:pt>
                <c:pt idx="193">
                  <c:v>1/11/2021</c:v>
                </c:pt>
                <c:pt idx="194">
                  <c:v>1/12/2021</c:v>
                </c:pt>
                <c:pt idx="195">
                  <c:v>1/13/2021</c:v>
                </c:pt>
                <c:pt idx="196">
                  <c:v>1/14/2021</c:v>
                </c:pt>
                <c:pt idx="197">
                  <c:v>1/15/2021</c:v>
                </c:pt>
                <c:pt idx="198">
                  <c:v>1/18/2021</c:v>
                </c:pt>
                <c:pt idx="199">
                  <c:v>1/19/2021</c:v>
                </c:pt>
                <c:pt idx="200">
                  <c:v>1/20/2021</c:v>
                </c:pt>
                <c:pt idx="201">
                  <c:v>1/21/2021</c:v>
                </c:pt>
                <c:pt idx="202">
                  <c:v>1/22/2021</c:v>
                </c:pt>
                <c:pt idx="203">
                  <c:v>1/25/2021</c:v>
                </c:pt>
                <c:pt idx="204">
                  <c:v>1/26/2021</c:v>
                </c:pt>
                <c:pt idx="205">
                  <c:v>1/27/2021</c:v>
                </c:pt>
                <c:pt idx="206">
                  <c:v>1/28/2021</c:v>
                </c:pt>
                <c:pt idx="207">
                  <c:v>1/29/2021</c:v>
                </c:pt>
                <c:pt idx="208">
                  <c:v>2/1/2021</c:v>
                </c:pt>
                <c:pt idx="209">
                  <c:v>2/2/2021</c:v>
                </c:pt>
                <c:pt idx="210">
                  <c:v>2/3/2021</c:v>
                </c:pt>
                <c:pt idx="211">
                  <c:v>2/4/2021</c:v>
                </c:pt>
                <c:pt idx="212">
                  <c:v>2/5/2021</c:v>
                </c:pt>
                <c:pt idx="213">
                  <c:v>2/8/2021</c:v>
                </c:pt>
                <c:pt idx="214">
                  <c:v>2/9/2021</c:v>
                </c:pt>
                <c:pt idx="215">
                  <c:v>2/10/2021</c:v>
                </c:pt>
                <c:pt idx="216">
                  <c:v>2/11/2021</c:v>
                </c:pt>
                <c:pt idx="217">
                  <c:v>2/12/2021</c:v>
                </c:pt>
                <c:pt idx="218">
                  <c:v>2/15/2021</c:v>
                </c:pt>
                <c:pt idx="219">
                  <c:v>2/16/2021</c:v>
                </c:pt>
                <c:pt idx="220">
                  <c:v>2/17/2021</c:v>
                </c:pt>
                <c:pt idx="221">
                  <c:v>2/18/2021</c:v>
                </c:pt>
                <c:pt idx="222">
                  <c:v>2/19/2021</c:v>
                </c:pt>
                <c:pt idx="223">
                  <c:v>2/22/2021</c:v>
                </c:pt>
                <c:pt idx="224">
                  <c:v>2/23/2021</c:v>
                </c:pt>
                <c:pt idx="225">
                  <c:v>2/24/2021</c:v>
                </c:pt>
                <c:pt idx="226">
                  <c:v>2/25/2021</c:v>
                </c:pt>
                <c:pt idx="227">
                  <c:v>2/26/2021</c:v>
                </c:pt>
                <c:pt idx="228">
                  <c:v>3/1/2021</c:v>
                </c:pt>
                <c:pt idx="229">
                  <c:v>3/2/2021</c:v>
                </c:pt>
                <c:pt idx="230">
                  <c:v>3/3/2021</c:v>
                </c:pt>
                <c:pt idx="231">
                  <c:v>3/4/2021</c:v>
                </c:pt>
                <c:pt idx="232">
                  <c:v>3/5/2021</c:v>
                </c:pt>
                <c:pt idx="233">
                  <c:v>3/8/2021</c:v>
                </c:pt>
                <c:pt idx="234">
                  <c:v>3/9/2021</c:v>
                </c:pt>
                <c:pt idx="235">
                  <c:v>3/10/2021</c:v>
                </c:pt>
                <c:pt idx="236">
                  <c:v>3/11/2021</c:v>
                </c:pt>
                <c:pt idx="237">
                  <c:v>3/12/2021</c:v>
                </c:pt>
                <c:pt idx="238">
                  <c:v>3/15/2021</c:v>
                </c:pt>
                <c:pt idx="239">
                  <c:v>3/16/2021</c:v>
                </c:pt>
                <c:pt idx="240">
                  <c:v>3/17/2021</c:v>
                </c:pt>
                <c:pt idx="241">
                  <c:v>3/18/2021</c:v>
                </c:pt>
                <c:pt idx="242">
                  <c:v>3/19/2021</c:v>
                </c:pt>
                <c:pt idx="243">
                  <c:v>3/22/2021</c:v>
                </c:pt>
                <c:pt idx="244">
                  <c:v>3/23/2021</c:v>
                </c:pt>
                <c:pt idx="245">
                  <c:v>3/24/2021</c:v>
                </c:pt>
                <c:pt idx="246">
                  <c:v>3/25/2021</c:v>
                </c:pt>
                <c:pt idx="247">
                  <c:v>3/26/2021</c:v>
                </c:pt>
                <c:pt idx="248">
                  <c:v>3/29/2021</c:v>
                </c:pt>
                <c:pt idx="249">
                  <c:v>3/30/2021</c:v>
                </c:pt>
                <c:pt idx="250">
                  <c:v>3/31/2021</c:v>
                </c:pt>
                <c:pt idx="251">
                  <c:v>4/1/2021</c:v>
                </c:pt>
                <c:pt idx="252">
                  <c:v>4/5/2021</c:v>
                </c:pt>
                <c:pt idx="253">
                  <c:v>4/6/2021</c:v>
                </c:pt>
                <c:pt idx="254">
                  <c:v>4/7/2021</c:v>
                </c:pt>
                <c:pt idx="255">
                  <c:v>4/8/2021</c:v>
                </c:pt>
                <c:pt idx="256">
                  <c:v>4/9/2021</c:v>
                </c:pt>
                <c:pt idx="257">
                  <c:v>4/12/2021</c:v>
                </c:pt>
                <c:pt idx="258">
                  <c:v>4/13/2021</c:v>
                </c:pt>
                <c:pt idx="259">
                  <c:v>4/14/2021</c:v>
                </c:pt>
                <c:pt idx="260">
                  <c:v>4/15/2021</c:v>
                </c:pt>
                <c:pt idx="261">
                  <c:v>4/16/2021</c:v>
                </c:pt>
                <c:pt idx="262">
                  <c:v>4/19/2021</c:v>
                </c:pt>
                <c:pt idx="263">
                  <c:v>4/20/2021</c:v>
                </c:pt>
                <c:pt idx="264">
                  <c:v>4/21/2021</c:v>
                </c:pt>
                <c:pt idx="265">
                  <c:v>4/22/2021</c:v>
                </c:pt>
                <c:pt idx="266">
                  <c:v>4/23/2021</c:v>
                </c:pt>
                <c:pt idx="267">
                  <c:v>4/26/2021</c:v>
                </c:pt>
                <c:pt idx="268">
                  <c:v>4/27/2021</c:v>
                </c:pt>
                <c:pt idx="269">
                  <c:v>4/28/2021</c:v>
                </c:pt>
                <c:pt idx="270">
                  <c:v>4/29/2021</c:v>
                </c:pt>
                <c:pt idx="271">
                  <c:v>4/30/2021</c:v>
                </c:pt>
                <c:pt idx="272">
                  <c:v>5/3/2021</c:v>
                </c:pt>
                <c:pt idx="273">
                  <c:v>5/4/2021</c:v>
                </c:pt>
                <c:pt idx="274">
                  <c:v>5/5/2021</c:v>
                </c:pt>
                <c:pt idx="275">
                  <c:v>5/6/2021</c:v>
                </c:pt>
                <c:pt idx="276">
                  <c:v>5/7/2021</c:v>
                </c:pt>
                <c:pt idx="277">
                  <c:v>5/10/2021</c:v>
                </c:pt>
                <c:pt idx="278">
                  <c:v>5/11/2021</c:v>
                </c:pt>
                <c:pt idx="279">
                  <c:v>5/12/2021</c:v>
                </c:pt>
                <c:pt idx="280">
                  <c:v>5/13/2021</c:v>
                </c:pt>
                <c:pt idx="281">
                  <c:v>5/14/2021</c:v>
                </c:pt>
                <c:pt idx="282">
                  <c:v>5/17/2021</c:v>
                </c:pt>
                <c:pt idx="283">
                  <c:v>5/18/2021</c:v>
                </c:pt>
                <c:pt idx="284">
                  <c:v>5/19/2021</c:v>
                </c:pt>
                <c:pt idx="285">
                  <c:v>5/20/2021</c:v>
                </c:pt>
                <c:pt idx="286">
                  <c:v>5/21/2021</c:v>
                </c:pt>
                <c:pt idx="287">
                  <c:v>5/24/2021</c:v>
                </c:pt>
                <c:pt idx="288">
                  <c:v>5/25/2021</c:v>
                </c:pt>
                <c:pt idx="289">
                  <c:v>5/26/2021</c:v>
                </c:pt>
                <c:pt idx="290">
                  <c:v>5/27/2021</c:v>
                </c:pt>
                <c:pt idx="291">
                  <c:v>5/28/2021</c:v>
                </c:pt>
                <c:pt idx="292">
                  <c:v>5/31/2021</c:v>
                </c:pt>
                <c:pt idx="293">
                  <c:v>6/1/2021</c:v>
                </c:pt>
                <c:pt idx="294">
                  <c:v>6/2/2021</c:v>
                </c:pt>
                <c:pt idx="295">
                  <c:v>6/3/2021</c:v>
                </c:pt>
                <c:pt idx="296">
                  <c:v>6/4/2021</c:v>
                </c:pt>
                <c:pt idx="297">
                  <c:v>6/7/2021</c:v>
                </c:pt>
                <c:pt idx="298">
                  <c:v>6/8/2021</c:v>
                </c:pt>
                <c:pt idx="299">
                  <c:v>6/9/2021</c:v>
                </c:pt>
                <c:pt idx="300">
                  <c:v>6/10/2021</c:v>
                </c:pt>
                <c:pt idx="301">
                  <c:v>6/11/2021</c:v>
                </c:pt>
                <c:pt idx="302">
                  <c:v>6/14/2021</c:v>
                </c:pt>
                <c:pt idx="303">
                  <c:v>6/15/2021</c:v>
                </c:pt>
                <c:pt idx="304">
                  <c:v>6/16/2021</c:v>
                </c:pt>
                <c:pt idx="305">
                  <c:v>6/17/2021</c:v>
                </c:pt>
                <c:pt idx="306">
                  <c:v>6/18/2021</c:v>
                </c:pt>
                <c:pt idx="307">
                  <c:v>6/21/2021</c:v>
                </c:pt>
                <c:pt idx="308">
                  <c:v>6/22/2021</c:v>
                </c:pt>
                <c:pt idx="309">
                  <c:v>6/23/2021</c:v>
                </c:pt>
                <c:pt idx="310">
                  <c:v>6/24/2021</c:v>
                </c:pt>
                <c:pt idx="311">
                  <c:v>6/25/2021</c:v>
                </c:pt>
                <c:pt idx="312">
                  <c:v>6/28/2021</c:v>
                </c:pt>
                <c:pt idx="313">
                  <c:v>6/29/2021</c:v>
                </c:pt>
                <c:pt idx="314">
                  <c:v>6/30/2021</c:v>
                </c:pt>
                <c:pt idx="315">
                  <c:v>7/1/2021</c:v>
                </c:pt>
                <c:pt idx="316">
                  <c:v>7/2/2021</c:v>
                </c:pt>
                <c:pt idx="317">
                  <c:v>7/5/2021</c:v>
                </c:pt>
                <c:pt idx="318">
                  <c:v>7/6/2021</c:v>
                </c:pt>
                <c:pt idx="319">
                  <c:v>7/7/2021</c:v>
                </c:pt>
                <c:pt idx="320">
                  <c:v>7/8/2021</c:v>
                </c:pt>
                <c:pt idx="321">
                  <c:v>7/9/2021</c:v>
                </c:pt>
                <c:pt idx="322">
                  <c:v>7/12/2021</c:v>
                </c:pt>
                <c:pt idx="323">
                  <c:v>7/13/2021</c:v>
                </c:pt>
                <c:pt idx="324">
                  <c:v>7/14/2021</c:v>
                </c:pt>
                <c:pt idx="325">
                  <c:v>7/15/2021</c:v>
                </c:pt>
                <c:pt idx="326">
                  <c:v>7/16/2021</c:v>
                </c:pt>
                <c:pt idx="327">
                  <c:v>7/19/2021</c:v>
                </c:pt>
                <c:pt idx="328">
                  <c:v>7/20/2021</c:v>
                </c:pt>
                <c:pt idx="329">
                  <c:v>7/21/2021</c:v>
                </c:pt>
                <c:pt idx="330">
                  <c:v>7/22/2021</c:v>
                </c:pt>
                <c:pt idx="331">
                  <c:v>7/23/2021</c:v>
                </c:pt>
                <c:pt idx="332">
                  <c:v>7/26/2021</c:v>
                </c:pt>
                <c:pt idx="333">
                  <c:v>7/27/2021</c:v>
                </c:pt>
                <c:pt idx="334">
                  <c:v>7/28/2021</c:v>
                </c:pt>
                <c:pt idx="335">
                  <c:v>7/29/2021</c:v>
                </c:pt>
                <c:pt idx="336">
                  <c:v>7/30/2021</c:v>
                </c:pt>
                <c:pt idx="337">
                  <c:v>8/2/2021</c:v>
                </c:pt>
                <c:pt idx="338">
                  <c:v>8/3/2021</c:v>
                </c:pt>
                <c:pt idx="339">
                  <c:v>8/4/2021</c:v>
                </c:pt>
                <c:pt idx="340">
                  <c:v>8/5/2021</c:v>
                </c:pt>
                <c:pt idx="341">
                  <c:v>8/6/2021</c:v>
                </c:pt>
                <c:pt idx="342">
                  <c:v>8/9/2021</c:v>
                </c:pt>
                <c:pt idx="343">
                  <c:v>8/10/2021</c:v>
                </c:pt>
                <c:pt idx="344">
                  <c:v>8/11/2021</c:v>
                </c:pt>
                <c:pt idx="345">
                  <c:v>8/12/2021</c:v>
                </c:pt>
                <c:pt idx="346">
                  <c:v>8/13/2021</c:v>
                </c:pt>
                <c:pt idx="347">
                  <c:v>8/16/2021</c:v>
                </c:pt>
                <c:pt idx="348">
                  <c:v>8/17/2021</c:v>
                </c:pt>
                <c:pt idx="349">
                  <c:v>8/18/2021</c:v>
                </c:pt>
                <c:pt idx="350">
                  <c:v>8/19/2021</c:v>
                </c:pt>
                <c:pt idx="351">
                  <c:v>8/20/2021</c:v>
                </c:pt>
                <c:pt idx="352">
                  <c:v>8/23/2021</c:v>
                </c:pt>
                <c:pt idx="353">
                  <c:v>8/24/2021</c:v>
                </c:pt>
                <c:pt idx="354">
                  <c:v>8/25/2021</c:v>
                </c:pt>
                <c:pt idx="355">
                  <c:v>8/26/2021</c:v>
                </c:pt>
                <c:pt idx="356">
                  <c:v>8/27/2021</c:v>
                </c:pt>
                <c:pt idx="357">
                  <c:v>8/30/2021</c:v>
                </c:pt>
                <c:pt idx="358">
                  <c:v>8/31/2021</c:v>
                </c:pt>
                <c:pt idx="359">
                  <c:v>9/1/2021</c:v>
                </c:pt>
                <c:pt idx="360">
                  <c:v>9/2/2021</c:v>
                </c:pt>
                <c:pt idx="361">
                  <c:v>9/3/2021</c:v>
                </c:pt>
                <c:pt idx="362">
                  <c:v>9/6/2021</c:v>
                </c:pt>
                <c:pt idx="363">
                  <c:v>9/7/2021</c:v>
                </c:pt>
                <c:pt idx="364">
                  <c:v>9/8/2021</c:v>
                </c:pt>
                <c:pt idx="365">
                  <c:v>9/9/2021</c:v>
                </c:pt>
                <c:pt idx="366">
                  <c:v>9/10/2021</c:v>
                </c:pt>
                <c:pt idx="367">
                  <c:v>9/13/2021</c:v>
                </c:pt>
                <c:pt idx="368">
                  <c:v>9/14/2021</c:v>
                </c:pt>
                <c:pt idx="369">
                  <c:v>9/15/2021</c:v>
                </c:pt>
                <c:pt idx="370">
                  <c:v>9/16/2021</c:v>
                </c:pt>
                <c:pt idx="371">
                  <c:v>9/17/2021</c:v>
                </c:pt>
                <c:pt idx="372">
                  <c:v>9/20/2021</c:v>
                </c:pt>
                <c:pt idx="373">
                  <c:v>9/21/2021</c:v>
                </c:pt>
                <c:pt idx="374">
                  <c:v>9/22/2021</c:v>
                </c:pt>
                <c:pt idx="375">
                  <c:v>9/23/2021</c:v>
                </c:pt>
                <c:pt idx="376">
                  <c:v>9/24/2021</c:v>
                </c:pt>
                <c:pt idx="377">
                  <c:v>9/27/2021</c:v>
                </c:pt>
                <c:pt idx="378">
                  <c:v>9/28/2021</c:v>
                </c:pt>
                <c:pt idx="379">
                  <c:v>9/29/2021</c:v>
                </c:pt>
                <c:pt idx="380">
                  <c:v>9/30/2021</c:v>
                </c:pt>
                <c:pt idx="381">
                  <c:v>10/1/2021</c:v>
                </c:pt>
                <c:pt idx="382">
                  <c:v>10/4/2021</c:v>
                </c:pt>
                <c:pt idx="383">
                  <c:v>10/5/2021</c:v>
                </c:pt>
                <c:pt idx="384">
                  <c:v>10/6/2021</c:v>
                </c:pt>
                <c:pt idx="385">
                  <c:v>10/7/2021</c:v>
                </c:pt>
                <c:pt idx="386">
                  <c:v>10/8/2021</c:v>
                </c:pt>
                <c:pt idx="387">
                  <c:v>10/11/2021</c:v>
                </c:pt>
                <c:pt idx="388">
                  <c:v>10/12/2021</c:v>
                </c:pt>
                <c:pt idx="389">
                  <c:v>10/13/2021</c:v>
                </c:pt>
                <c:pt idx="390">
                  <c:v>10/14/2021</c:v>
                </c:pt>
                <c:pt idx="391">
                  <c:v>10/15/2021</c:v>
                </c:pt>
                <c:pt idx="392">
                  <c:v>10/18/2021</c:v>
                </c:pt>
                <c:pt idx="393">
                  <c:v>10/19/2021</c:v>
                </c:pt>
                <c:pt idx="394">
                  <c:v>10/20/2021</c:v>
                </c:pt>
                <c:pt idx="395">
                  <c:v>10/21/2021</c:v>
                </c:pt>
                <c:pt idx="396">
                  <c:v>10/22/2021</c:v>
                </c:pt>
                <c:pt idx="397">
                  <c:v>10/25/2021</c:v>
                </c:pt>
                <c:pt idx="398">
                  <c:v>10/26/2021</c:v>
                </c:pt>
                <c:pt idx="399">
                  <c:v>10/27/2021</c:v>
                </c:pt>
                <c:pt idx="400">
                  <c:v>10/28/2021</c:v>
                </c:pt>
                <c:pt idx="401">
                  <c:v>10/29/2021</c:v>
                </c:pt>
                <c:pt idx="402">
                  <c:v>11/1/2021</c:v>
                </c:pt>
                <c:pt idx="403">
                  <c:v>11/2/2021</c:v>
                </c:pt>
                <c:pt idx="404">
                  <c:v>11/3/2021</c:v>
                </c:pt>
                <c:pt idx="405">
                  <c:v>11/4/2021</c:v>
                </c:pt>
                <c:pt idx="406">
                  <c:v>11/5/2021</c:v>
                </c:pt>
                <c:pt idx="407">
                  <c:v>11/8/2021</c:v>
                </c:pt>
                <c:pt idx="408">
                  <c:v>11/9/2021</c:v>
                </c:pt>
                <c:pt idx="409">
                  <c:v>11/10/2021</c:v>
                </c:pt>
                <c:pt idx="410">
                  <c:v>11/11/2021</c:v>
                </c:pt>
                <c:pt idx="411">
                  <c:v>11/12/2021</c:v>
                </c:pt>
                <c:pt idx="412">
                  <c:v>11/15/2021</c:v>
                </c:pt>
                <c:pt idx="413">
                  <c:v>11/16/2021</c:v>
                </c:pt>
                <c:pt idx="414">
                  <c:v>11/17/2021</c:v>
                </c:pt>
                <c:pt idx="415">
                  <c:v>11/18/2021</c:v>
                </c:pt>
                <c:pt idx="416">
                  <c:v>11/19/2021</c:v>
                </c:pt>
                <c:pt idx="417">
                  <c:v>11/22/2021</c:v>
                </c:pt>
                <c:pt idx="418">
                  <c:v>11/23/2021</c:v>
                </c:pt>
                <c:pt idx="419">
                  <c:v>11/24/2021</c:v>
                </c:pt>
                <c:pt idx="420">
                  <c:v>11/25/2021</c:v>
                </c:pt>
                <c:pt idx="421">
                  <c:v>11/26/2021</c:v>
                </c:pt>
                <c:pt idx="422">
                  <c:v>11/29/2021</c:v>
                </c:pt>
                <c:pt idx="423">
                  <c:v>11/30/2021</c:v>
                </c:pt>
                <c:pt idx="424">
                  <c:v>12/1/2021</c:v>
                </c:pt>
                <c:pt idx="425">
                  <c:v>12/2/2021</c:v>
                </c:pt>
                <c:pt idx="426">
                  <c:v>12/3/2021</c:v>
                </c:pt>
                <c:pt idx="427">
                  <c:v>12/6/2021</c:v>
                </c:pt>
                <c:pt idx="428">
                  <c:v>12/7/2021</c:v>
                </c:pt>
                <c:pt idx="429">
                  <c:v>12/8/2021</c:v>
                </c:pt>
                <c:pt idx="430">
                  <c:v>12/9/2021</c:v>
                </c:pt>
                <c:pt idx="431">
                  <c:v>12/10/2021</c:v>
                </c:pt>
                <c:pt idx="432">
                  <c:v>12/13/2021</c:v>
                </c:pt>
                <c:pt idx="433">
                  <c:v>12/14/2021</c:v>
                </c:pt>
                <c:pt idx="434">
                  <c:v>12/15/2021</c:v>
                </c:pt>
                <c:pt idx="435">
                  <c:v>12/16/2021</c:v>
                </c:pt>
                <c:pt idx="436">
                  <c:v>12/17/2021</c:v>
                </c:pt>
                <c:pt idx="437">
                  <c:v>12/20/2021</c:v>
                </c:pt>
                <c:pt idx="438">
                  <c:v>12/21/2021</c:v>
                </c:pt>
                <c:pt idx="439">
                  <c:v>12/22/2021</c:v>
                </c:pt>
                <c:pt idx="440">
                  <c:v>12/23/2021</c:v>
                </c:pt>
                <c:pt idx="441">
                  <c:v>12/24/2021</c:v>
                </c:pt>
                <c:pt idx="442">
                  <c:v>12/27/2021</c:v>
                </c:pt>
                <c:pt idx="443">
                  <c:v>12/28/2021</c:v>
                </c:pt>
                <c:pt idx="444">
                  <c:v>12/29/2021</c:v>
                </c:pt>
                <c:pt idx="445">
                  <c:v>12/30/2021</c:v>
                </c:pt>
                <c:pt idx="446">
                  <c:v>12/31/2021</c:v>
                </c:pt>
                <c:pt idx="447">
                  <c:v>1/3/2022</c:v>
                </c:pt>
                <c:pt idx="448">
                  <c:v>1/4/2022</c:v>
                </c:pt>
                <c:pt idx="449">
                  <c:v>1/5/2022</c:v>
                </c:pt>
                <c:pt idx="450">
                  <c:v>1/6/2022</c:v>
                </c:pt>
                <c:pt idx="451">
                  <c:v>1/7/2022</c:v>
                </c:pt>
                <c:pt idx="452">
                  <c:v>1/10/2022</c:v>
                </c:pt>
                <c:pt idx="453">
                  <c:v>1/11/2022</c:v>
                </c:pt>
                <c:pt idx="454">
                  <c:v>1/12/2022</c:v>
                </c:pt>
                <c:pt idx="455">
                  <c:v>1/13/2022</c:v>
                </c:pt>
                <c:pt idx="456">
                  <c:v>1/14/2022</c:v>
                </c:pt>
                <c:pt idx="457">
                  <c:v>1/17/2022</c:v>
                </c:pt>
                <c:pt idx="458">
                  <c:v>1/18/2022</c:v>
                </c:pt>
                <c:pt idx="459">
                  <c:v>1/19/2022</c:v>
                </c:pt>
                <c:pt idx="460">
                  <c:v>1/20/2022</c:v>
                </c:pt>
                <c:pt idx="461">
                  <c:v>1/21/2022</c:v>
                </c:pt>
                <c:pt idx="462">
                  <c:v>1/24/2022</c:v>
                </c:pt>
                <c:pt idx="463">
                  <c:v>1/25/2022</c:v>
                </c:pt>
                <c:pt idx="464">
                  <c:v>1/26/2022</c:v>
                </c:pt>
                <c:pt idx="465">
                  <c:v>1/27/2022</c:v>
                </c:pt>
                <c:pt idx="466">
                  <c:v>1/28/2022</c:v>
                </c:pt>
                <c:pt idx="467">
                  <c:v>1/31/2022</c:v>
                </c:pt>
                <c:pt idx="468">
                  <c:v>2/1/2022</c:v>
                </c:pt>
                <c:pt idx="469">
                  <c:v>2/2/2022</c:v>
                </c:pt>
                <c:pt idx="470">
                  <c:v>2/3/2022</c:v>
                </c:pt>
                <c:pt idx="471">
                  <c:v>2/4/2022</c:v>
                </c:pt>
                <c:pt idx="472">
                  <c:v>2/7/2022</c:v>
                </c:pt>
                <c:pt idx="473">
                  <c:v>2/8/2022</c:v>
                </c:pt>
                <c:pt idx="474">
                  <c:v>2/9/2022</c:v>
                </c:pt>
                <c:pt idx="475">
                  <c:v>2/10/2022</c:v>
                </c:pt>
                <c:pt idx="476">
                  <c:v>2/11/2022</c:v>
                </c:pt>
                <c:pt idx="477">
                  <c:v>2/14/2022</c:v>
                </c:pt>
                <c:pt idx="478">
                  <c:v>2/15/2022</c:v>
                </c:pt>
                <c:pt idx="479">
                  <c:v>2/16/2022</c:v>
                </c:pt>
                <c:pt idx="480">
                  <c:v>2/17/2022</c:v>
                </c:pt>
                <c:pt idx="481">
                  <c:v>2/18/2022</c:v>
                </c:pt>
                <c:pt idx="482">
                  <c:v>2/21/2022</c:v>
                </c:pt>
                <c:pt idx="483">
                  <c:v>2/22/2022</c:v>
                </c:pt>
                <c:pt idx="484">
                  <c:v>2/23/2022</c:v>
                </c:pt>
                <c:pt idx="485">
                  <c:v>2/24/2022</c:v>
                </c:pt>
                <c:pt idx="486">
                  <c:v>2/25/2022</c:v>
                </c:pt>
                <c:pt idx="487">
                  <c:v>2/28/2022</c:v>
                </c:pt>
                <c:pt idx="488">
                  <c:v>3/1/2022</c:v>
                </c:pt>
                <c:pt idx="489">
                  <c:v>3/2/2022</c:v>
                </c:pt>
                <c:pt idx="490">
                  <c:v>3/3/2022</c:v>
                </c:pt>
                <c:pt idx="491">
                  <c:v>3/4/2022</c:v>
                </c:pt>
                <c:pt idx="492">
                  <c:v>3/7/2022</c:v>
                </c:pt>
                <c:pt idx="493">
                  <c:v>3/8/2022</c:v>
                </c:pt>
                <c:pt idx="494">
                  <c:v>3/9/2022</c:v>
                </c:pt>
                <c:pt idx="495">
                  <c:v>3/10/2022</c:v>
                </c:pt>
                <c:pt idx="496">
                  <c:v>3/11/2022</c:v>
                </c:pt>
                <c:pt idx="497">
                  <c:v>3/14/2022</c:v>
                </c:pt>
                <c:pt idx="498">
                  <c:v>3/15/2022</c:v>
                </c:pt>
                <c:pt idx="499">
                  <c:v>3/16/2022</c:v>
                </c:pt>
                <c:pt idx="500">
                  <c:v>3/17/2022</c:v>
                </c:pt>
                <c:pt idx="501">
                  <c:v>3/18/2022</c:v>
                </c:pt>
                <c:pt idx="502">
                  <c:v>3/21/2022</c:v>
                </c:pt>
                <c:pt idx="503">
                  <c:v>3/22/2022</c:v>
                </c:pt>
                <c:pt idx="504">
                  <c:v>3/23/2022</c:v>
                </c:pt>
                <c:pt idx="505">
                  <c:v>3/24/2022</c:v>
                </c:pt>
                <c:pt idx="506">
                  <c:v>3/25/2022</c:v>
                </c:pt>
                <c:pt idx="507">
                  <c:v>3/28/2022</c:v>
                </c:pt>
                <c:pt idx="508">
                  <c:v>3/29/2022</c:v>
                </c:pt>
                <c:pt idx="509">
                  <c:v>3/30/2022</c:v>
                </c:pt>
                <c:pt idx="510">
                  <c:v>3/31/2022</c:v>
                </c:pt>
                <c:pt idx="511">
                  <c:v>4/1/2022</c:v>
                </c:pt>
                <c:pt idx="512">
                  <c:v>4/4/2022</c:v>
                </c:pt>
                <c:pt idx="513">
                  <c:v>4/5/2022</c:v>
                </c:pt>
                <c:pt idx="514">
                  <c:v>4/6/2022</c:v>
                </c:pt>
                <c:pt idx="515">
                  <c:v>4/7/2022</c:v>
                </c:pt>
                <c:pt idx="516">
                  <c:v>4/8/2022</c:v>
                </c:pt>
                <c:pt idx="517">
                  <c:v>4/11/2022</c:v>
                </c:pt>
                <c:pt idx="518">
                  <c:v>4/12/2022</c:v>
                </c:pt>
                <c:pt idx="519">
                  <c:v>4/13/2022</c:v>
                </c:pt>
                <c:pt idx="520">
                  <c:v>4/14/2022</c:v>
                </c:pt>
                <c:pt idx="521">
                  <c:v>4/18/2022</c:v>
                </c:pt>
                <c:pt idx="522">
                  <c:v>4/19/2022</c:v>
                </c:pt>
                <c:pt idx="523">
                  <c:v>4/20/2022</c:v>
                </c:pt>
                <c:pt idx="524">
                  <c:v>4/21/2022</c:v>
                </c:pt>
                <c:pt idx="525">
                  <c:v>4/22/2022</c:v>
                </c:pt>
                <c:pt idx="526">
                  <c:v>4/25/2022</c:v>
                </c:pt>
                <c:pt idx="527">
                  <c:v>4/26/2022</c:v>
                </c:pt>
                <c:pt idx="528">
                  <c:v>4/27/2022</c:v>
                </c:pt>
                <c:pt idx="529">
                  <c:v>4/28/2022</c:v>
                </c:pt>
                <c:pt idx="530">
                  <c:v>4/29/2022</c:v>
                </c:pt>
                <c:pt idx="531">
                  <c:v>5/2/2022</c:v>
                </c:pt>
                <c:pt idx="532">
                  <c:v>5/3/2022</c:v>
                </c:pt>
                <c:pt idx="533">
                  <c:v>5/4/2022</c:v>
                </c:pt>
                <c:pt idx="534">
                  <c:v>5/5/2022</c:v>
                </c:pt>
                <c:pt idx="535">
                  <c:v>5/6/2022</c:v>
                </c:pt>
                <c:pt idx="536">
                  <c:v>5/9/2022</c:v>
                </c:pt>
                <c:pt idx="537">
                  <c:v>5/10/2022</c:v>
                </c:pt>
                <c:pt idx="538">
                  <c:v>5/11/2022</c:v>
                </c:pt>
                <c:pt idx="539">
                  <c:v>5/12/2022</c:v>
                </c:pt>
                <c:pt idx="540">
                  <c:v>5/13/2022</c:v>
                </c:pt>
                <c:pt idx="541">
                  <c:v>5/16/2022</c:v>
                </c:pt>
                <c:pt idx="542">
                  <c:v>5/17/2022</c:v>
                </c:pt>
                <c:pt idx="543">
                  <c:v>5/18/2022</c:v>
                </c:pt>
                <c:pt idx="544">
                  <c:v>5/19/2022</c:v>
                </c:pt>
                <c:pt idx="545">
                  <c:v>5/20/2022</c:v>
                </c:pt>
                <c:pt idx="546">
                  <c:v>5/23/2022</c:v>
                </c:pt>
                <c:pt idx="547">
                  <c:v>5/24/2022</c:v>
                </c:pt>
                <c:pt idx="548">
                  <c:v>5/25/2022</c:v>
                </c:pt>
              </c:strCache>
            </c:strRef>
          </c:cat>
          <c:val>
            <c:numRef>
              <c:f>'Crude to Gas Correlation '!$V$3:$V$552</c:f>
              <c:numCache>
                <c:formatCode>"$"#,##0.00</c:formatCode>
                <c:ptCount val="549"/>
                <c:pt idx="0">
                  <c:v>12.41</c:v>
                </c:pt>
                <c:pt idx="1">
                  <c:v>14.36</c:v>
                </c:pt>
                <c:pt idx="2">
                  <c:v>18.05</c:v>
                </c:pt>
                <c:pt idx="3">
                  <c:v>16.52</c:v>
                </c:pt>
                <c:pt idx="4">
                  <c:v>18.36</c:v>
                </c:pt>
                <c:pt idx="5">
                  <c:v>21.43</c:v>
                </c:pt>
                <c:pt idx="6">
                  <c:v>22.4</c:v>
                </c:pt>
                <c:pt idx="7">
                  <c:v>16.18</c:v>
                </c:pt>
                <c:pt idx="8">
                  <c:v>15.5</c:v>
                </c:pt>
                <c:pt idx="9">
                  <c:v>16.23</c:v>
                </c:pt>
                <c:pt idx="10">
                  <c:v>17.010000000000002</c:v>
                </c:pt>
                <c:pt idx="11">
                  <c:v>17.12</c:v>
                </c:pt>
                <c:pt idx="12">
                  <c:v>16.32</c:v>
                </c:pt>
                <c:pt idx="13">
                  <c:v>16.260000000000002</c:v>
                </c:pt>
                <c:pt idx="14">
                  <c:v>16.52</c:v>
                </c:pt>
                <c:pt idx="15">
                  <c:v>16.7</c:v>
                </c:pt>
                <c:pt idx="16">
                  <c:v>20.66</c:v>
                </c:pt>
                <c:pt idx="17">
                  <c:v>21.2</c:v>
                </c:pt>
                <c:pt idx="18">
                  <c:v>24.79</c:v>
                </c:pt>
                <c:pt idx="19">
                  <c:v>24.2</c:v>
                </c:pt>
                <c:pt idx="20">
                  <c:v>23.72</c:v>
                </c:pt>
                <c:pt idx="21">
                  <c:v>24.67</c:v>
                </c:pt>
                <c:pt idx="22">
                  <c:v>24.08</c:v>
                </c:pt>
                <c:pt idx="23">
                  <c:v>25.01</c:v>
                </c:pt>
                <c:pt idx="24">
                  <c:v>24.66</c:v>
                </c:pt>
                <c:pt idx="25">
                  <c:v>25.88</c:v>
                </c:pt>
                <c:pt idx="26">
                  <c:v>26.74</c:v>
                </c:pt>
                <c:pt idx="27">
                  <c:v>27.72</c:v>
                </c:pt>
                <c:pt idx="28">
                  <c:v>27.86</c:v>
                </c:pt>
                <c:pt idx="29">
                  <c:v>28.4</c:v>
                </c:pt>
                <c:pt idx="30">
                  <c:v>28.53</c:v>
                </c:pt>
                <c:pt idx="31">
                  <c:v>28.36</c:v>
                </c:pt>
                <c:pt idx="32">
                  <c:v>28.58</c:v>
                </c:pt>
                <c:pt idx="33">
                  <c:v>28.35</c:v>
                </c:pt>
                <c:pt idx="34">
                  <c:v>28.44</c:v>
                </c:pt>
                <c:pt idx="35">
                  <c:v>28.53</c:v>
                </c:pt>
                <c:pt idx="36">
                  <c:v>35.54</c:v>
                </c:pt>
                <c:pt idx="37">
                  <c:v>36.82</c:v>
                </c:pt>
                <c:pt idx="38">
                  <c:v>37.270000000000003</c:v>
                </c:pt>
                <c:pt idx="39">
                  <c:v>37.369999999999997</c:v>
                </c:pt>
                <c:pt idx="40">
                  <c:v>38.17</c:v>
                </c:pt>
                <c:pt idx="41">
                  <c:v>37.18</c:v>
                </c:pt>
                <c:pt idx="42">
                  <c:v>37.99</c:v>
                </c:pt>
                <c:pt idx="43">
                  <c:v>37.340000000000003</c:v>
                </c:pt>
                <c:pt idx="44">
                  <c:v>36.97</c:v>
                </c:pt>
                <c:pt idx="45">
                  <c:v>36.93</c:v>
                </c:pt>
                <c:pt idx="46">
                  <c:v>37.42</c:v>
                </c:pt>
                <c:pt idx="47">
                  <c:v>38.03</c:v>
                </c:pt>
                <c:pt idx="48">
                  <c:v>37.840000000000003</c:v>
                </c:pt>
                <c:pt idx="49">
                  <c:v>38.19</c:v>
                </c:pt>
                <c:pt idx="50">
                  <c:v>38.479999999999997</c:v>
                </c:pt>
                <c:pt idx="51">
                  <c:v>38.76</c:v>
                </c:pt>
                <c:pt idx="52">
                  <c:v>38.659999999999997</c:v>
                </c:pt>
                <c:pt idx="53">
                  <c:v>38.130000000000003</c:v>
                </c:pt>
                <c:pt idx="54">
                  <c:v>38.25</c:v>
                </c:pt>
                <c:pt idx="55">
                  <c:v>38.22</c:v>
                </c:pt>
                <c:pt idx="56">
                  <c:v>38.33</c:v>
                </c:pt>
                <c:pt idx="57">
                  <c:v>38.31</c:v>
                </c:pt>
                <c:pt idx="58">
                  <c:v>39.86</c:v>
                </c:pt>
                <c:pt idx="59">
                  <c:v>40.65</c:v>
                </c:pt>
                <c:pt idx="60">
                  <c:v>40.630000000000003</c:v>
                </c:pt>
                <c:pt idx="61">
                  <c:v>40.61</c:v>
                </c:pt>
                <c:pt idx="62">
                  <c:v>40.869999999999997</c:v>
                </c:pt>
                <c:pt idx="63">
                  <c:v>39.9</c:v>
                </c:pt>
                <c:pt idx="64">
                  <c:v>40.58</c:v>
                </c:pt>
                <c:pt idx="65">
                  <c:v>40.28</c:v>
                </c:pt>
                <c:pt idx="66">
                  <c:v>40.409999999999997</c:v>
                </c:pt>
                <c:pt idx="67">
                  <c:v>40.93</c:v>
                </c:pt>
                <c:pt idx="68">
                  <c:v>40.67</c:v>
                </c:pt>
                <c:pt idx="69">
                  <c:v>40.590000000000003</c:v>
                </c:pt>
                <c:pt idx="70">
                  <c:v>40.67</c:v>
                </c:pt>
                <c:pt idx="71">
                  <c:v>41.08</c:v>
                </c:pt>
                <c:pt idx="72">
                  <c:v>41.08</c:v>
                </c:pt>
                <c:pt idx="73">
                  <c:v>40.81</c:v>
                </c:pt>
                <c:pt idx="74">
                  <c:v>40.869999999999997</c:v>
                </c:pt>
                <c:pt idx="75">
                  <c:v>40.94</c:v>
                </c:pt>
                <c:pt idx="76">
                  <c:v>40.840000000000003</c:v>
                </c:pt>
                <c:pt idx="77">
                  <c:v>40.869999999999997</c:v>
                </c:pt>
                <c:pt idx="78">
                  <c:v>40.75</c:v>
                </c:pt>
                <c:pt idx="79">
                  <c:v>40.770000000000003</c:v>
                </c:pt>
                <c:pt idx="80">
                  <c:v>41.11</c:v>
                </c:pt>
                <c:pt idx="81">
                  <c:v>41.74</c:v>
                </c:pt>
                <c:pt idx="82">
                  <c:v>42.19</c:v>
                </c:pt>
                <c:pt idx="83">
                  <c:v>41.99</c:v>
                </c:pt>
                <c:pt idx="84">
                  <c:v>41.4</c:v>
                </c:pt>
                <c:pt idx="85">
                  <c:v>41.94</c:v>
                </c:pt>
                <c:pt idx="86">
                  <c:v>41.71</c:v>
                </c:pt>
                <c:pt idx="87">
                  <c:v>42.43</c:v>
                </c:pt>
                <c:pt idx="88">
                  <c:v>42.16</c:v>
                </c:pt>
                <c:pt idx="89">
                  <c:v>42.04</c:v>
                </c:pt>
                <c:pt idx="90">
                  <c:v>42.49</c:v>
                </c:pt>
                <c:pt idx="91">
                  <c:v>42.47</c:v>
                </c:pt>
                <c:pt idx="92">
                  <c:v>42.47</c:v>
                </c:pt>
                <c:pt idx="93">
                  <c:v>41.64</c:v>
                </c:pt>
                <c:pt idx="94">
                  <c:v>40.29</c:v>
                </c:pt>
                <c:pt idx="95">
                  <c:v>39.82</c:v>
                </c:pt>
                <c:pt idx="96">
                  <c:v>39.83</c:v>
                </c:pt>
                <c:pt idx="97">
                  <c:v>39.369999999999997</c:v>
                </c:pt>
                <c:pt idx="98">
                  <c:v>38.96</c:v>
                </c:pt>
                <c:pt idx="99">
                  <c:v>39.35</c:v>
                </c:pt>
                <c:pt idx="100">
                  <c:v>41.29</c:v>
                </c:pt>
                <c:pt idx="101">
                  <c:v>42.07</c:v>
                </c:pt>
                <c:pt idx="102">
                  <c:v>41.67</c:v>
                </c:pt>
                <c:pt idx="103">
                  <c:v>41.49</c:v>
                </c:pt>
                <c:pt idx="104">
                  <c:v>40.18</c:v>
                </c:pt>
                <c:pt idx="105">
                  <c:v>37.76</c:v>
                </c:pt>
                <c:pt idx="106">
                  <c:v>38.72</c:v>
                </c:pt>
                <c:pt idx="107">
                  <c:v>38.18</c:v>
                </c:pt>
                <c:pt idx="108">
                  <c:v>38.19</c:v>
                </c:pt>
                <c:pt idx="109">
                  <c:v>38.14</c:v>
                </c:pt>
                <c:pt idx="110">
                  <c:v>38.72</c:v>
                </c:pt>
                <c:pt idx="111">
                  <c:v>39.700000000000003</c:v>
                </c:pt>
                <c:pt idx="112">
                  <c:v>38.090000000000003</c:v>
                </c:pt>
                <c:pt idx="113">
                  <c:v>39.07</c:v>
                </c:pt>
                <c:pt idx="114">
                  <c:v>39.450000000000003</c:v>
                </c:pt>
                <c:pt idx="115">
                  <c:v>39.54</c:v>
                </c:pt>
                <c:pt idx="116">
                  <c:v>39.58</c:v>
                </c:pt>
                <c:pt idx="117">
                  <c:v>39.67</c:v>
                </c:pt>
                <c:pt idx="118">
                  <c:v>39.659999999999997</c:v>
                </c:pt>
                <c:pt idx="119">
                  <c:v>39.71</c:v>
                </c:pt>
                <c:pt idx="120">
                  <c:v>39.58</c:v>
                </c:pt>
                <c:pt idx="121">
                  <c:v>39.630000000000003</c:v>
                </c:pt>
                <c:pt idx="122">
                  <c:v>38.83</c:v>
                </c:pt>
                <c:pt idx="123">
                  <c:v>37.229999999999997</c:v>
                </c:pt>
                <c:pt idx="124">
                  <c:v>39.200000000000003</c:v>
                </c:pt>
                <c:pt idx="125">
                  <c:v>40.450000000000003</c:v>
                </c:pt>
                <c:pt idx="126">
                  <c:v>39.86</c:v>
                </c:pt>
                <c:pt idx="127">
                  <c:v>40.82</c:v>
                </c:pt>
                <c:pt idx="128">
                  <c:v>39.22</c:v>
                </c:pt>
                <c:pt idx="129">
                  <c:v>39.53</c:v>
                </c:pt>
                <c:pt idx="130">
                  <c:v>38.42</c:v>
                </c:pt>
                <c:pt idx="131">
                  <c:v>37.119999999999997</c:v>
                </c:pt>
                <c:pt idx="132">
                  <c:v>36.5</c:v>
                </c:pt>
                <c:pt idx="133">
                  <c:v>35.89</c:v>
                </c:pt>
                <c:pt idx="134">
                  <c:v>38.44</c:v>
                </c:pt>
                <c:pt idx="135">
                  <c:v>39.090000000000003</c:v>
                </c:pt>
                <c:pt idx="136">
                  <c:v>39.79</c:v>
                </c:pt>
                <c:pt idx="137">
                  <c:v>39.22</c:v>
                </c:pt>
                <c:pt idx="138">
                  <c:v>39.97</c:v>
                </c:pt>
                <c:pt idx="139">
                  <c:v>39.799999999999997</c:v>
                </c:pt>
                <c:pt idx="140">
                  <c:v>39.979999999999997</c:v>
                </c:pt>
                <c:pt idx="141">
                  <c:v>39.119999999999997</c:v>
                </c:pt>
                <c:pt idx="142">
                  <c:v>37.65</c:v>
                </c:pt>
                <c:pt idx="143">
                  <c:v>37.46</c:v>
                </c:pt>
                <c:pt idx="144">
                  <c:v>36.9</c:v>
                </c:pt>
                <c:pt idx="145">
                  <c:v>37.700000000000003</c:v>
                </c:pt>
                <c:pt idx="146">
                  <c:v>39.04</c:v>
                </c:pt>
                <c:pt idx="147">
                  <c:v>38.729999999999997</c:v>
                </c:pt>
                <c:pt idx="148">
                  <c:v>37.42</c:v>
                </c:pt>
                <c:pt idx="149">
                  <c:v>39.78</c:v>
                </c:pt>
                <c:pt idx="150">
                  <c:v>40.520000000000003</c:v>
                </c:pt>
                <c:pt idx="151">
                  <c:v>40.58</c:v>
                </c:pt>
                <c:pt idx="152">
                  <c:v>40.380000000000003</c:v>
                </c:pt>
                <c:pt idx="153">
                  <c:v>39.83</c:v>
                </c:pt>
                <c:pt idx="154">
                  <c:v>40.42</c:v>
                </c:pt>
                <c:pt idx="155">
                  <c:v>40.46</c:v>
                </c:pt>
                <c:pt idx="156">
                  <c:v>40.61</c:v>
                </c:pt>
                <c:pt idx="157">
                  <c:v>40.57</c:v>
                </c:pt>
                <c:pt idx="158">
                  <c:v>40.72</c:v>
                </c:pt>
                <c:pt idx="159">
                  <c:v>40.880000000000003</c:v>
                </c:pt>
                <c:pt idx="160">
                  <c:v>41.25</c:v>
                </c:pt>
                <c:pt idx="161">
                  <c:v>41.37</c:v>
                </c:pt>
                <c:pt idx="162">
                  <c:v>41.36</c:v>
                </c:pt>
                <c:pt idx="163">
                  <c:v>41.35</c:v>
                </c:pt>
                <c:pt idx="164">
                  <c:v>44.61</c:v>
                </c:pt>
                <c:pt idx="165">
                  <c:v>45.3</c:v>
                </c:pt>
                <c:pt idx="166">
                  <c:v>45.62</c:v>
                </c:pt>
                <c:pt idx="167">
                  <c:v>46.16</c:v>
                </c:pt>
                <c:pt idx="168">
                  <c:v>45.76</c:v>
                </c:pt>
                <c:pt idx="169">
                  <c:v>45.64</c:v>
                </c:pt>
                <c:pt idx="170">
                  <c:v>45.58</c:v>
                </c:pt>
                <c:pt idx="171">
                  <c:v>46.44</c:v>
                </c:pt>
                <c:pt idx="172">
                  <c:v>46.3</c:v>
                </c:pt>
                <c:pt idx="173">
                  <c:v>46.54</c:v>
                </c:pt>
                <c:pt idx="174">
                  <c:v>46.89</c:v>
                </c:pt>
                <c:pt idx="175">
                  <c:v>46.99</c:v>
                </c:pt>
                <c:pt idx="176">
                  <c:v>47.24</c:v>
                </c:pt>
                <c:pt idx="177">
                  <c:v>47.53</c:v>
                </c:pt>
                <c:pt idx="178">
                  <c:v>47.06</c:v>
                </c:pt>
                <c:pt idx="179">
                  <c:v>46.76</c:v>
                </c:pt>
                <c:pt idx="180">
                  <c:v>47.06</c:v>
                </c:pt>
                <c:pt idx="181">
                  <c:v>47.09</c:v>
                </c:pt>
                <c:pt idx="182">
                  <c:v>46.97</c:v>
                </c:pt>
                <c:pt idx="183">
                  <c:v>47.03</c:v>
                </c:pt>
                <c:pt idx="184">
                  <c:v>47.06</c:v>
                </c:pt>
                <c:pt idx="185">
                  <c:v>47.07</c:v>
                </c:pt>
                <c:pt idx="186">
                  <c:v>47.67</c:v>
                </c:pt>
                <c:pt idx="187">
                  <c:v>49.84</c:v>
                </c:pt>
                <c:pt idx="188">
                  <c:v>50.46</c:v>
                </c:pt>
                <c:pt idx="189">
                  <c:v>50.62</c:v>
                </c:pt>
                <c:pt idx="190">
                  <c:v>51.72</c:v>
                </c:pt>
                <c:pt idx="191">
                  <c:v>51.73</c:v>
                </c:pt>
                <c:pt idx="192">
                  <c:v>52.39</c:v>
                </c:pt>
                <c:pt idx="193">
                  <c:v>52.21</c:v>
                </c:pt>
                <c:pt idx="194">
                  <c:v>52.59</c:v>
                </c:pt>
                <c:pt idx="195">
                  <c:v>51.96</c:v>
                </c:pt>
                <c:pt idx="196">
                  <c:v>45.13</c:v>
                </c:pt>
                <c:pt idx="197">
                  <c:v>52.37</c:v>
                </c:pt>
                <c:pt idx="198">
                  <c:v>52.3</c:v>
                </c:pt>
                <c:pt idx="199">
                  <c:v>52.03</c:v>
                </c:pt>
                <c:pt idx="200">
                  <c:v>52.16</c:v>
                </c:pt>
                <c:pt idx="201">
                  <c:v>52.13</c:v>
                </c:pt>
                <c:pt idx="202">
                  <c:v>52.16</c:v>
                </c:pt>
                <c:pt idx="203">
                  <c:v>52.11</c:v>
                </c:pt>
                <c:pt idx="204">
                  <c:v>52.1</c:v>
                </c:pt>
                <c:pt idx="205">
                  <c:v>53.52</c:v>
                </c:pt>
                <c:pt idx="206">
                  <c:v>54.67</c:v>
                </c:pt>
                <c:pt idx="207">
                  <c:v>55.5</c:v>
                </c:pt>
                <c:pt idx="208">
                  <c:v>55.95</c:v>
                </c:pt>
                <c:pt idx="209">
                  <c:v>56.44</c:v>
                </c:pt>
                <c:pt idx="210">
                  <c:v>57.27</c:v>
                </c:pt>
                <c:pt idx="211">
                  <c:v>57.54</c:v>
                </c:pt>
                <c:pt idx="212">
                  <c:v>57.74</c:v>
                </c:pt>
                <c:pt idx="213">
                  <c:v>57.49</c:v>
                </c:pt>
                <c:pt idx="214">
                  <c:v>58.14</c:v>
                </c:pt>
                <c:pt idx="215">
                  <c:v>58.44</c:v>
                </c:pt>
                <c:pt idx="216">
                  <c:v>50.94</c:v>
                </c:pt>
                <c:pt idx="217">
                  <c:v>58.67</c:v>
                </c:pt>
                <c:pt idx="218">
                  <c:v>58.26</c:v>
                </c:pt>
                <c:pt idx="219">
                  <c:v>58.9</c:v>
                </c:pt>
                <c:pt idx="220">
                  <c:v>58.89</c:v>
                </c:pt>
                <c:pt idx="221">
                  <c:v>59.14</c:v>
                </c:pt>
                <c:pt idx="222">
                  <c:v>59.17</c:v>
                </c:pt>
                <c:pt idx="223">
                  <c:v>59.06</c:v>
                </c:pt>
                <c:pt idx="224">
                  <c:v>60.57</c:v>
                </c:pt>
                <c:pt idx="225">
                  <c:v>59.73</c:v>
                </c:pt>
                <c:pt idx="226">
                  <c:v>61.13</c:v>
                </c:pt>
                <c:pt idx="227">
                  <c:v>63.34</c:v>
                </c:pt>
                <c:pt idx="228">
                  <c:v>65.22</c:v>
                </c:pt>
                <c:pt idx="229">
                  <c:v>64.42</c:v>
                </c:pt>
                <c:pt idx="230">
                  <c:v>62.47</c:v>
                </c:pt>
                <c:pt idx="231">
                  <c:v>63.22</c:v>
                </c:pt>
                <c:pt idx="232">
                  <c:v>62.27</c:v>
                </c:pt>
                <c:pt idx="233">
                  <c:v>61.61</c:v>
                </c:pt>
                <c:pt idx="234">
                  <c:v>61.63</c:v>
                </c:pt>
                <c:pt idx="235">
                  <c:v>62.56</c:v>
                </c:pt>
                <c:pt idx="236">
                  <c:v>62.86</c:v>
                </c:pt>
                <c:pt idx="237">
                  <c:v>62.26</c:v>
                </c:pt>
                <c:pt idx="238">
                  <c:v>62.8</c:v>
                </c:pt>
                <c:pt idx="239">
                  <c:v>50.51</c:v>
                </c:pt>
                <c:pt idx="240">
                  <c:v>60.79</c:v>
                </c:pt>
                <c:pt idx="241">
                  <c:v>61.31</c:v>
                </c:pt>
                <c:pt idx="242">
                  <c:v>60.67</c:v>
                </c:pt>
                <c:pt idx="243">
                  <c:v>61.2</c:v>
                </c:pt>
                <c:pt idx="244">
                  <c:v>61.12</c:v>
                </c:pt>
                <c:pt idx="245">
                  <c:v>61.44</c:v>
                </c:pt>
                <c:pt idx="246">
                  <c:v>61.85</c:v>
                </c:pt>
                <c:pt idx="247">
                  <c:v>61.46</c:v>
                </c:pt>
                <c:pt idx="248">
                  <c:v>58.79</c:v>
                </c:pt>
                <c:pt idx="249">
                  <c:v>59.41</c:v>
                </c:pt>
                <c:pt idx="250">
                  <c:v>59.79</c:v>
                </c:pt>
                <c:pt idx="251">
                  <c:v>59.65</c:v>
                </c:pt>
                <c:pt idx="252">
                  <c:v>59.44</c:v>
                </c:pt>
                <c:pt idx="253">
                  <c:v>59.72</c:v>
                </c:pt>
                <c:pt idx="254">
                  <c:v>60.04</c:v>
                </c:pt>
                <c:pt idx="255">
                  <c:v>61.88</c:v>
                </c:pt>
                <c:pt idx="256">
                  <c:v>62.05</c:v>
                </c:pt>
                <c:pt idx="257">
                  <c:v>61.88</c:v>
                </c:pt>
                <c:pt idx="258">
                  <c:v>62</c:v>
                </c:pt>
                <c:pt idx="259">
                  <c:v>61.66</c:v>
                </c:pt>
                <c:pt idx="260">
                  <c:v>54.78</c:v>
                </c:pt>
                <c:pt idx="261">
                  <c:v>61.19</c:v>
                </c:pt>
                <c:pt idx="262">
                  <c:v>61.39</c:v>
                </c:pt>
                <c:pt idx="263">
                  <c:v>61.33</c:v>
                </c:pt>
                <c:pt idx="264">
                  <c:v>61.53</c:v>
                </c:pt>
                <c:pt idx="265">
                  <c:v>61.66</c:v>
                </c:pt>
                <c:pt idx="266">
                  <c:v>61.77</c:v>
                </c:pt>
                <c:pt idx="267">
                  <c:v>61.7</c:v>
                </c:pt>
                <c:pt idx="268">
                  <c:v>64.47</c:v>
                </c:pt>
                <c:pt idx="269">
                  <c:v>65.61</c:v>
                </c:pt>
                <c:pt idx="270">
                  <c:v>65.56</c:v>
                </c:pt>
                <c:pt idx="271">
                  <c:v>64.78</c:v>
                </c:pt>
                <c:pt idx="272">
                  <c:v>64.94</c:v>
                </c:pt>
                <c:pt idx="273">
                  <c:v>64.959999999999994</c:v>
                </c:pt>
                <c:pt idx="274">
                  <c:v>64.180000000000007</c:v>
                </c:pt>
                <c:pt idx="275">
                  <c:v>65.739999999999995</c:v>
                </c:pt>
                <c:pt idx="276">
                  <c:v>64.38</c:v>
                </c:pt>
                <c:pt idx="277">
                  <c:v>65.23</c:v>
                </c:pt>
                <c:pt idx="278">
                  <c:v>65.680000000000007</c:v>
                </c:pt>
                <c:pt idx="279">
                  <c:v>65.33</c:v>
                </c:pt>
                <c:pt idx="280">
                  <c:v>64.47</c:v>
                </c:pt>
                <c:pt idx="281">
                  <c:v>58.46</c:v>
                </c:pt>
                <c:pt idx="282">
                  <c:v>64.48</c:v>
                </c:pt>
                <c:pt idx="283">
                  <c:v>65.09</c:v>
                </c:pt>
                <c:pt idx="284">
                  <c:v>65.099999999999994</c:v>
                </c:pt>
                <c:pt idx="285">
                  <c:v>65.12</c:v>
                </c:pt>
                <c:pt idx="286">
                  <c:v>65.180000000000007</c:v>
                </c:pt>
                <c:pt idx="287">
                  <c:v>65.16</c:v>
                </c:pt>
                <c:pt idx="288">
                  <c:v>67.67</c:v>
                </c:pt>
                <c:pt idx="289">
                  <c:v>68.73</c:v>
                </c:pt>
                <c:pt idx="290">
                  <c:v>68.7</c:v>
                </c:pt>
                <c:pt idx="291">
                  <c:v>69.400000000000006</c:v>
                </c:pt>
                <c:pt idx="292">
                  <c:v>69.09</c:v>
                </c:pt>
                <c:pt idx="293">
                  <c:v>69.73</c:v>
                </c:pt>
                <c:pt idx="294">
                  <c:v>69.66</c:v>
                </c:pt>
                <c:pt idx="295">
                  <c:v>69.88</c:v>
                </c:pt>
                <c:pt idx="296">
                  <c:v>70.25</c:v>
                </c:pt>
                <c:pt idx="297">
                  <c:v>70.239999999999995</c:v>
                </c:pt>
                <c:pt idx="298">
                  <c:v>70.92</c:v>
                </c:pt>
                <c:pt idx="299">
                  <c:v>70.95</c:v>
                </c:pt>
                <c:pt idx="300">
                  <c:v>70.430000000000007</c:v>
                </c:pt>
                <c:pt idx="301">
                  <c:v>70.650000000000006</c:v>
                </c:pt>
                <c:pt idx="302">
                  <c:v>71.33</c:v>
                </c:pt>
                <c:pt idx="303">
                  <c:v>58.46</c:v>
                </c:pt>
                <c:pt idx="304">
                  <c:v>71.290000000000006</c:v>
                </c:pt>
                <c:pt idx="305">
                  <c:v>71.34</c:v>
                </c:pt>
                <c:pt idx="306">
                  <c:v>71.48</c:v>
                </c:pt>
                <c:pt idx="307">
                  <c:v>71.319999999999993</c:v>
                </c:pt>
                <c:pt idx="308">
                  <c:v>71.33</c:v>
                </c:pt>
                <c:pt idx="309">
                  <c:v>71.349999999999994</c:v>
                </c:pt>
                <c:pt idx="310">
                  <c:v>74.33</c:v>
                </c:pt>
                <c:pt idx="311">
                  <c:v>74.86</c:v>
                </c:pt>
                <c:pt idx="312">
                  <c:v>73.239999999999995</c:v>
                </c:pt>
                <c:pt idx="313">
                  <c:v>72.27</c:v>
                </c:pt>
                <c:pt idx="314">
                  <c:v>72.84</c:v>
                </c:pt>
                <c:pt idx="315">
                  <c:v>70.540000000000006</c:v>
                </c:pt>
                <c:pt idx="316">
                  <c:v>70.5</c:v>
                </c:pt>
                <c:pt idx="317">
                  <c:v>69.930000000000007</c:v>
                </c:pt>
                <c:pt idx="318">
                  <c:v>72.09</c:v>
                </c:pt>
                <c:pt idx="319">
                  <c:v>72.55</c:v>
                </c:pt>
                <c:pt idx="320">
                  <c:v>72.64</c:v>
                </c:pt>
                <c:pt idx="321">
                  <c:v>68.62</c:v>
                </c:pt>
                <c:pt idx="322">
                  <c:v>69.349999999999994</c:v>
                </c:pt>
                <c:pt idx="323">
                  <c:v>71.7</c:v>
                </c:pt>
                <c:pt idx="324">
                  <c:v>72.23</c:v>
                </c:pt>
                <c:pt idx="325">
                  <c:v>54.47</c:v>
                </c:pt>
                <c:pt idx="326">
                  <c:v>72.239999999999995</c:v>
                </c:pt>
                <c:pt idx="327">
                  <c:v>71.83</c:v>
                </c:pt>
                <c:pt idx="328">
                  <c:v>70.34</c:v>
                </c:pt>
                <c:pt idx="329">
                  <c:v>71.3</c:v>
                </c:pt>
                <c:pt idx="330">
                  <c:v>70.66</c:v>
                </c:pt>
                <c:pt idx="331">
                  <c:v>70.13</c:v>
                </c:pt>
                <c:pt idx="332">
                  <c:v>70.42</c:v>
                </c:pt>
                <c:pt idx="333">
                  <c:v>68.290000000000006</c:v>
                </c:pt>
                <c:pt idx="334">
                  <c:v>69.099999999999994</c:v>
                </c:pt>
                <c:pt idx="335">
                  <c:v>68.489999999999995</c:v>
                </c:pt>
                <c:pt idx="336">
                  <c:v>67.099999999999994</c:v>
                </c:pt>
                <c:pt idx="337">
                  <c:v>68.400000000000006</c:v>
                </c:pt>
                <c:pt idx="338">
                  <c:v>66.08</c:v>
                </c:pt>
                <c:pt idx="339">
                  <c:v>66.13</c:v>
                </c:pt>
                <c:pt idx="340">
                  <c:v>67.33</c:v>
                </c:pt>
                <c:pt idx="341">
                  <c:v>67.94</c:v>
                </c:pt>
                <c:pt idx="342">
                  <c:v>67.59</c:v>
                </c:pt>
                <c:pt idx="343">
                  <c:v>67.069999999999993</c:v>
                </c:pt>
                <c:pt idx="344">
                  <c:v>66.37</c:v>
                </c:pt>
                <c:pt idx="345">
                  <c:v>65.180000000000007</c:v>
                </c:pt>
                <c:pt idx="346">
                  <c:v>66.989999999999995</c:v>
                </c:pt>
                <c:pt idx="347">
                  <c:v>58.02</c:v>
                </c:pt>
                <c:pt idx="348">
                  <c:v>67.69</c:v>
                </c:pt>
                <c:pt idx="349">
                  <c:v>67.52</c:v>
                </c:pt>
                <c:pt idx="350">
                  <c:v>67.7</c:v>
                </c:pt>
                <c:pt idx="351">
                  <c:v>67.739999999999995</c:v>
                </c:pt>
                <c:pt idx="352">
                  <c:v>67.709999999999994</c:v>
                </c:pt>
                <c:pt idx="353">
                  <c:v>68.5</c:v>
                </c:pt>
                <c:pt idx="354">
                  <c:v>69.84</c:v>
                </c:pt>
                <c:pt idx="355">
                  <c:v>69.22</c:v>
                </c:pt>
                <c:pt idx="356">
                  <c:v>68.41</c:v>
                </c:pt>
                <c:pt idx="357">
                  <c:v>69.17</c:v>
                </c:pt>
                <c:pt idx="358">
                  <c:v>68.3</c:v>
                </c:pt>
                <c:pt idx="359">
                  <c:v>69.41</c:v>
                </c:pt>
                <c:pt idx="360">
                  <c:v>69.900000000000006</c:v>
                </c:pt>
                <c:pt idx="361">
                  <c:v>69.91</c:v>
                </c:pt>
                <c:pt idx="362">
                  <c:v>71.13</c:v>
                </c:pt>
                <c:pt idx="363">
                  <c:v>71.14</c:v>
                </c:pt>
                <c:pt idx="364">
                  <c:v>70.86</c:v>
                </c:pt>
                <c:pt idx="365">
                  <c:v>70.14</c:v>
                </c:pt>
                <c:pt idx="366">
                  <c:v>70.27</c:v>
                </c:pt>
                <c:pt idx="367">
                  <c:v>70.849999999999994</c:v>
                </c:pt>
                <c:pt idx="368">
                  <c:v>71.16</c:v>
                </c:pt>
                <c:pt idx="369">
                  <c:v>69.3</c:v>
                </c:pt>
                <c:pt idx="370">
                  <c:v>71.599999999999994</c:v>
                </c:pt>
                <c:pt idx="371">
                  <c:v>71.58</c:v>
                </c:pt>
                <c:pt idx="372">
                  <c:v>71.540000000000006</c:v>
                </c:pt>
                <c:pt idx="373">
                  <c:v>71.13</c:v>
                </c:pt>
                <c:pt idx="374">
                  <c:v>75.78</c:v>
                </c:pt>
                <c:pt idx="375">
                  <c:v>77.44</c:v>
                </c:pt>
                <c:pt idx="376">
                  <c:v>78.599999999999994</c:v>
                </c:pt>
                <c:pt idx="377">
                  <c:v>77.31</c:v>
                </c:pt>
                <c:pt idx="378">
                  <c:v>78.03</c:v>
                </c:pt>
                <c:pt idx="379">
                  <c:v>78.739999999999995</c:v>
                </c:pt>
                <c:pt idx="380">
                  <c:v>79.58</c:v>
                </c:pt>
                <c:pt idx="381">
                  <c:v>79.62</c:v>
                </c:pt>
                <c:pt idx="382">
                  <c:v>79.53</c:v>
                </c:pt>
                <c:pt idx="383">
                  <c:v>80.05</c:v>
                </c:pt>
                <c:pt idx="384">
                  <c:v>80.55</c:v>
                </c:pt>
                <c:pt idx="385">
                  <c:v>80.56</c:v>
                </c:pt>
                <c:pt idx="386">
                  <c:v>80.86</c:v>
                </c:pt>
                <c:pt idx="387">
                  <c:v>81.23</c:v>
                </c:pt>
                <c:pt idx="388">
                  <c:v>80.930000000000007</c:v>
                </c:pt>
                <c:pt idx="389">
                  <c:v>81.290000000000006</c:v>
                </c:pt>
                <c:pt idx="390">
                  <c:v>65.25</c:v>
                </c:pt>
                <c:pt idx="391">
                  <c:v>81.459999999999994</c:v>
                </c:pt>
                <c:pt idx="392">
                  <c:v>81.17</c:v>
                </c:pt>
                <c:pt idx="393">
                  <c:v>81.19</c:v>
                </c:pt>
                <c:pt idx="394">
                  <c:v>80.16</c:v>
                </c:pt>
                <c:pt idx="395">
                  <c:v>82.39</c:v>
                </c:pt>
                <c:pt idx="396">
                  <c:v>82.7</c:v>
                </c:pt>
                <c:pt idx="397">
                  <c:v>80.790000000000006</c:v>
                </c:pt>
                <c:pt idx="398">
                  <c:v>79.08</c:v>
                </c:pt>
                <c:pt idx="399">
                  <c:v>81.069999999999993</c:v>
                </c:pt>
                <c:pt idx="400">
                  <c:v>80.900000000000006</c:v>
                </c:pt>
                <c:pt idx="401">
                  <c:v>82.01</c:v>
                </c:pt>
                <c:pt idx="402">
                  <c:v>81.099999999999994</c:v>
                </c:pt>
                <c:pt idx="403">
                  <c:v>79.37</c:v>
                </c:pt>
                <c:pt idx="404">
                  <c:v>80.319999999999993</c:v>
                </c:pt>
                <c:pt idx="405">
                  <c:v>78.900000000000006</c:v>
                </c:pt>
                <c:pt idx="406">
                  <c:v>79.400000000000006</c:v>
                </c:pt>
                <c:pt idx="407">
                  <c:v>80.03</c:v>
                </c:pt>
                <c:pt idx="408">
                  <c:v>80.34</c:v>
                </c:pt>
                <c:pt idx="409">
                  <c:v>76.09</c:v>
                </c:pt>
                <c:pt idx="410">
                  <c:v>74.2</c:v>
                </c:pt>
                <c:pt idx="411">
                  <c:v>71.010000000000005</c:v>
                </c:pt>
                <c:pt idx="412">
                  <c:v>53.1</c:v>
                </c:pt>
                <c:pt idx="413">
                  <c:v>70.069999999999993</c:v>
                </c:pt>
                <c:pt idx="414">
                  <c:v>71.650000000000006</c:v>
                </c:pt>
                <c:pt idx="415">
                  <c:v>70.569999999999993</c:v>
                </c:pt>
                <c:pt idx="416">
                  <c:v>65.5</c:v>
                </c:pt>
                <c:pt idx="417">
                  <c:v>66.37</c:v>
                </c:pt>
                <c:pt idx="418">
                  <c:v>66.180000000000007</c:v>
                </c:pt>
                <c:pt idx="419">
                  <c:v>68.959999999999994</c:v>
                </c:pt>
                <c:pt idx="420">
                  <c:v>71.05</c:v>
                </c:pt>
                <c:pt idx="421">
                  <c:v>71.3</c:v>
                </c:pt>
                <c:pt idx="422">
                  <c:v>70.28</c:v>
                </c:pt>
                <c:pt idx="423">
                  <c:v>70.760000000000005</c:v>
                </c:pt>
                <c:pt idx="424">
                  <c:v>70.5</c:v>
                </c:pt>
                <c:pt idx="425">
                  <c:v>70.180000000000007</c:v>
                </c:pt>
                <c:pt idx="426">
                  <c:v>70.260000000000005</c:v>
                </c:pt>
                <c:pt idx="427">
                  <c:v>71</c:v>
                </c:pt>
                <c:pt idx="428">
                  <c:v>70.349999999999994</c:v>
                </c:pt>
                <c:pt idx="429">
                  <c:v>69.459999999999994</c:v>
                </c:pt>
                <c:pt idx="430">
                  <c:v>70.37</c:v>
                </c:pt>
                <c:pt idx="431">
                  <c:v>70.89</c:v>
                </c:pt>
                <c:pt idx="432">
                  <c:v>71.17</c:v>
                </c:pt>
                <c:pt idx="433">
                  <c:v>71.58</c:v>
                </c:pt>
                <c:pt idx="434">
                  <c:v>71.650000000000006</c:v>
                </c:pt>
                <c:pt idx="435">
                  <c:v>65.25</c:v>
                </c:pt>
                <c:pt idx="436">
                  <c:v>71.77</c:v>
                </c:pt>
                <c:pt idx="437">
                  <c:v>71.69</c:v>
                </c:pt>
                <c:pt idx="438">
                  <c:v>76</c:v>
                </c:pt>
                <c:pt idx="439">
                  <c:v>76.86</c:v>
                </c:pt>
                <c:pt idx="440">
                  <c:v>77.59</c:v>
                </c:pt>
                <c:pt idx="441">
                  <c:v>78.88</c:v>
                </c:pt>
                <c:pt idx="442">
                  <c:v>78.48</c:v>
                </c:pt>
                <c:pt idx="443">
                  <c:v>77.95</c:v>
                </c:pt>
                <c:pt idx="444">
                  <c:v>80.040000000000006</c:v>
                </c:pt>
                <c:pt idx="445">
                  <c:v>80.94</c:v>
                </c:pt>
                <c:pt idx="446">
                  <c:v>80.67</c:v>
                </c:pt>
                <c:pt idx="447">
                  <c:v>81.59</c:v>
                </c:pt>
                <c:pt idx="448">
                  <c:v>82.37</c:v>
                </c:pt>
                <c:pt idx="449">
                  <c:v>82.86</c:v>
                </c:pt>
                <c:pt idx="450">
                  <c:v>82.77</c:v>
                </c:pt>
                <c:pt idx="451">
                  <c:v>82.63</c:v>
                </c:pt>
                <c:pt idx="452">
                  <c:v>82.08</c:v>
                </c:pt>
                <c:pt idx="453">
                  <c:v>82.65</c:v>
                </c:pt>
                <c:pt idx="454">
                  <c:v>83</c:v>
                </c:pt>
                <c:pt idx="455">
                  <c:v>82.89</c:v>
                </c:pt>
                <c:pt idx="456">
                  <c:v>82.91</c:v>
                </c:pt>
                <c:pt idx="457">
                  <c:v>82.98</c:v>
                </c:pt>
                <c:pt idx="458">
                  <c:v>79.099999999999994</c:v>
                </c:pt>
                <c:pt idx="459">
                  <c:v>87.93</c:v>
                </c:pt>
                <c:pt idx="460">
                  <c:v>89.67</c:v>
                </c:pt>
                <c:pt idx="461">
                  <c:v>91.36</c:v>
                </c:pt>
                <c:pt idx="462">
                  <c:v>90.67</c:v>
                </c:pt>
                <c:pt idx="463">
                  <c:v>89.24</c:v>
                </c:pt>
                <c:pt idx="464">
                  <c:v>89.51</c:v>
                </c:pt>
                <c:pt idx="465">
                  <c:v>89.61</c:v>
                </c:pt>
                <c:pt idx="466">
                  <c:v>91.4</c:v>
                </c:pt>
                <c:pt idx="467">
                  <c:v>92.59</c:v>
                </c:pt>
                <c:pt idx="468">
                  <c:v>91</c:v>
                </c:pt>
                <c:pt idx="469">
                  <c:v>91.68</c:v>
                </c:pt>
                <c:pt idx="470">
                  <c:v>91</c:v>
                </c:pt>
                <c:pt idx="471">
                  <c:v>90.96</c:v>
                </c:pt>
                <c:pt idx="472">
                  <c:v>91.39</c:v>
                </c:pt>
                <c:pt idx="473">
                  <c:v>91.43</c:v>
                </c:pt>
                <c:pt idx="474">
                  <c:v>91.54</c:v>
                </c:pt>
                <c:pt idx="475">
                  <c:v>91.41</c:v>
                </c:pt>
                <c:pt idx="476">
                  <c:v>91.63</c:v>
                </c:pt>
                <c:pt idx="477">
                  <c:v>94.57</c:v>
                </c:pt>
                <c:pt idx="478">
                  <c:v>109.21</c:v>
                </c:pt>
                <c:pt idx="479">
                  <c:v>106.68</c:v>
                </c:pt>
                <c:pt idx="480">
                  <c:v>113.49</c:v>
                </c:pt>
                <c:pt idx="481">
                  <c:v>116.55</c:v>
                </c:pt>
                <c:pt idx="482">
                  <c:v>119.78</c:v>
                </c:pt>
                <c:pt idx="483">
                  <c:v>108.82</c:v>
                </c:pt>
                <c:pt idx="484">
                  <c:v>107.14</c:v>
                </c:pt>
                <c:pt idx="485">
                  <c:v>109.3</c:v>
                </c:pt>
                <c:pt idx="486">
                  <c:v>102.67</c:v>
                </c:pt>
                <c:pt idx="487">
                  <c:v>99.91</c:v>
                </c:pt>
                <c:pt idx="488">
                  <c:v>98.02</c:v>
                </c:pt>
                <c:pt idx="489">
                  <c:v>105.32</c:v>
                </c:pt>
                <c:pt idx="490">
                  <c:v>105.99</c:v>
                </c:pt>
                <c:pt idx="491">
                  <c:v>108.73</c:v>
                </c:pt>
                <c:pt idx="492">
                  <c:v>108.5</c:v>
                </c:pt>
                <c:pt idx="493">
                  <c:v>110.22</c:v>
                </c:pt>
                <c:pt idx="494">
                  <c:v>109.54</c:v>
                </c:pt>
                <c:pt idx="495">
                  <c:v>109.88</c:v>
                </c:pt>
                <c:pt idx="496">
                  <c:v>108.5</c:v>
                </c:pt>
                <c:pt idx="497">
                  <c:v>108.28</c:v>
                </c:pt>
                <c:pt idx="498">
                  <c:v>107.74</c:v>
                </c:pt>
                <c:pt idx="499">
                  <c:v>104.93</c:v>
                </c:pt>
                <c:pt idx="500">
                  <c:v>89.06</c:v>
                </c:pt>
                <c:pt idx="501">
                  <c:v>102.58</c:v>
                </c:pt>
                <c:pt idx="502">
                  <c:v>101.44</c:v>
                </c:pt>
                <c:pt idx="503">
                  <c:v>96.73</c:v>
                </c:pt>
                <c:pt idx="504">
                  <c:v>96.68</c:v>
                </c:pt>
                <c:pt idx="505">
                  <c:v>98.35</c:v>
                </c:pt>
                <c:pt idx="506">
                  <c:v>95.63</c:v>
                </c:pt>
                <c:pt idx="507">
                  <c:v>99.7</c:v>
                </c:pt>
                <c:pt idx="508">
                  <c:v>101.89</c:v>
                </c:pt>
                <c:pt idx="509">
                  <c:v>103.33</c:v>
                </c:pt>
                <c:pt idx="510">
                  <c:v>103.95</c:v>
                </c:pt>
                <c:pt idx="511">
                  <c:v>101.44</c:v>
                </c:pt>
                <c:pt idx="512">
                  <c:v>101.5</c:v>
                </c:pt>
                <c:pt idx="513">
                  <c:v>102.06</c:v>
                </c:pt>
                <c:pt idx="514">
                  <c:v>101.54</c:v>
                </c:pt>
                <c:pt idx="515">
                  <c:v>100.66</c:v>
                </c:pt>
                <c:pt idx="516">
                  <c:v>101.29</c:v>
                </c:pt>
                <c:pt idx="517">
                  <c:v>101.34</c:v>
                </c:pt>
                <c:pt idx="518">
                  <c:v>101.67</c:v>
                </c:pt>
                <c:pt idx="519">
                  <c:v>101.64</c:v>
                </c:pt>
                <c:pt idx="520">
                  <c:v>104.67</c:v>
                </c:pt>
                <c:pt idx="521">
                  <c:v>102.11</c:v>
                </c:pt>
                <c:pt idx="522">
                  <c:v>106.97</c:v>
                </c:pt>
                <c:pt idx="523">
                  <c:v>107.38</c:v>
                </c:pt>
                <c:pt idx="524">
                  <c:v>108.62</c:v>
                </c:pt>
                <c:pt idx="525">
                  <c:v>103.57</c:v>
                </c:pt>
                <c:pt idx="526">
                  <c:v>101.19</c:v>
                </c:pt>
                <c:pt idx="527">
                  <c:v>105.05</c:v>
                </c:pt>
                <c:pt idx="528">
                  <c:v>105.3</c:v>
                </c:pt>
                <c:pt idx="529">
                  <c:v>107.75</c:v>
                </c:pt>
                <c:pt idx="530">
                  <c:v>109.55</c:v>
                </c:pt>
                <c:pt idx="531">
                  <c:v>108.58</c:v>
                </c:pt>
                <c:pt idx="532">
                  <c:v>107.44</c:v>
                </c:pt>
                <c:pt idx="533">
                  <c:v>108.5</c:v>
                </c:pt>
                <c:pt idx="534">
                  <c:v>108.66</c:v>
                </c:pt>
                <c:pt idx="535">
                  <c:v>108.67</c:v>
                </c:pt>
                <c:pt idx="536">
                  <c:v>108.54</c:v>
                </c:pt>
                <c:pt idx="537">
                  <c:v>108.65</c:v>
                </c:pt>
                <c:pt idx="538">
                  <c:v>109.19</c:v>
                </c:pt>
                <c:pt idx="539">
                  <c:v>109.28</c:v>
                </c:pt>
                <c:pt idx="540">
                  <c:v>109.26</c:v>
                </c:pt>
                <c:pt idx="541">
                  <c:v>114.41</c:v>
                </c:pt>
                <c:pt idx="542">
                  <c:v>114.62</c:v>
                </c:pt>
                <c:pt idx="543">
                  <c:v>117.15</c:v>
                </c:pt>
                <c:pt idx="544">
                  <c:v>117.47</c:v>
                </c:pt>
                <c:pt idx="545">
                  <c:v>118.25</c:v>
                </c:pt>
                <c:pt idx="546">
                  <c:v>120.3</c:v>
                </c:pt>
                <c:pt idx="547">
                  <c:v>119.84</c:v>
                </c:pt>
                <c:pt idx="548">
                  <c:v>119.24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113-4DE3-B361-67AE7A6644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15212832"/>
        <c:axId val="2115222672"/>
      </c:lineChart>
      <c:catAx>
        <c:axId val="21152151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15220048"/>
        <c:crosses val="autoZero"/>
        <c:auto val="1"/>
        <c:lblAlgn val="ctr"/>
        <c:lblOffset val="100"/>
        <c:noMultiLvlLbl val="0"/>
      </c:catAx>
      <c:valAx>
        <c:axId val="21152200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15215128"/>
        <c:crosses val="autoZero"/>
        <c:crossBetween val="between"/>
      </c:valAx>
      <c:valAx>
        <c:axId val="2115222672"/>
        <c:scaling>
          <c:orientation val="minMax"/>
        </c:scaling>
        <c:delete val="0"/>
        <c:axPos val="r"/>
        <c:numFmt formatCode="&quot;$&quot;#,##0.0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15212832"/>
        <c:crosses val="max"/>
        <c:crossBetween val="between"/>
      </c:valAx>
      <c:catAx>
        <c:axId val="211521283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2115222672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5025678040244967"/>
          <c:y val="4.629629629629629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Price per Barrel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'Comparing the Data'!$A$12:$A$265</c:f>
              <c:numCache>
                <c:formatCode>m/d/yyyy</c:formatCode>
                <c:ptCount val="254"/>
                <c:pt idx="0">
                  <c:v>44722</c:v>
                </c:pt>
                <c:pt idx="1">
                  <c:v>44721</c:v>
                </c:pt>
                <c:pt idx="2">
                  <c:v>44720</c:v>
                </c:pt>
                <c:pt idx="3">
                  <c:v>44719</c:v>
                </c:pt>
                <c:pt idx="4">
                  <c:v>44718</c:v>
                </c:pt>
                <c:pt idx="5">
                  <c:v>44715</c:v>
                </c:pt>
                <c:pt idx="6">
                  <c:v>44714</c:v>
                </c:pt>
                <c:pt idx="7">
                  <c:v>44713</c:v>
                </c:pt>
                <c:pt idx="8">
                  <c:v>44712</c:v>
                </c:pt>
                <c:pt idx="9">
                  <c:v>44711</c:v>
                </c:pt>
                <c:pt idx="10">
                  <c:v>44708</c:v>
                </c:pt>
                <c:pt idx="11">
                  <c:v>44707</c:v>
                </c:pt>
                <c:pt idx="12">
                  <c:v>44706</c:v>
                </c:pt>
                <c:pt idx="13">
                  <c:v>44705</c:v>
                </c:pt>
                <c:pt idx="14">
                  <c:v>44704</c:v>
                </c:pt>
                <c:pt idx="15">
                  <c:v>44701</c:v>
                </c:pt>
                <c:pt idx="16">
                  <c:v>44700</c:v>
                </c:pt>
                <c:pt idx="17">
                  <c:v>44699</c:v>
                </c:pt>
                <c:pt idx="18">
                  <c:v>44698</c:v>
                </c:pt>
                <c:pt idx="19">
                  <c:v>44697</c:v>
                </c:pt>
                <c:pt idx="20">
                  <c:v>44694</c:v>
                </c:pt>
                <c:pt idx="21">
                  <c:v>44693</c:v>
                </c:pt>
                <c:pt idx="22">
                  <c:v>44692</c:v>
                </c:pt>
                <c:pt idx="23">
                  <c:v>44691</c:v>
                </c:pt>
                <c:pt idx="24">
                  <c:v>44690</c:v>
                </c:pt>
                <c:pt idx="25">
                  <c:v>44687</c:v>
                </c:pt>
                <c:pt idx="26">
                  <c:v>44686</c:v>
                </c:pt>
                <c:pt idx="27">
                  <c:v>44685</c:v>
                </c:pt>
                <c:pt idx="28">
                  <c:v>44684</c:v>
                </c:pt>
                <c:pt idx="29">
                  <c:v>44683</c:v>
                </c:pt>
                <c:pt idx="30">
                  <c:v>44680</c:v>
                </c:pt>
                <c:pt idx="31">
                  <c:v>44679</c:v>
                </c:pt>
                <c:pt idx="32">
                  <c:v>44678</c:v>
                </c:pt>
                <c:pt idx="33">
                  <c:v>44677</c:v>
                </c:pt>
                <c:pt idx="34">
                  <c:v>44676</c:v>
                </c:pt>
                <c:pt idx="35">
                  <c:v>44673</c:v>
                </c:pt>
                <c:pt idx="36">
                  <c:v>44672</c:v>
                </c:pt>
                <c:pt idx="37">
                  <c:v>44671</c:v>
                </c:pt>
                <c:pt idx="38">
                  <c:v>44670</c:v>
                </c:pt>
                <c:pt idx="39">
                  <c:v>44669</c:v>
                </c:pt>
                <c:pt idx="40">
                  <c:v>44665</c:v>
                </c:pt>
                <c:pt idx="41">
                  <c:v>44664</c:v>
                </c:pt>
                <c:pt idx="42">
                  <c:v>44663</c:v>
                </c:pt>
                <c:pt idx="43">
                  <c:v>44662</c:v>
                </c:pt>
                <c:pt idx="44">
                  <c:v>44659</c:v>
                </c:pt>
                <c:pt idx="45">
                  <c:v>44658</c:v>
                </c:pt>
                <c:pt idx="46">
                  <c:v>44657</c:v>
                </c:pt>
                <c:pt idx="47">
                  <c:v>44656</c:v>
                </c:pt>
                <c:pt idx="48">
                  <c:v>44655</c:v>
                </c:pt>
                <c:pt idx="49">
                  <c:v>44652</c:v>
                </c:pt>
                <c:pt idx="50">
                  <c:v>44651</c:v>
                </c:pt>
                <c:pt idx="51">
                  <c:v>44650</c:v>
                </c:pt>
                <c:pt idx="52">
                  <c:v>44649</c:v>
                </c:pt>
                <c:pt idx="53">
                  <c:v>44648</c:v>
                </c:pt>
                <c:pt idx="54">
                  <c:v>44645</c:v>
                </c:pt>
                <c:pt idx="55">
                  <c:v>44644</c:v>
                </c:pt>
                <c:pt idx="56">
                  <c:v>44643</c:v>
                </c:pt>
                <c:pt idx="57">
                  <c:v>44642</c:v>
                </c:pt>
                <c:pt idx="58">
                  <c:v>44641</c:v>
                </c:pt>
                <c:pt idx="59">
                  <c:v>44638</c:v>
                </c:pt>
                <c:pt idx="60">
                  <c:v>44637</c:v>
                </c:pt>
                <c:pt idx="61">
                  <c:v>44636</c:v>
                </c:pt>
                <c:pt idx="62">
                  <c:v>44635</c:v>
                </c:pt>
                <c:pt idx="63">
                  <c:v>44634</c:v>
                </c:pt>
                <c:pt idx="64">
                  <c:v>44631</c:v>
                </c:pt>
                <c:pt idx="65">
                  <c:v>44630</c:v>
                </c:pt>
                <c:pt idx="66">
                  <c:v>44629</c:v>
                </c:pt>
                <c:pt idx="67">
                  <c:v>44628</c:v>
                </c:pt>
                <c:pt idx="68">
                  <c:v>44627</c:v>
                </c:pt>
                <c:pt idx="69">
                  <c:v>44624</c:v>
                </c:pt>
                <c:pt idx="70">
                  <c:v>44623</c:v>
                </c:pt>
                <c:pt idx="71">
                  <c:v>44622</c:v>
                </c:pt>
                <c:pt idx="72">
                  <c:v>44621</c:v>
                </c:pt>
                <c:pt idx="73">
                  <c:v>44620</c:v>
                </c:pt>
                <c:pt idx="74">
                  <c:v>44617</c:v>
                </c:pt>
                <c:pt idx="75">
                  <c:v>44616</c:v>
                </c:pt>
                <c:pt idx="76">
                  <c:v>44615</c:v>
                </c:pt>
                <c:pt idx="77">
                  <c:v>44614</c:v>
                </c:pt>
                <c:pt idx="78">
                  <c:v>44613</c:v>
                </c:pt>
                <c:pt idx="79">
                  <c:v>44610</c:v>
                </c:pt>
                <c:pt idx="80">
                  <c:v>44609</c:v>
                </c:pt>
                <c:pt idx="81">
                  <c:v>44608</c:v>
                </c:pt>
                <c:pt idx="82">
                  <c:v>44607</c:v>
                </c:pt>
                <c:pt idx="83">
                  <c:v>44606</c:v>
                </c:pt>
                <c:pt idx="84">
                  <c:v>44603</c:v>
                </c:pt>
                <c:pt idx="85">
                  <c:v>44602</c:v>
                </c:pt>
                <c:pt idx="86">
                  <c:v>44601</c:v>
                </c:pt>
                <c:pt idx="87">
                  <c:v>44600</c:v>
                </c:pt>
                <c:pt idx="88">
                  <c:v>44599</c:v>
                </c:pt>
                <c:pt idx="89">
                  <c:v>44596</c:v>
                </c:pt>
                <c:pt idx="90">
                  <c:v>44595</c:v>
                </c:pt>
                <c:pt idx="91">
                  <c:v>44594</c:v>
                </c:pt>
                <c:pt idx="92">
                  <c:v>44593</c:v>
                </c:pt>
                <c:pt idx="93">
                  <c:v>44592</c:v>
                </c:pt>
                <c:pt idx="94">
                  <c:v>44589</c:v>
                </c:pt>
                <c:pt idx="95">
                  <c:v>44588</c:v>
                </c:pt>
                <c:pt idx="96">
                  <c:v>44587</c:v>
                </c:pt>
                <c:pt idx="97">
                  <c:v>44586</c:v>
                </c:pt>
                <c:pt idx="98">
                  <c:v>44585</c:v>
                </c:pt>
                <c:pt idx="99">
                  <c:v>44582</c:v>
                </c:pt>
                <c:pt idx="100">
                  <c:v>44581</c:v>
                </c:pt>
                <c:pt idx="101">
                  <c:v>44580</c:v>
                </c:pt>
                <c:pt idx="102">
                  <c:v>44579</c:v>
                </c:pt>
                <c:pt idx="103">
                  <c:v>44578</c:v>
                </c:pt>
                <c:pt idx="104">
                  <c:v>44575</c:v>
                </c:pt>
                <c:pt idx="105">
                  <c:v>44574</c:v>
                </c:pt>
                <c:pt idx="106">
                  <c:v>44573</c:v>
                </c:pt>
                <c:pt idx="107">
                  <c:v>44572</c:v>
                </c:pt>
                <c:pt idx="108">
                  <c:v>44571</c:v>
                </c:pt>
                <c:pt idx="109">
                  <c:v>44568</c:v>
                </c:pt>
                <c:pt idx="110">
                  <c:v>44567</c:v>
                </c:pt>
                <c:pt idx="111">
                  <c:v>44566</c:v>
                </c:pt>
                <c:pt idx="112">
                  <c:v>44565</c:v>
                </c:pt>
                <c:pt idx="113">
                  <c:v>44564</c:v>
                </c:pt>
                <c:pt idx="114">
                  <c:v>44561</c:v>
                </c:pt>
                <c:pt idx="115">
                  <c:v>44560</c:v>
                </c:pt>
                <c:pt idx="116">
                  <c:v>44559</c:v>
                </c:pt>
                <c:pt idx="117">
                  <c:v>44558</c:v>
                </c:pt>
                <c:pt idx="118">
                  <c:v>44557</c:v>
                </c:pt>
                <c:pt idx="119">
                  <c:v>44554</c:v>
                </c:pt>
                <c:pt idx="120">
                  <c:v>44553</c:v>
                </c:pt>
                <c:pt idx="121">
                  <c:v>44552</c:v>
                </c:pt>
                <c:pt idx="122">
                  <c:v>44551</c:v>
                </c:pt>
                <c:pt idx="123">
                  <c:v>44550</c:v>
                </c:pt>
                <c:pt idx="124">
                  <c:v>44547</c:v>
                </c:pt>
                <c:pt idx="125">
                  <c:v>44546</c:v>
                </c:pt>
                <c:pt idx="126">
                  <c:v>44545</c:v>
                </c:pt>
                <c:pt idx="127">
                  <c:v>44544</c:v>
                </c:pt>
                <c:pt idx="128">
                  <c:v>44543</c:v>
                </c:pt>
                <c:pt idx="129">
                  <c:v>44540</c:v>
                </c:pt>
                <c:pt idx="130">
                  <c:v>44539</c:v>
                </c:pt>
                <c:pt idx="131">
                  <c:v>44538</c:v>
                </c:pt>
                <c:pt idx="132">
                  <c:v>44537</c:v>
                </c:pt>
                <c:pt idx="133">
                  <c:v>44536</c:v>
                </c:pt>
                <c:pt idx="134">
                  <c:v>44533</c:v>
                </c:pt>
                <c:pt idx="135">
                  <c:v>44532</c:v>
                </c:pt>
                <c:pt idx="136">
                  <c:v>44531</c:v>
                </c:pt>
                <c:pt idx="137">
                  <c:v>44530</c:v>
                </c:pt>
                <c:pt idx="138">
                  <c:v>44529</c:v>
                </c:pt>
                <c:pt idx="139">
                  <c:v>44526</c:v>
                </c:pt>
                <c:pt idx="140">
                  <c:v>44525</c:v>
                </c:pt>
                <c:pt idx="141">
                  <c:v>44524</c:v>
                </c:pt>
                <c:pt idx="142">
                  <c:v>44523</c:v>
                </c:pt>
                <c:pt idx="143">
                  <c:v>44522</c:v>
                </c:pt>
                <c:pt idx="144">
                  <c:v>44519</c:v>
                </c:pt>
                <c:pt idx="145">
                  <c:v>44518</c:v>
                </c:pt>
                <c:pt idx="146">
                  <c:v>44517</c:v>
                </c:pt>
                <c:pt idx="147">
                  <c:v>44516</c:v>
                </c:pt>
                <c:pt idx="148">
                  <c:v>44515</c:v>
                </c:pt>
                <c:pt idx="149">
                  <c:v>44512</c:v>
                </c:pt>
                <c:pt idx="150">
                  <c:v>44511</c:v>
                </c:pt>
                <c:pt idx="151">
                  <c:v>44510</c:v>
                </c:pt>
                <c:pt idx="152">
                  <c:v>44509</c:v>
                </c:pt>
                <c:pt idx="153">
                  <c:v>44508</c:v>
                </c:pt>
                <c:pt idx="154">
                  <c:v>44505</c:v>
                </c:pt>
                <c:pt idx="155">
                  <c:v>44504</c:v>
                </c:pt>
                <c:pt idx="156">
                  <c:v>44503</c:v>
                </c:pt>
                <c:pt idx="157">
                  <c:v>44502</c:v>
                </c:pt>
                <c:pt idx="158">
                  <c:v>44501</c:v>
                </c:pt>
                <c:pt idx="159">
                  <c:v>44498</c:v>
                </c:pt>
                <c:pt idx="160">
                  <c:v>44497</c:v>
                </c:pt>
                <c:pt idx="161">
                  <c:v>44496</c:v>
                </c:pt>
                <c:pt idx="162">
                  <c:v>44495</c:v>
                </c:pt>
                <c:pt idx="163">
                  <c:v>44494</c:v>
                </c:pt>
                <c:pt idx="164">
                  <c:v>44491</c:v>
                </c:pt>
                <c:pt idx="165">
                  <c:v>44490</c:v>
                </c:pt>
                <c:pt idx="166">
                  <c:v>44489</c:v>
                </c:pt>
                <c:pt idx="167">
                  <c:v>44488</c:v>
                </c:pt>
                <c:pt idx="168">
                  <c:v>44487</c:v>
                </c:pt>
                <c:pt idx="169">
                  <c:v>44484</c:v>
                </c:pt>
                <c:pt idx="170">
                  <c:v>44483</c:v>
                </c:pt>
                <c:pt idx="171">
                  <c:v>44482</c:v>
                </c:pt>
                <c:pt idx="172">
                  <c:v>44481</c:v>
                </c:pt>
                <c:pt idx="173">
                  <c:v>44480</c:v>
                </c:pt>
                <c:pt idx="174">
                  <c:v>44477</c:v>
                </c:pt>
                <c:pt idx="175">
                  <c:v>44476</c:v>
                </c:pt>
                <c:pt idx="176">
                  <c:v>44475</c:v>
                </c:pt>
                <c:pt idx="177">
                  <c:v>44474</c:v>
                </c:pt>
                <c:pt idx="178">
                  <c:v>44473</c:v>
                </c:pt>
                <c:pt idx="179">
                  <c:v>44470</c:v>
                </c:pt>
                <c:pt idx="180">
                  <c:v>44469</c:v>
                </c:pt>
                <c:pt idx="181">
                  <c:v>44468</c:v>
                </c:pt>
                <c:pt idx="182">
                  <c:v>44467</c:v>
                </c:pt>
                <c:pt idx="183">
                  <c:v>44466</c:v>
                </c:pt>
                <c:pt idx="184">
                  <c:v>44463</c:v>
                </c:pt>
                <c:pt idx="185">
                  <c:v>44462</c:v>
                </c:pt>
                <c:pt idx="186">
                  <c:v>44461</c:v>
                </c:pt>
                <c:pt idx="187">
                  <c:v>44460</c:v>
                </c:pt>
                <c:pt idx="188">
                  <c:v>44459</c:v>
                </c:pt>
                <c:pt idx="189">
                  <c:v>44456</c:v>
                </c:pt>
                <c:pt idx="190">
                  <c:v>44455</c:v>
                </c:pt>
                <c:pt idx="191">
                  <c:v>44454</c:v>
                </c:pt>
                <c:pt idx="192">
                  <c:v>44453</c:v>
                </c:pt>
                <c:pt idx="193">
                  <c:v>44452</c:v>
                </c:pt>
                <c:pt idx="194">
                  <c:v>44449</c:v>
                </c:pt>
                <c:pt idx="195">
                  <c:v>44448</c:v>
                </c:pt>
                <c:pt idx="196">
                  <c:v>44447</c:v>
                </c:pt>
                <c:pt idx="197">
                  <c:v>44446</c:v>
                </c:pt>
                <c:pt idx="198">
                  <c:v>44445</c:v>
                </c:pt>
                <c:pt idx="199">
                  <c:v>44442</c:v>
                </c:pt>
                <c:pt idx="200">
                  <c:v>44441</c:v>
                </c:pt>
                <c:pt idx="201">
                  <c:v>44440</c:v>
                </c:pt>
                <c:pt idx="202">
                  <c:v>44439</c:v>
                </c:pt>
                <c:pt idx="203">
                  <c:v>44438</c:v>
                </c:pt>
                <c:pt idx="204">
                  <c:v>44435</c:v>
                </c:pt>
                <c:pt idx="205">
                  <c:v>44434</c:v>
                </c:pt>
                <c:pt idx="206">
                  <c:v>44433</c:v>
                </c:pt>
                <c:pt idx="207">
                  <c:v>44432</c:v>
                </c:pt>
                <c:pt idx="208">
                  <c:v>44431</c:v>
                </c:pt>
                <c:pt idx="209">
                  <c:v>44428</c:v>
                </c:pt>
                <c:pt idx="210">
                  <c:v>44427</c:v>
                </c:pt>
                <c:pt idx="211">
                  <c:v>44426</c:v>
                </c:pt>
                <c:pt idx="212">
                  <c:v>44425</c:v>
                </c:pt>
                <c:pt idx="213">
                  <c:v>44424</c:v>
                </c:pt>
                <c:pt idx="214">
                  <c:v>44421</c:v>
                </c:pt>
                <c:pt idx="215">
                  <c:v>44420</c:v>
                </c:pt>
                <c:pt idx="216">
                  <c:v>44419</c:v>
                </c:pt>
                <c:pt idx="217">
                  <c:v>44418</c:v>
                </c:pt>
                <c:pt idx="218">
                  <c:v>44417</c:v>
                </c:pt>
                <c:pt idx="219">
                  <c:v>44414</c:v>
                </c:pt>
                <c:pt idx="220">
                  <c:v>44413</c:v>
                </c:pt>
                <c:pt idx="221">
                  <c:v>44412</c:v>
                </c:pt>
                <c:pt idx="222">
                  <c:v>44411</c:v>
                </c:pt>
                <c:pt idx="223">
                  <c:v>44410</c:v>
                </c:pt>
                <c:pt idx="224">
                  <c:v>44407</c:v>
                </c:pt>
                <c:pt idx="225">
                  <c:v>44406</c:v>
                </c:pt>
                <c:pt idx="226">
                  <c:v>44405</c:v>
                </c:pt>
                <c:pt idx="227">
                  <c:v>44404</c:v>
                </c:pt>
                <c:pt idx="228">
                  <c:v>44403</c:v>
                </c:pt>
                <c:pt idx="229">
                  <c:v>44400</c:v>
                </c:pt>
                <c:pt idx="230">
                  <c:v>44399</c:v>
                </c:pt>
                <c:pt idx="231">
                  <c:v>44398</c:v>
                </c:pt>
                <c:pt idx="232">
                  <c:v>44397</c:v>
                </c:pt>
                <c:pt idx="233">
                  <c:v>44396</c:v>
                </c:pt>
                <c:pt idx="234">
                  <c:v>44393</c:v>
                </c:pt>
                <c:pt idx="235">
                  <c:v>44392</c:v>
                </c:pt>
                <c:pt idx="236">
                  <c:v>44391</c:v>
                </c:pt>
                <c:pt idx="237">
                  <c:v>44390</c:v>
                </c:pt>
                <c:pt idx="238">
                  <c:v>44389</c:v>
                </c:pt>
                <c:pt idx="239">
                  <c:v>44386</c:v>
                </c:pt>
                <c:pt idx="240">
                  <c:v>44385</c:v>
                </c:pt>
                <c:pt idx="241">
                  <c:v>44384</c:v>
                </c:pt>
                <c:pt idx="242">
                  <c:v>44383</c:v>
                </c:pt>
                <c:pt idx="243">
                  <c:v>44382</c:v>
                </c:pt>
                <c:pt idx="244">
                  <c:v>44379</c:v>
                </c:pt>
                <c:pt idx="245">
                  <c:v>44378</c:v>
                </c:pt>
                <c:pt idx="246">
                  <c:v>44377</c:v>
                </c:pt>
                <c:pt idx="247">
                  <c:v>44376</c:v>
                </c:pt>
                <c:pt idx="248">
                  <c:v>44375</c:v>
                </c:pt>
                <c:pt idx="249">
                  <c:v>44372</c:v>
                </c:pt>
                <c:pt idx="250">
                  <c:v>44371</c:v>
                </c:pt>
                <c:pt idx="251">
                  <c:v>44370</c:v>
                </c:pt>
                <c:pt idx="252">
                  <c:v>44369</c:v>
                </c:pt>
                <c:pt idx="253">
                  <c:v>44368</c:v>
                </c:pt>
              </c:numCache>
            </c:numRef>
          </c:xVal>
          <c:yVal>
            <c:numRef>
              <c:f>'Comparing the Data'!$H$12:$H$265</c:f>
              <c:numCache>
                <c:formatCode>"$"#,##0.00</c:formatCode>
                <c:ptCount val="254"/>
                <c:pt idx="0">
                  <c:v>106.57</c:v>
                </c:pt>
                <c:pt idx="1">
                  <c:v>107.41</c:v>
                </c:pt>
                <c:pt idx="2">
                  <c:v>108.01</c:v>
                </c:pt>
                <c:pt idx="3">
                  <c:v>105.31</c:v>
                </c:pt>
                <c:pt idx="4">
                  <c:v>104.4</c:v>
                </c:pt>
                <c:pt idx="5">
                  <c:v>104.77</c:v>
                </c:pt>
                <c:pt idx="6">
                  <c:v>102.77</c:v>
                </c:pt>
                <c:pt idx="7">
                  <c:v>101.16</c:v>
                </c:pt>
                <c:pt idx="8">
                  <c:v>100.57</c:v>
                </c:pt>
                <c:pt idx="9">
                  <c:v>100.97</c:v>
                </c:pt>
                <c:pt idx="10">
                  <c:v>109.19</c:v>
                </c:pt>
                <c:pt idx="11">
                  <c:v>108.65</c:v>
                </c:pt>
                <c:pt idx="12">
                  <c:v>108.54</c:v>
                </c:pt>
                <c:pt idx="13">
                  <c:v>108.67</c:v>
                </c:pt>
                <c:pt idx="14">
                  <c:v>108.66</c:v>
                </c:pt>
                <c:pt idx="15">
                  <c:v>108.5</c:v>
                </c:pt>
                <c:pt idx="16">
                  <c:v>107.44</c:v>
                </c:pt>
                <c:pt idx="17">
                  <c:v>108.58</c:v>
                </c:pt>
                <c:pt idx="18">
                  <c:v>109.55</c:v>
                </c:pt>
                <c:pt idx="19">
                  <c:v>107.75</c:v>
                </c:pt>
                <c:pt idx="20">
                  <c:v>105.3</c:v>
                </c:pt>
                <c:pt idx="21">
                  <c:v>105.05</c:v>
                </c:pt>
                <c:pt idx="22">
                  <c:v>101.19</c:v>
                </c:pt>
                <c:pt idx="23">
                  <c:v>103.57</c:v>
                </c:pt>
                <c:pt idx="24">
                  <c:v>108.62</c:v>
                </c:pt>
                <c:pt idx="25">
                  <c:v>107.38</c:v>
                </c:pt>
                <c:pt idx="26">
                  <c:v>106.97</c:v>
                </c:pt>
                <c:pt idx="27">
                  <c:v>102.11</c:v>
                </c:pt>
                <c:pt idx="28">
                  <c:v>104.67</c:v>
                </c:pt>
                <c:pt idx="29">
                  <c:v>101.64</c:v>
                </c:pt>
                <c:pt idx="30">
                  <c:v>101.67</c:v>
                </c:pt>
                <c:pt idx="31">
                  <c:v>101.34</c:v>
                </c:pt>
                <c:pt idx="32">
                  <c:v>101.29</c:v>
                </c:pt>
                <c:pt idx="33">
                  <c:v>100.66</c:v>
                </c:pt>
                <c:pt idx="34">
                  <c:v>101.54</c:v>
                </c:pt>
                <c:pt idx="35">
                  <c:v>102.06</c:v>
                </c:pt>
                <c:pt idx="36">
                  <c:v>101.5</c:v>
                </c:pt>
                <c:pt idx="37">
                  <c:v>101.44</c:v>
                </c:pt>
                <c:pt idx="38">
                  <c:v>103.95</c:v>
                </c:pt>
                <c:pt idx="39">
                  <c:v>103.33</c:v>
                </c:pt>
                <c:pt idx="40">
                  <c:v>101.89</c:v>
                </c:pt>
                <c:pt idx="41">
                  <c:v>99.7</c:v>
                </c:pt>
                <c:pt idx="42">
                  <c:v>95.63</c:v>
                </c:pt>
                <c:pt idx="43">
                  <c:v>98.35</c:v>
                </c:pt>
                <c:pt idx="44">
                  <c:v>96.68</c:v>
                </c:pt>
                <c:pt idx="45">
                  <c:v>96.73</c:v>
                </c:pt>
                <c:pt idx="46">
                  <c:v>101.44</c:v>
                </c:pt>
                <c:pt idx="47">
                  <c:v>102.58</c:v>
                </c:pt>
                <c:pt idx="48">
                  <c:v>89.06</c:v>
                </c:pt>
                <c:pt idx="49">
                  <c:v>104.93</c:v>
                </c:pt>
                <c:pt idx="50">
                  <c:v>107.74</c:v>
                </c:pt>
                <c:pt idx="51">
                  <c:v>108.28</c:v>
                </c:pt>
                <c:pt idx="52">
                  <c:v>108.5</c:v>
                </c:pt>
                <c:pt idx="53">
                  <c:v>109.88</c:v>
                </c:pt>
                <c:pt idx="54">
                  <c:v>109.54</c:v>
                </c:pt>
                <c:pt idx="55">
                  <c:v>110.22</c:v>
                </c:pt>
                <c:pt idx="56">
                  <c:v>108.5</c:v>
                </c:pt>
                <c:pt idx="57">
                  <c:v>108.73</c:v>
                </c:pt>
                <c:pt idx="58">
                  <c:v>105.99</c:v>
                </c:pt>
                <c:pt idx="59">
                  <c:v>105.32</c:v>
                </c:pt>
                <c:pt idx="60">
                  <c:v>98.02</c:v>
                </c:pt>
                <c:pt idx="61">
                  <c:v>99.91</c:v>
                </c:pt>
                <c:pt idx="62">
                  <c:v>102.67</c:v>
                </c:pt>
                <c:pt idx="63">
                  <c:v>109.3</c:v>
                </c:pt>
                <c:pt idx="64">
                  <c:v>107.14</c:v>
                </c:pt>
                <c:pt idx="65">
                  <c:v>108.82</c:v>
                </c:pt>
                <c:pt idx="66">
                  <c:v>119.78</c:v>
                </c:pt>
                <c:pt idx="67">
                  <c:v>116.55</c:v>
                </c:pt>
                <c:pt idx="68">
                  <c:v>113.49</c:v>
                </c:pt>
                <c:pt idx="69">
                  <c:v>106.68</c:v>
                </c:pt>
                <c:pt idx="70">
                  <c:v>109.21</c:v>
                </c:pt>
                <c:pt idx="71">
                  <c:v>94.57</c:v>
                </c:pt>
                <c:pt idx="72">
                  <c:v>91.63</c:v>
                </c:pt>
                <c:pt idx="73">
                  <c:v>91.41</c:v>
                </c:pt>
                <c:pt idx="74">
                  <c:v>91.54</c:v>
                </c:pt>
                <c:pt idx="75">
                  <c:v>91.43</c:v>
                </c:pt>
                <c:pt idx="76">
                  <c:v>91.39</c:v>
                </c:pt>
                <c:pt idx="77">
                  <c:v>90.96</c:v>
                </c:pt>
                <c:pt idx="78">
                  <c:v>91</c:v>
                </c:pt>
                <c:pt idx="79">
                  <c:v>91.68</c:v>
                </c:pt>
                <c:pt idx="80">
                  <c:v>91</c:v>
                </c:pt>
                <c:pt idx="81">
                  <c:v>92.59</c:v>
                </c:pt>
                <c:pt idx="82">
                  <c:v>91.4</c:v>
                </c:pt>
                <c:pt idx="83">
                  <c:v>89.61</c:v>
                </c:pt>
                <c:pt idx="84">
                  <c:v>89.51</c:v>
                </c:pt>
                <c:pt idx="85">
                  <c:v>89.24</c:v>
                </c:pt>
                <c:pt idx="86">
                  <c:v>90.67</c:v>
                </c:pt>
                <c:pt idx="87">
                  <c:v>91.36</c:v>
                </c:pt>
                <c:pt idx="88">
                  <c:v>89.67</c:v>
                </c:pt>
                <c:pt idx="89">
                  <c:v>87.93</c:v>
                </c:pt>
                <c:pt idx="90">
                  <c:v>79.099999999999994</c:v>
                </c:pt>
                <c:pt idx="91">
                  <c:v>82.98</c:v>
                </c:pt>
                <c:pt idx="92">
                  <c:v>82.91</c:v>
                </c:pt>
                <c:pt idx="93">
                  <c:v>82.89</c:v>
                </c:pt>
                <c:pt idx="94">
                  <c:v>83</c:v>
                </c:pt>
                <c:pt idx="95">
                  <c:v>82.65</c:v>
                </c:pt>
                <c:pt idx="96">
                  <c:v>82.08</c:v>
                </c:pt>
                <c:pt idx="97">
                  <c:v>82.63</c:v>
                </c:pt>
                <c:pt idx="98">
                  <c:v>82.77</c:v>
                </c:pt>
                <c:pt idx="99">
                  <c:v>82.86</c:v>
                </c:pt>
                <c:pt idx="100">
                  <c:v>82.37</c:v>
                </c:pt>
                <c:pt idx="101">
                  <c:v>81.59</c:v>
                </c:pt>
                <c:pt idx="102">
                  <c:v>80.67</c:v>
                </c:pt>
                <c:pt idx="103">
                  <c:v>80.94</c:v>
                </c:pt>
                <c:pt idx="104">
                  <c:v>80.040000000000006</c:v>
                </c:pt>
                <c:pt idx="105">
                  <c:v>77.95</c:v>
                </c:pt>
                <c:pt idx="106">
                  <c:v>78.48</c:v>
                </c:pt>
                <c:pt idx="107">
                  <c:v>78.88</c:v>
                </c:pt>
                <c:pt idx="108">
                  <c:v>77.59</c:v>
                </c:pt>
                <c:pt idx="109">
                  <c:v>76.86</c:v>
                </c:pt>
                <c:pt idx="110">
                  <c:v>76</c:v>
                </c:pt>
                <c:pt idx="111">
                  <c:v>71.69</c:v>
                </c:pt>
                <c:pt idx="112">
                  <c:v>71.77</c:v>
                </c:pt>
                <c:pt idx="113">
                  <c:v>65.25</c:v>
                </c:pt>
                <c:pt idx="114">
                  <c:v>71.650000000000006</c:v>
                </c:pt>
                <c:pt idx="115">
                  <c:v>71.58</c:v>
                </c:pt>
                <c:pt idx="116">
                  <c:v>71.17</c:v>
                </c:pt>
                <c:pt idx="117">
                  <c:v>70.89</c:v>
                </c:pt>
                <c:pt idx="118">
                  <c:v>70.37</c:v>
                </c:pt>
                <c:pt idx="119">
                  <c:v>69.459999999999994</c:v>
                </c:pt>
                <c:pt idx="120">
                  <c:v>70.349999999999994</c:v>
                </c:pt>
                <c:pt idx="121">
                  <c:v>71</c:v>
                </c:pt>
                <c:pt idx="122">
                  <c:v>70.260000000000005</c:v>
                </c:pt>
                <c:pt idx="123">
                  <c:v>70.180000000000007</c:v>
                </c:pt>
                <c:pt idx="124">
                  <c:v>70.5</c:v>
                </c:pt>
                <c:pt idx="125">
                  <c:v>70.760000000000005</c:v>
                </c:pt>
                <c:pt idx="126">
                  <c:v>70.28</c:v>
                </c:pt>
                <c:pt idx="127">
                  <c:v>71.3</c:v>
                </c:pt>
                <c:pt idx="128">
                  <c:v>71.05</c:v>
                </c:pt>
                <c:pt idx="129">
                  <c:v>68.959999999999994</c:v>
                </c:pt>
                <c:pt idx="130">
                  <c:v>66.180000000000007</c:v>
                </c:pt>
                <c:pt idx="131">
                  <c:v>66.37</c:v>
                </c:pt>
                <c:pt idx="132">
                  <c:v>65.5</c:v>
                </c:pt>
                <c:pt idx="133">
                  <c:v>70.569999999999993</c:v>
                </c:pt>
                <c:pt idx="134">
                  <c:v>71.650000000000006</c:v>
                </c:pt>
                <c:pt idx="135">
                  <c:v>70.069999999999993</c:v>
                </c:pt>
                <c:pt idx="136">
                  <c:v>53.1</c:v>
                </c:pt>
                <c:pt idx="137">
                  <c:v>71.010000000000005</c:v>
                </c:pt>
                <c:pt idx="138">
                  <c:v>74.2</c:v>
                </c:pt>
                <c:pt idx="139">
                  <c:v>76.09</c:v>
                </c:pt>
                <c:pt idx="140">
                  <c:v>80.34</c:v>
                </c:pt>
                <c:pt idx="141">
                  <c:v>80.03</c:v>
                </c:pt>
                <c:pt idx="142">
                  <c:v>79.400000000000006</c:v>
                </c:pt>
                <c:pt idx="143">
                  <c:v>78.900000000000006</c:v>
                </c:pt>
                <c:pt idx="144">
                  <c:v>80.319999999999993</c:v>
                </c:pt>
                <c:pt idx="145">
                  <c:v>79.37</c:v>
                </c:pt>
                <c:pt idx="146">
                  <c:v>81.099999999999994</c:v>
                </c:pt>
                <c:pt idx="147">
                  <c:v>82.01</c:v>
                </c:pt>
                <c:pt idx="148">
                  <c:v>80.900000000000006</c:v>
                </c:pt>
                <c:pt idx="149">
                  <c:v>81.069999999999993</c:v>
                </c:pt>
                <c:pt idx="150">
                  <c:v>79.08</c:v>
                </c:pt>
                <c:pt idx="151">
                  <c:v>80.790000000000006</c:v>
                </c:pt>
                <c:pt idx="152">
                  <c:v>82.7</c:v>
                </c:pt>
                <c:pt idx="153">
                  <c:v>82.39</c:v>
                </c:pt>
                <c:pt idx="154">
                  <c:v>80.16</c:v>
                </c:pt>
                <c:pt idx="155">
                  <c:v>81.19</c:v>
                </c:pt>
                <c:pt idx="156">
                  <c:v>81.17</c:v>
                </c:pt>
                <c:pt idx="157">
                  <c:v>81.459999999999994</c:v>
                </c:pt>
                <c:pt idx="158">
                  <c:v>65.25</c:v>
                </c:pt>
                <c:pt idx="159">
                  <c:v>81.290000000000006</c:v>
                </c:pt>
                <c:pt idx="160">
                  <c:v>80.930000000000007</c:v>
                </c:pt>
                <c:pt idx="161">
                  <c:v>81.23</c:v>
                </c:pt>
                <c:pt idx="162">
                  <c:v>80.86</c:v>
                </c:pt>
                <c:pt idx="163">
                  <c:v>80.56</c:v>
                </c:pt>
                <c:pt idx="164">
                  <c:v>80.55</c:v>
                </c:pt>
                <c:pt idx="165">
                  <c:v>80.05</c:v>
                </c:pt>
                <c:pt idx="166">
                  <c:v>79.53</c:v>
                </c:pt>
                <c:pt idx="167">
                  <c:v>79.62</c:v>
                </c:pt>
                <c:pt idx="168">
                  <c:v>79.58</c:v>
                </c:pt>
                <c:pt idx="169">
                  <c:v>78.739999999999995</c:v>
                </c:pt>
                <c:pt idx="170">
                  <c:v>78.03</c:v>
                </c:pt>
                <c:pt idx="171">
                  <c:v>77.31</c:v>
                </c:pt>
                <c:pt idx="172">
                  <c:v>78.599999999999994</c:v>
                </c:pt>
                <c:pt idx="173">
                  <c:v>77.44</c:v>
                </c:pt>
                <c:pt idx="174">
                  <c:v>75.78</c:v>
                </c:pt>
                <c:pt idx="175">
                  <c:v>71.13</c:v>
                </c:pt>
                <c:pt idx="176">
                  <c:v>71.540000000000006</c:v>
                </c:pt>
                <c:pt idx="177">
                  <c:v>71.58</c:v>
                </c:pt>
                <c:pt idx="178">
                  <c:v>71.599999999999994</c:v>
                </c:pt>
                <c:pt idx="179">
                  <c:v>69.3</c:v>
                </c:pt>
                <c:pt idx="180">
                  <c:v>71.16</c:v>
                </c:pt>
                <c:pt idx="181">
                  <c:v>70.849999999999994</c:v>
                </c:pt>
                <c:pt idx="182">
                  <c:v>70.27</c:v>
                </c:pt>
                <c:pt idx="183">
                  <c:v>70.14</c:v>
                </c:pt>
                <c:pt idx="184">
                  <c:v>70.86</c:v>
                </c:pt>
                <c:pt idx="185">
                  <c:v>71.14</c:v>
                </c:pt>
                <c:pt idx="186">
                  <c:v>71.13</c:v>
                </c:pt>
                <c:pt idx="187">
                  <c:v>69.91</c:v>
                </c:pt>
                <c:pt idx="188">
                  <c:v>69.900000000000006</c:v>
                </c:pt>
                <c:pt idx="189">
                  <c:v>69.41</c:v>
                </c:pt>
                <c:pt idx="190">
                  <c:v>68.3</c:v>
                </c:pt>
                <c:pt idx="191">
                  <c:v>69.17</c:v>
                </c:pt>
                <c:pt idx="192">
                  <c:v>68.41</c:v>
                </c:pt>
                <c:pt idx="193">
                  <c:v>69.22</c:v>
                </c:pt>
                <c:pt idx="194">
                  <c:v>69.84</c:v>
                </c:pt>
                <c:pt idx="195">
                  <c:v>68.5</c:v>
                </c:pt>
                <c:pt idx="196">
                  <c:v>67.709999999999994</c:v>
                </c:pt>
                <c:pt idx="197">
                  <c:v>67.739999999999995</c:v>
                </c:pt>
                <c:pt idx="198">
                  <c:v>67.7</c:v>
                </c:pt>
                <c:pt idx="199">
                  <c:v>67.52</c:v>
                </c:pt>
                <c:pt idx="200">
                  <c:v>67.69</c:v>
                </c:pt>
                <c:pt idx="201">
                  <c:v>58.02</c:v>
                </c:pt>
                <c:pt idx="202">
                  <c:v>66.989999999999995</c:v>
                </c:pt>
                <c:pt idx="203">
                  <c:v>65.180000000000007</c:v>
                </c:pt>
                <c:pt idx="204">
                  <c:v>66.37</c:v>
                </c:pt>
                <c:pt idx="205">
                  <c:v>67.069999999999993</c:v>
                </c:pt>
                <c:pt idx="206">
                  <c:v>67.59</c:v>
                </c:pt>
                <c:pt idx="207">
                  <c:v>67.94</c:v>
                </c:pt>
                <c:pt idx="208">
                  <c:v>67.33</c:v>
                </c:pt>
                <c:pt idx="209">
                  <c:v>66.13</c:v>
                </c:pt>
                <c:pt idx="210">
                  <c:v>66.08</c:v>
                </c:pt>
                <c:pt idx="211">
                  <c:v>68.400000000000006</c:v>
                </c:pt>
                <c:pt idx="212">
                  <c:v>67.099999999999994</c:v>
                </c:pt>
                <c:pt idx="213">
                  <c:v>68.489999999999995</c:v>
                </c:pt>
                <c:pt idx="214">
                  <c:v>69.099999999999994</c:v>
                </c:pt>
                <c:pt idx="215">
                  <c:v>68.290000000000006</c:v>
                </c:pt>
                <c:pt idx="216">
                  <c:v>70.42</c:v>
                </c:pt>
                <c:pt idx="217">
                  <c:v>70.13</c:v>
                </c:pt>
                <c:pt idx="218">
                  <c:v>70.66</c:v>
                </c:pt>
                <c:pt idx="219">
                  <c:v>71.3</c:v>
                </c:pt>
                <c:pt idx="220">
                  <c:v>70.34</c:v>
                </c:pt>
                <c:pt idx="221">
                  <c:v>71.83</c:v>
                </c:pt>
                <c:pt idx="222">
                  <c:v>72.239999999999995</c:v>
                </c:pt>
                <c:pt idx="223">
                  <c:v>54.47</c:v>
                </c:pt>
                <c:pt idx="224">
                  <c:v>72.23</c:v>
                </c:pt>
                <c:pt idx="225">
                  <c:v>71.7</c:v>
                </c:pt>
                <c:pt idx="226">
                  <c:v>69.349999999999994</c:v>
                </c:pt>
                <c:pt idx="227">
                  <c:v>68.62</c:v>
                </c:pt>
                <c:pt idx="228">
                  <c:v>72.64</c:v>
                </c:pt>
                <c:pt idx="229">
                  <c:v>72.55</c:v>
                </c:pt>
                <c:pt idx="230">
                  <c:v>72.09</c:v>
                </c:pt>
                <c:pt idx="231">
                  <c:v>69.930000000000007</c:v>
                </c:pt>
                <c:pt idx="232">
                  <c:v>70.5</c:v>
                </c:pt>
                <c:pt idx="233">
                  <c:v>70.540000000000006</c:v>
                </c:pt>
                <c:pt idx="234">
                  <c:v>72.84</c:v>
                </c:pt>
                <c:pt idx="235">
                  <c:v>72.27</c:v>
                </c:pt>
                <c:pt idx="236">
                  <c:v>73.239999999999995</c:v>
                </c:pt>
                <c:pt idx="237">
                  <c:v>74.86</c:v>
                </c:pt>
                <c:pt idx="238">
                  <c:v>74.33</c:v>
                </c:pt>
                <c:pt idx="239">
                  <c:v>71.349999999999994</c:v>
                </c:pt>
                <c:pt idx="240">
                  <c:v>71.33</c:v>
                </c:pt>
                <c:pt idx="241">
                  <c:v>71.319999999999993</c:v>
                </c:pt>
                <c:pt idx="242">
                  <c:v>71.48</c:v>
                </c:pt>
                <c:pt idx="243">
                  <c:v>71.34</c:v>
                </c:pt>
                <c:pt idx="244">
                  <c:v>71.290000000000006</c:v>
                </c:pt>
                <c:pt idx="245">
                  <c:v>58.46</c:v>
                </c:pt>
                <c:pt idx="246">
                  <c:v>71.33</c:v>
                </c:pt>
                <c:pt idx="247">
                  <c:v>70.650000000000006</c:v>
                </c:pt>
                <c:pt idx="248">
                  <c:v>70.430000000000007</c:v>
                </c:pt>
                <c:pt idx="249">
                  <c:v>70.95</c:v>
                </c:pt>
                <c:pt idx="250">
                  <c:v>70.92</c:v>
                </c:pt>
                <c:pt idx="251">
                  <c:v>70.239999999999995</c:v>
                </c:pt>
                <c:pt idx="252">
                  <c:v>70.25</c:v>
                </c:pt>
                <c:pt idx="253">
                  <c:v>69.88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BBB-462F-938D-F058987DC8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8850880"/>
        <c:axId val="1038856128"/>
      </c:scatterChart>
      <c:valAx>
        <c:axId val="10388508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0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38856128"/>
        <c:crosses val="autoZero"/>
        <c:crossBetween val="midCat"/>
      </c:valAx>
      <c:valAx>
        <c:axId val="1038856128"/>
        <c:scaling>
          <c:orientation val="minMax"/>
          <c:max val="125"/>
          <c:min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3885088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Gasoline wholesale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'Comparing the Data'!$A$2:$A$685</c:f>
              <c:numCache>
                <c:formatCode>m/d/yyyy</c:formatCode>
                <c:ptCount val="684"/>
                <c:pt idx="0">
                  <c:v>44739</c:v>
                </c:pt>
                <c:pt idx="1">
                  <c:v>44736</c:v>
                </c:pt>
                <c:pt idx="2">
                  <c:v>44735</c:v>
                </c:pt>
                <c:pt idx="3">
                  <c:v>44734</c:v>
                </c:pt>
                <c:pt idx="4">
                  <c:v>44733</c:v>
                </c:pt>
                <c:pt idx="5">
                  <c:v>44729</c:v>
                </c:pt>
                <c:pt idx="6">
                  <c:v>44728</c:v>
                </c:pt>
                <c:pt idx="7">
                  <c:v>44727</c:v>
                </c:pt>
                <c:pt idx="8">
                  <c:v>44726</c:v>
                </c:pt>
                <c:pt idx="9">
                  <c:v>44725</c:v>
                </c:pt>
                <c:pt idx="10">
                  <c:v>44722</c:v>
                </c:pt>
                <c:pt idx="11">
                  <c:v>44721</c:v>
                </c:pt>
                <c:pt idx="12">
                  <c:v>44720</c:v>
                </c:pt>
                <c:pt idx="13">
                  <c:v>44719</c:v>
                </c:pt>
                <c:pt idx="14">
                  <c:v>44718</c:v>
                </c:pt>
                <c:pt idx="15">
                  <c:v>44715</c:v>
                </c:pt>
                <c:pt idx="16">
                  <c:v>44714</c:v>
                </c:pt>
                <c:pt idx="17">
                  <c:v>44713</c:v>
                </c:pt>
                <c:pt idx="18">
                  <c:v>44712</c:v>
                </c:pt>
                <c:pt idx="19">
                  <c:v>44711</c:v>
                </c:pt>
                <c:pt idx="20">
                  <c:v>44708</c:v>
                </c:pt>
                <c:pt idx="21">
                  <c:v>44707</c:v>
                </c:pt>
                <c:pt idx="22">
                  <c:v>44706</c:v>
                </c:pt>
                <c:pt idx="23">
                  <c:v>44705</c:v>
                </c:pt>
                <c:pt idx="24">
                  <c:v>44704</c:v>
                </c:pt>
                <c:pt idx="25">
                  <c:v>44701</c:v>
                </c:pt>
                <c:pt idx="26">
                  <c:v>44700</c:v>
                </c:pt>
                <c:pt idx="27">
                  <c:v>44699</c:v>
                </c:pt>
                <c:pt idx="28">
                  <c:v>44698</c:v>
                </c:pt>
                <c:pt idx="29">
                  <c:v>44697</c:v>
                </c:pt>
                <c:pt idx="30">
                  <c:v>44694</c:v>
                </c:pt>
                <c:pt idx="31">
                  <c:v>44693</c:v>
                </c:pt>
                <c:pt idx="32">
                  <c:v>44692</c:v>
                </c:pt>
                <c:pt idx="33">
                  <c:v>44691</c:v>
                </c:pt>
                <c:pt idx="34">
                  <c:v>44690</c:v>
                </c:pt>
                <c:pt idx="35">
                  <c:v>44687</c:v>
                </c:pt>
                <c:pt idx="36">
                  <c:v>44686</c:v>
                </c:pt>
                <c:pt idx="37">
                  <c:v>44685</c:v>
                </c:pt>
                <c:pt idx="38">
                  <c:v>44684</c:v>
                </c:pt>
                <c:pt idx="39">
                  <c:v>44683</c:v>
                </c:pt>
                <c:pt idx="40">
                  <c:v>44680</c:v>
                </c:pt>
                <c:pt idx="41">
                  <c:v>44679</c:v>
                </c:pt>
                <c:pt idx="42">
                  <c:v>44678</c:v>
                </c:pt>
                <c:pt idx="43">
                  <c:v>44677</c:v>
                </c:pt>
                <c:pt idx="44">
                  <c:v>44676</c:v>
                </c:pt>
                <c:pt idx="45">
                  <c:v>44673</c:v>
                </c:pt>
                <c:pt idx="46">
                  <c:v>44672</c:v>
                </c:pt>
                <c:pt idx="47">
                  <c:v>44671</c:v>
                </c:pt>
                <c:pt idx="48">
                  <c:v>44670</c:v>
                </c:pt>
                <c:pt idx="49">
                  <c:v>44669</c:v>
                </c:pt>
                <c:pt idx="50">
                  <c:v>44665</c:v>
                </c:pt>
                <c:pt idx="51">
                  <c:v>44664</c:v>
                </c:pt>
                <c:pt idx="52">
                  <c:v>44663</c:v>
                </c:pt>
                <c:pt idx="53">
                  <c:v>44662</c:v>
                </c:pt>
                <c:pt idx="54">
                  <c:v>44659</c:v>
                </c:pt>
                <c:pt idx="55">
                  <c:v>44658</c:v>
                </c:pt>
                <c:pt idx="56">
                  <c:v>44657</c:v>
                </c:pt>
                <c:pt idx="57">
                  <c:v>44656</c:v>
                </c:pt>
                <c:pt idx="58">
                  <c:v>44655</c:v>
                </c:pt>
                <c:pt idx="59">
                  <c:v>44652</c:v>
                </c:pt>
                <c:pt idx="60">
                  <c:v>44651</c:v>
                </c:pt>
                <c:pt idx="61">
                  <c:v>44650</c:v>
                </c:pt>
                <c:pt idx="62">
                  <c:v>44649</c:v>
                </c:pt>
                <c:pt idx="63">
                  <c:v>44648</c:v>
                </c:pt>
                <c:pt idx="64">
                  <c:v>44645</c:v>
                </c:pt>
                <c:pt idx="65">
                  <c:v>44644</c:v>
                </c:pt>
                <c:pt idx="66">
                  <c:v>44643</c:v>
                </c:pt>
                <c:pt idx="67">
                  <c:v>44642</c:v>
                </c:pt>
                <c:pt idx="68">
                  <c:v>44641</c:v>
                </c:pt>
                <c:pt idx="69">
                  <c:v>44638</c:v>
                </c:pt>
                <c:pt idx="70">
                  <c:v>44637</c:v>
                </c:pt>
                <c:pt idx="71">
                  <c:v>44636</c:v>
                </c:pt>
                <c:pt idx="72">
                  <c:v>44635</c:v>
                </c:pt>
                <c:pt idx="73">
                  <c:v>44634</c:v>
                </c:pt>
                <c:pt idx="74">
                  <c:v>44631</c:v>
                </c:pt>
                <c:pt idx="75">
                  <c:v>44630</c:v>
                </c:pt>
                <c:pt idx="76">
                  <c:v>44629</c:v>
                </c:pt>
                <c:pt idx="77">
                  <c:v>44628</c:v>
                </c:pt>
                <c:pt idx="78">
                  <c:v>44627</c:v>
                </c:pt>
                <c:pt idx="79">
                  <c:v>44624</c:v>
                </c:pt>
                <c:pt idx="80">
                  <c:v>44623</c:v>
                </c:pt>
                <c:pt idx="81">
                  <c:v>44622</c:v>
                </c:pt>
                <c:pt idx="82">
                  <c:v>44621</c:v>
                </c:pt>
                <c:pt idx="83">
                  <c:v>44620</c:v>
                </c:pt>
                <c:pt idx="84">
                  <c:v>44617</c:v>
                </c:pt>
                <c:pt idx="85">
                  <c:v>44616</c:v>
                </c:pt>
                <c:pt idx="86">
                  <c:v>44615</c:v>
                </c:pt>
                <c:pt idx="87">
                  <c:v>44614</c:v>
                </c:pt>
                <c:pt idx="88">
                  <c:v>44613</c:v>
                </c:pt>
                <c:pt idx="89">
                  <c:v>44610</c:v>
                </c:pt>
                <c:pt idx="90">
                  <c:v>44609</c:v>
                </c:pt>
                <c:pt idx="91">
                  <c:v>44608</c:v>
                </c:pt>
                <c:pt idx="92">
                  <c:v>44607</c:v>
                </c:pt>
                <c:pt idx="93">
                  <c:v>44606</c:v>
                </c:pt>
                <c:pt idx="94">
                  <c:v>44603</c:v>
                </c:pt>
                <c:pt idx="95">
                  <c:v>44602</c:v>
                </c:pt>
                <c:pt idx="96">
                  <c:v>44601</c:v>
                </c:pt>
                <c:pt idx="97">
                  <c:v>44600</c:v>
                </c:pt>
                <c:pt idx="98">
                  <c:v>44599</c:v>
                </c:pt>
                <c:pt idx="99">
                  <c:v>44596</c:v>
                </c:pt>
                <c:pt idx="100">
                  <c:v>44595</c:v>
                </c:pt>
                <c:pt idx="101">
                  <c:v>44594</c:v>
                </c:pt>
                <c:pt idx="102">
                  <c:v>44593</c:v>
                </c:pt>
                <c:pt idx="103">
                  <c:v>44592</c:v>
                </c:pt>
                <c:pt idx="104">
                  <c:v>44589</c:v>
                </c:pt>
                <c:pt idx="105">
                  <c:v>44588</c:v>
                </c:pt>
                <c:pt idx="106">
                  <c:v>44587</c:v>
                </c:pt>
                <c:pt idx="107">
                  <c:v>44586</c:v>
                </c:pt>
                <c:pt idx="108">
                  <c:v>44585</c:v>
                </c:pt>
                <c:pt idx="109">
                  <c:v>44582</c:v>
                </c:pt>
                <c:pt idx="110">
                  <c:v>44581</c:v>
                </c:pt>
                <c:pt idx="111">
                  <c:v>44580</c:v>
                </c:pt>
                <c:pt idx="112">
                  <c:v>44579</c:v>
                </c:pt>
                <c:pt idx="113">
                  <c:v>44578</c:v>
                </c:pt>
                <c:pt idx="114">
                  <c:v>44575</c:v>
                </c:pt>
                <c:pt idx="115">
                  <c:v>44574</c:v>
                </c:pt>
                <c:pt idx="116">
                  <c:v>44573</c:v>
                </c:pt>
                <c:pt idx="117">
                  <c:v>44572</c:v>
                </c:pt>
                <c:pt idx="118">
                  <c:v>44571</c:v>
                </c:pt>
                <c:pt idx="119">
                  <c:v>44568</c:v>
                </c:pt>
                <c:pt idx="120">
                  <c:v>44567</c:v>
                </c:pt>
                <c:pt idx="121">
                  <c:v>44566</c:v>
                </c:pt>
                <c:pt idx="122">
                  <c:v>44565</c:v>
                </c:pt>
                <c:pt idx="123">
                  <c:v>44564</c:v>
                </c:pt>
                <c:pt idx="124">
                  <c:v>44561</c:v>
                </c:pt>
                <c:pt idx="125">
                  <c:v>44560</c:v>
                </c:pt>
                <c:pt idx="126">
                  <c:v>44559</c:v>
                </c:pt>
                <c:pt idx="127">
                  <c:v>44558</c:v>
                </c:pt>
                <c:pt idx="128">
                  <c:v>44557</c:v>
                </c:pt>
                <c:pt idx="129">
                  <c:v>44554</c:v>
                </c:pt>
                <c:pt idx="130">
                  <c:v>44553</c:v>
                </c:pt>
                <c:pt idx="131">
                  <c:v>44552</c:v>
                </c:pt>
                <c:pt idx="132">
                  <c:v>44551</c:v>
                </c:pt>
                <c:pt idx="133">
                  <c:v>44550</c:v>
                </c:pt>
                <c:pt idx="134">
                  <c:v>44547</c:v>
                </c:pt>
                <c:pt idx="135">
                  <c:v>44546</c:v>
                </c:pt>
                <c:pt idx="136">
                  <c:v>44545</c:v>
                </c:pt>
                <c:pt idx="137">
                  <c:v>44544</c:v>
                </c:pt>
                <c:pt idx="138">
                  <c:v>44543</c:v>
                </c:pt>
                <c:pt idx="139">
                  <c:v>44540</c:v>
                </c:pt>
                <c:pt idx="140">
                  <c:v>44539</c:v>
                </c:pt>
                <c:pt idx="141">
                  <c:v>44538</c:v>
                </c:pt>
                <c:pt idx="142">
                  <c:v>44537</c:v>
                </c:pt>
                <c:pt idx="143">
                  <c:v>44536</c:v>
                </c:pt>
                <c:pt idx="144">
                  <c:v>44533</c:v>
                </c:pt>
                <c:pt idx="145">
                  <c:v>44532</c:v>
                </c:pt>
                <c:pt idx="146">
                  <c:v>44531</c:v>
                </c:pt>
                <c:pt idx="147">
                  <c:v>44530</c:v>
                </c:pt>
                <c:pt idx="148">
                  <c:v>44529</c:v>
                </c:pt>
                <c:pt idx="149">
                  <c:v>44526</c:v>
                </c:pt>
                <c:pt idx="150">
                  <c:v>44525</c:v>
                </c:pt>
                <c:pt idx="151">
                  <c:v>44524</c:v>
                </c:pt>
                <c:pt idx="152">
                  <c:v>44523</c:v>
                </c:pt>
                <c:pt idx="153">
                  <c:v>44522</c:v>
                </c:pt>
                <c:pt idx="154">
                  <c:v>44519</c:v>
                </c:pt>
                <c:pt idx="155">
                  <c:v>44518</c:v>
                </c:pt>
                <c:pt idx="156">
                  <c:v>44517</c:v>
                </c:pt>
                <c:pt idx="157">
                  <c:v>44516</c:v>
                </c:pt>
                <c:pt idx="158">
                  <c:v>44515</c:v>
                </c:pt>
                <c:pt idx="159">
                  <c:v>44512</c:v>
                </c:pt>
                <c:pt idx="160">
                  <c:v>44511</c:v>
                </c:pt>
                <c:pt idx="161">
                  <c:v>44510</c:v>
                </c:pt>
                <c:pt idx="162">
                  <c:v>44509</c:v>
                </c:pt>
                <c:pt idx="163">
                  <c:v>44508</c:v>
                </c:pt>
                <c:pt idx="164">
                  <c:v>44505</c:v>
                </c:pt>
                <c:pt idx="165">
                  <c:v>44504</c:v>
                </c:pt>
                <c:pt idx="166">
                  <c:v>44503</c:v>
                </c:pt>
                <c:pt idx="167">
                  <c:v>44502</c:v>
                </c:pt>
                <c:pt idx="168">
                  <c:v>44501</c:v>
                </c:pt>
                <c:pt idx="169">
                  <c:v>44498</c:v>
                </c:pt>
                <c:pt idx="170">
                  <c:v>44497</c:v>
                </c:pt>
                <c:pt idx="171">
                  <c:v>44496</c:v>
                </c:pt>
                <c:pt idx="172">
                  <c:v>44495</c:v>
                </c:pt>
                <c:pt idx="173">
                  <c:v>44494</c:v>
                </c:pt>
                <c:pt idx="174">
                  <c:v>44491</c:v>
                </c:pt>
                <c:pt idx="175">
                  <c:v>44490</c:v>
                </c:pt>
                <c:pt idx="176">
                  <c:v>44489</c:v>
                </c:pt>
                <c:pt idx="177">
                  <c:v>44488</c:v>
                </c:pt>
                <c:pt idx="178">
                  <c:v>44487</c:v>
                </c:pt>
                <c:pt idx="179">
                  <c:v>44484</c:v>
                </c:pt>
                <c:pt idx="180">
                  <c:v>44483</c:v>
                </c:pt>
                <c:pt idx="181">
                  <c:v>44482</c:v>
                </c:pt>
                <c:pt idx="182">
                  <c:v>44481</c:v>
                </c:pt>
                <c:pt idx="183">
                  <c:v>44480</c:v>
                </c:pt>
                <c:pt idx="184">
                  <c:v>44477</c:v>
                </c:pt>
                <c:pt idx="185">
                  <c:v>44476</c:v>
                </c:pt>
                <c:pt idx="186">
                  <c:v>44475</c:v>
                </c:pt>
                <c:pt idx="187">
                  <c:v>44474</c:v>
                </c:pt>
                <c:pt idx="188">
                  <c:v>44473</c:v>
                </c:pt>
                <c:pt idx="189">
                  <c:v>44470</c:v>
                </c:pt>
                <c:pt idx="190">
                  <c:v>44469</c:v>
                </c:pt>
                <c:pt idx="191">
                  <c:v>44468</c:v>
                </c:pt>
                <c:pt idx="192">
                  <c:v>44467</c:v>
                </c:pt>
                <c:pt idx="193">
                  <c:v>44466</c:v>
                </c:pt>
                <c:pt idx="194">
                  <c:v>44463</c:v>
                </c:pt>
                <c:pt idx="195">
                  <c:v>44462</c:v>
                </c:pt>
                <c:pt idx="196">
                  <c:v>44461</c:v>
                </c:pt>
                <c:pt idx="197">
                  <c:v>44460</c:v>
                </c:pt>
                <c:pt idx="198">
                  <c:v>44459</c:v>
                </c:pt>
                <c:pt idx="199">
                  <c:v>44456</c:v>
                </c:pt>
                <c:pt idx="200">
                  <c:v>44455</c:v>
                </c:pt>
                <c:pt idx="201">
                  <c:v>44454</c:v>
                </c:pt>
                <c:pt idx="202">
                  <c:v>44453</c:v>
                </c:pt>
                <c:pt idx="203">
                  <c:v>44452</c:v>
                </c:pt>
                <c:pt idx="204">
                  <c:v>44449</c:v>
                </c:pt>
                <c:pt idx="205">
                  <c:v>44448</c:v>
                </c:pt>
                <c:pt idx="206">
                  <c:v>44447</c:v>
                </c:pt>
                <c:pt idx="207">
                  <c:v>44446</c:v>
                </c:pt>
                <c:pt idx="208">
                  <c:v>44445</c:v>
                </c:pt>
                <c:pt idx="209">
                  <c:v>44442</c:v>
                </c:pt>
                <c:pt idx="210">
                  <c:v>44441</c:v>
                </c:pt>
                <c:pt idx="211">
                  <c:v>44440</c:v>
                </c:pt>
                <c:pt idx="212">
                  <c:v>44439</c:v>
                </c:pt>
                <c:pt idx="213">
                  <c:v>44438</c:v>
                </c:pt>
                <c:pt idx="214">
                  <c:v>44435</c:v>
                </c:pt>
                <c:pt idx="215">
                  <c:v>44434</c:v>
                </c:pt>
                <c:pt idx="216">
                  <c:v>44433</c:v>
                </c:pt>
                <c:pt idx="217">
                  <c:v>44432</c:v>
                </c:pt>
                <c:pt idx="218">
                  <c:v>44431</c:v>
                </c:pt>
                <c:pt idx="219">
                  <c:v>44428</c:v>
                </c:pt>
                <c:pt idx="220">
                  <c:v>44427</c:v>
                </c:pt>
                <c:pt idx="221">
                  <c:v>44426</c:v>
                </c:pt>
                <c:pt idx="222">
                  <c:v>44425</c:v>
                </c:pt>
                <c:pt idx="223">
                  <c:v>44424</c:v>
                </c:pt>
                <c:pt idx="224">
                  <c:v>44421</c:v>
                </c:pt>
                <c:pt idx="225">
                  <c:v>44420</c:v>
                </c:pt>
                <c:pt idx="226">
                  <c:v>44419</c:v>
                </c:pt>
                <c:pt idx="227">
                  <c:v>44418</c:v>
                </c:pt>
                <c:pt idx="228">
                  <c:v>44417</c:v>
                </c:pt>
                <c:pt idx="229">
                  <c:v>44414</c:v>
                </c:pt>
                <c:pt idx="230">
                  <c:v>44413</c:v>
                </c:pt>
                <c:pt idx="231">
                  <c:v>44412</c:v>
                </c:pt>
                <c:pt idx="232">
                  <c:v>44411</c:v>
                </c:pt>
                <c:pt idx="233">
                  <c:v>44410</c:v>
                </c:pt>
                <c:pt idx="234">
                  <c:v>44407</c:v>
                </c:pt>
                <c:pt idx="235">
                  <c:v>44406</c:v>
                </c:pt>
                <c:pt idx="236">
                  <c:v>44405</c:v>
                </c:pt>
                <c:pt idx="237">
                  <c:v>44404</c:v>
                </c:pt>
                <c:pt idx="238">
                  <c:v>44403</c:v>
                </c:pt>
                <c:pt idx="239">
                  <c:v>44400</c:v>
                </c:pt>
                <c:pt idx="240">
                  <c:v>44399</c:v>
                </c:pt>
                <c:pt idx="241">
                  <c:v>44398</c:v>
                </c:pt>
                <c:pt idx="242">
                  <c:v>44397</c:v>
                </c:pt>
                <c:pt idx="243">
                  <c:v>44396</c:v>
                </c:pt>
                <c:pt idx="244">
                  <c:v>44393</c:v>
                </c:pt>
                <c:pt idx="245">
                  <c:v>44392</c:v>
                </c:pt>
                <c:pt idx="246">
                  <c:v>44391</c:v>
                </c:pt>
                <c:pt idx="247">
                  <c:v>44390</c:v>
                </c:pt>
                <c:pt idx="248">
                  <c:v>44389</c:v>
                </c:pt>
                <c:pt idx="249">
                  <c:v>44386</c:v>
                </c:pt>
                <c:pt idx="250">
                  <c:v>44385</c:v>
                </c:pt>
                <c:pt idx="251">
                  <c:v>44384</c:v>
                </c:pt>
                <c:pt idx="252">
                  <c:v>44383</c:v>
                </c:pt>
                <c:pt idx="253">
                  <c:v>44382</c:v>
                </c:pt>
                <c:pt idx="254">
                  <c:v>44379</c:v>
                </c:pt>
                <c:pt idx="255">
                  <c:v>44378</c:v>
                </c:pt>
                <c:pt idx="256">
                  <c:v>44377</c:v>
                </c:pt>
                <c:pt idx="257">
                  <c:v>44376</c:v>
                </c:pt>
                <c:pt idx="258">
                  <c:v>44375</c:v>
                </c:pt>
                <c:pt idx="259">
                  <c:v>44372</c:v>
                </c:pt>
                <c:pt idx="260">
                  <c:v>44371</c:v>
                </c:pt>
                <c:pt idx="261">
                  <c:v>44370</c:v>
                </c:pt>
                <c:pt idx="262">
                  <c:v>44369</c:v>
                </c:pt>
                <c:pt idx="263">
                  <c:v>44368</c:v>
                </c:pt>
                <c:pt idx="264">
                  <c:v>44365</c:v>
                </c:pt>
                <c:pt idx="265">
                  <c:v>44364</c:v>
                </c:pt>
                <c:pt idx="266">
                  <c:v>44363</c:v>
                </c:pt>
                <c:pt idx="267">
                  <c:v>44362</c:v>
                </c:pt>
                <c:pt idx="268">
                  <c:v>44361</c:v>
                </c:pt>
                <c:pt idx="269">
                  <c:v>44358</c:v>
                </c:pt>
                <c:pt idx="270">
                  <c:v>44357</c:v>
                </c:pt>
                <c:pt idx="271">
                  <c:v>44356</c:v>
                </c:pt>
                <c:pt idx="272">
                  <c:v>44355</c:v>
                </c:pt>
                <c:pt idx="273">
                  <c:v>44354</c:v>
                </c:pt>
                <c:pt idx="274">
                  <c:v>44351</c:v>
                </c:pt>
                <c:pt idx="275">
                  <c:v>44350</c:v>
                </c:pt>
                <c:pt idx="276">
                  <c:v>44349</c:v>
                </c:pt>
                <c:pt idx="277">
                  <c:v>44348</c:v>
                </c:pt>
                <c:pt idx="278">
                  <c:v>44347</c:v>
                </c:pt>
                <c:pt idx="279">
                  <c:v>44344</c:v>
                </c:pt>
                <c:pt idx="280">
                  <c:v>44343</c:v>
                </c:pt>
                <c:pt idx="281">
                  <c:v>44342</c:v>
                </c:pt>
                <c:pt idx="282">
                  <c:v>44341</c:v>
                </c:pt>
                <c:pt idx="283">
                  <c:v>44340</c:v>
                </c:pt>
                <c:pt idx="284">
                  <c:v>44337</c:v>
                </c:pt>
                <c:pt idx="285">
                  <c:v>44336</c:v>
                </c:pt>
                <c:pt idx="286">
                  <c:v>44335</c:v>
                </c:pt>
                <c:pt idx="287">
                  <c:v>44334</c:v>
                </c:pt>
                <c:pt idx="288">
                  <c:v>44333</c:v>
                </c:pt>
                <c:pt idx="289">
                  <c:v>44330</c:v>
                </c:pt>
                <c:pt idx="290">
                  <c:v>44329</c:v>
                </c:pt>
                <c:pt idx="291">
                  <c:v>44328</c:v>
                </c:pt>
                <c:pt idx="292">
                  <c:v>44327</c:v>
                </c:pt>
                <c:pt idx="293">
                  <c:v>44326</c:v>
                </c:pt>
                <c:pt idx="294">
                  <c:v>44323</c:v>
                </c:pt>
                <c:pt idx="295">
                  <c:v>44322</c:v>
                </c:pt>
                <c:pt idx="296">
                  <c:v>44321</c:v>
                </c:pt>
                <c:pt idx="297">
                  <c:v>44320</c:v>
                </c:pt>
                <c:pt idx="298">
                  <c:v>44319</c:v>
                </c:pt>
                <c:pt idx="299">
                  <c:v>44316</c:v>
                </c:pt>
                <c:pt idx="300">
                  <c:v>44315</c:v>
                </c:pt>
                <c:pt idx="301">
                  <c:v>44314</c:v>
                </c:pt>
                <c:pt idx="302">
                  <c:v>44313</c:v>
                </c:pt>
                <c:pt idx="303">
                  <c:v>44312</c:v>
                </c:pt>
                <c:pt idx="304">
                  <c:v>44309</c:v>
                </c:pt>
                <c:pt idx="305">
                  <c:v>44308</c:v>
                </c:pt>
                <c:pt idx="306">
                  <c:v>44307</c:v>
                </c:pt>
                <c:pt idx="307">
                  <c:v>44306</c:v>
                </c:pt>
                <c:pt idx="308">
                  <c:v>44305</c:v>
                </c:pt>
                <c:pt idx="309">
                  <c:v>44302</c:v>
                </c:pt>
                <c:pt idx="310">
                  <c:v>44301</c:v>
                </c:pt>
                <c:pt idx="311">
                  <c:v>44300</c:v>
                </c:pt>
                <c:pt idx="312">
                  <c:v>44299</c:v>
                </c:pt>
                <c:pt idx="313">
                  <c:v>44298</c:v>
                </c:pt>
                <c:pt idx="314">
                  <c:v>44295</c:v>
                </c:pt>
                <c:pt idx="315">
                  <c:v>44294</c:v>
                </c:pt>
                <c:pt idx="316">
                  <c:v>44293</c:v>
                </c:pt>
                <c:pt idx="317">
                  <c:v>44292</c:v>
                </c:pt>
                <c:pt idx="318">
                  <c:v>44291</c:v>
                </c:pt>
                <c:pt idx="319">
                  <c:v>44287</c:v>
                </c:pt>
                <c:pt idx="320">
                  <c:v>44286</c:v>
                </c:pt>
                <c:pt idx="321">
                  <c:v>44285</c:v>
                </c:pt>
                <c:pt idx="322">
                  <c:v>44284</c:v>
                </c:pt>
                <c:pt idx="323">
                  <c:v>44281</c:v>
                </c:pt>
                <c:pt idx="324">
                  <c:v>44280</c:v>
                </c:pt>
                <c:pt idx="325">
                  <c:v>44279</c:v>
                </c:pt>
                <c:pt idx="326">
                  <c:v>44278</c:v>
                </c:pt>
                <c:pt idx="327">
                  <c:v>44277</c:v>
                </c:pt>
                <c:pt idx="328">
                  <c:v>44274</c:v>
                </c:pt>
                <c:pt idx="329">
                  <c:v>44273</c:v>
                </c:pt>
                <c:pt idx="330">
                  <c:v>44272</c:v>
                </c:pt>
                <c:pt idx="331">
                  <c:v>44271</c:v>
                </c:pt>
                <c:pt idx="332">
                  <c:v>44270</c:v>
                </c:pt>
                <c:pt idx="333">
                  <c:v>44267</c:v>
                </c:pt>
                <c:pt idx="334">
                  <c:v>44266</c:v>
                </c:pt>
                <c:pt idx="335">
                  <c:v>44265</c:v>
                </c:pt>
                <c:pt idx="336">
                  <c:v>44264</c:v>
                </c:pt>
                <c:pt idx="337">
                  <c:v>44263</c:v>
                </c:pt>
                <c:pt idx="338">
                  <c:v>44260</c:v>
                </c:pt>
                <c:pt idx="339">
                  <c:v>44259</c:v>
                </c:pt>
                <c:pt idx="340">
                  <c:v>44258</c:v>
                </c:pt>
                <c:pt idx="341">
                  <c:v>44257</c:v>
                </c:pt>
                <c:pt idx="342">
                  <c:v>44256</c:v>
                </c:pt>
                <c:pt idx="343">
                  <c:v>44253</c:v>
                </c:pt>
                <c:pt idx="344">
                  <c:v>44252</c:v>
                </c:pt>
                <c:pt idx="345">
                  <c:v>44251</c:v>
                </c:pt>
                <c:pt idx="346">
                  <c:v>44250</c:v>
                </c:pt>
                <c:pt idx="347">
                  <c:v>44249</c:v>
                </c:pt>
                <c:pt idx="348">
                  <c:v>44246</c:v>
                </c:pt>
                <c:pt idx="349">
                  <c:v>44245</c:v>
                </c:pt>
                <c:pt idx="350">
                  <c:v>44244</c:v>
                </c:pt>
                <c:pt idx="351">
                  <c:v>44243</c:v>
                </c:pt>
                <c:pt idx="352">
                  <c:v>44242</c:v>
                </c:pt>
                <c:pt idx="353">
                  <c:v>44239</c:v>
                </c:pt>
                <c:pt idx="354">
                  <c:v>44238</c:v>
                </c:pt>
                <c:pt idx="355">
                  <c:v>44237</c:v>
                </c:pt>
                <c:pt idx="356">
                  <c:v>44236</c:v>
                </c:pt>
                <c:pt idx="357">
                  <c:v>44235</c:v>
                </c:pt>
                <c:pt idx="358">
                  <c:v>44232</c:v>
                </c:pt>
                <c:pt idx="359">
                  <c:v>44231</c:v>
                </c:pt>
                <c:pt idx="360">
                  <c:v>44230</c:v>
                </c:pt>
                <c:pt idx="361">
                  <c:v>44229</c:v>
                </c:pt>
                <c:pt idx="362">
                  <c:v>44228</c:v>
                </c:pt>
                <c:pt idx="363">
                  <c:v>44225</c:v>
                </c:pt>
                <c:pt idx="364">
                  <c:v>44224</c:v>
                </c:pt>
                <c:pt idx="365">
                  <c:v>44223</c:v>
                </c:pt>
                <c:pt idx="366">
                  <c:v>44222</c:v>
                </c:pt>
                <c:pt idx="367">
                  <c:v>44221</c:v>
                </c:pt>
                <c:pt idx="368">
                  <c:v>44218</c:v>
                </c:pt>
                <c:pt idx="369">
                  <c:v>44217</c:v>
                </c:pt>
                <c:pt idx="370">
                  <c:v>44216</c:v>
                </c:pt>
                <c:pt idx="371">
                  <c:v>44215</c:v>
                </c:pt>
                <c:pt idx="372">
                  <c:v>44214</c:v>
                </c:pt>
                <c:pt idx="373">
                  <c:v>44211</c:v>
                </c:pt>
                <c:pt idx="374">
                  <c:v>44210</c:v>
                </c:pt>
                <c:pt idx="375">
                  <c:v>44209</c:v>
                </c:pt>
                <c:pt idx="376">
                  <c:v>44208</c:v>
                </c:pt>
                <c:pt idx="377">
                  <c:v>44207</c:v>
                </c:pt>
                <c:pt idx="378">
                  <c:v>44204</c:v>
                </c:pt>
                <c:pt idx="379">
                  <c:v>44203</c:v>
                </c:pt>
                <c:pt idx="380">
                  <c:v>44202</c:v>
                </c:pt>
                <c:pt idx="381">
                  <c:v>44201</c:v>
                </c:pt>
                <c:pt idx="382">
                  <c:v>44200</c:v>
                </c:pt>
                <c:pt idx="383">
                  <c:v>44196</c:v>
                </c:pt>
                <c:pt idx="384">
                  <c:v>44195</c:v>
                </c:pt>
                <c:pt idx="385">
                  <c:v>44194</c:v>
                </c:pt>
                <c:pt idx="386">
                  <c:v>44193</c:v>
                </c:pt>
                <c:pt idx="387">
                  <c:v>44189</c:v>
                </c:pt>
                <c:pt idx="388">
                  <c:v>44188</c:v>
                </c:pt>
                <c:pt idx="389">
                  <c:v>44187</c:v>
                </c:pt>
                <c:pt idx="390">
                  <c:v>44186</c:v>
                </c:pt>
                <c:pt idx="391">
                  <c:v>44183</c:v>
                </c:pt>
                <c:pt idx="392">
                  <c:v>44182</c:v>
                </c:pt>
                <c:pt idx="393">
                  <c:v>44181</c:v>
                </c:pt>
                <c:pt idx="394">
                  <c:v>44180</c:v>
                </c:pt>
                <c:pt idx="395">
                  <c:v>44179</c:v>
                </c:pt>
                <c:pt idx="396">
                  <c:v>44176</c:v>
                </c:pt>
                <c:pt idx="397">
                  <c:v>44175</c:v>
                </c:pt>
                <c:pt idx="398">
                  <c:v>44174</c:v>
                </c:pt>
                <c:pt idx="399">
                  <c:v>44173</c:v>
                </c:pt>
                <c:pt idx="400">
                  <c:v>44172</c:v>
                </c:pt>
                <c:pt idx="401">
                  <c:v>44169</c:v>
                </c:pt>
                <c:pt idx="402">
                  <c:v>44168</c:v>
                </c:pt>
                <c:pt idx="403">
                  <c:v>44167</c:v>
                </c:pt>
                <c:pt idx="404">
                  <c:v>44166</c:v>
                </c:pt>
                <c:pt idx="405">
                  <c:v>44165</c:v>
                </c:pt>
                <c:pt idx="406">
                  <c:v>44162</c:v>
                </c:pt>
                <c:pt idx="407">
                  <c:v>44161</c:v>
                </c:pt>
                <c:pt idx="408">
                  <c:v>44160</c:v>
                </c:pt>
                <c:pt idx="409">
                  <c:v>44159</c:v>
                </c:pt>
                <c:pt idx="410">
                  <c:v>44158</c:v>
                </c:pt>
                <c:pt idx="411">
                  <c:v>44155</c:v>
                </c:pt>
                <c:pt idx="412">
                  <c:v>44154</c:v>
                </c:pt>
                <c:pt idx="413">
                  <c:v>44153</c:v>
                </c:pt>
                <c:pt idx="414">
                  <c:v>44152</c:v>
                </c:pt>
                <c:pt idx="415">
                  <c:v>44151</c:v>
                </c:pt>
                <c:pt idx="416">
                  <c:v>44148</c:v>
                </c:pt>
                <c:pt idx="417">
                  <c:v>44147</c:v>
                </c:pt>
                <c:pt idx="418">
                  <c:v>44146</c:v>
                </c:pt>
                <c:pt idx="419">
                  <c:v>44145</c:v>
                </c:pt>
                <c:pt idx="420">
                  <c:v>44144</c:v>
                </c:pt>
                <c:pt idx="421">
                  <c:v>44141</c:v>
                </c:pt>
                <c:pt idx="422">
                  <c:v>44140</c:v>
                </c:pt>
                <c:pt idx="423">
                  <c:v>44139</c:v>
                </c:pt>
                <c:pt idx="424">
                  <c:v>44138</c:v>
                </c:pt>
                <c:pt idx="425">
                  <c:v>44137</c:v>
                </c:pt>
                <c:pt idx="426">
                  <c:v>44134</c:v>
                </c:pt>
                <c:pt idx="427">
                  <c:v>44133</c:v>
                </c:pt>
                <c:pt idx="428">
                  <c:v>44132</c:v>
                </c:pt>
                <c:pt idx="429">
                  <c:v>44131</c:v>
                </c:pt>
                <c:pt idx="430">
                  <c:v>44130</c:v>
                </c:pt>
                <c:pt idx="431">
                  <c:v>44127</c:v>
                </c:pt>
                <c:pt idx="432">
                  <c:v>44126</c:v>
                </c:pt>
                <c:pt idx="433">
                  <c:v>44125</c:v>
                </c:pt>
                <c:pt idx="434">
                  <c:v>44124</c:v>
                </c:pt>
                <c:pt idx="435">
                  <c:v>44123</c:v>
                </c:pt>
                <c:pt idx="436">
                  <c:v>44120</c:v>
                </c:pt>
                <c:pt idx="437">
                  <c:v>44119</c:v>
                </c:pt>
                <c:pt idx="438">
                  <c:v>44118</c:v>
                </c:pt>
                <c:pt idx="439">
                  <c:v>44117</c:v>
                </c:pt>
                <c:pt idx="440">
                  <c:v>44116</c:v>
                </c:pt>
                <c:pt idx="441">
                  <c:v>44113</c:v>
                </c:pt>
                <c:pt idx="442">
                  <c:v>44112</c:v>
                </c:pt>
                <c:pt idx="443">
                  <c:v>44111</c:v>
                </c:pt>
                <c:pt idx="444">
                  <c:v>44110</c:v>
                </c:pt>
                <c:pt idx="445">
                  <c:v>44109</c:v>
                </c:pt>
                <c:pt idx="446">
                  <c:v>44106</c:v>
                </c:pt>
                <c:pt idx="447">
                  <c:v>44105</c:v>
                </c:pt>
                <c:pt idx="448">
                  <c:v>44104</c:v>
                </c:pt>
                <c:pt idx="449">
                  <c:v>44103</c:v>
                </c:pt>
                <c:pt idx="450">
                  <c:v>44102</c:v>
                </c:pt>
                <c:pt idx="451">
                  <c:v>44099</c:v>
                </c:pt>
                <c:pt idx="452">
                  <c:v>44098</c:v>
                </c:pt>
                <c:pt idx="453">
                  <c:v>44097</c:v>
                </c:pt>
                <c:pt idx="454">
                  <c:v>44096</c:v>
                </c:pt>
                <c:pt idx="455">
                  <c:v>44095</c:v>
                </c:pt>
                <c:pt idx="456">
                  <c:v>44092</c:v>
                </c:pt>
                <c:pt idx="457">
                  <c:v>44091</c:v>
                </c:pt>
                <c:pt idx="458">
                  <c:v>44090</c:v>
                </c:pt>
                <c:pt idx="459">
                  <c:v>44089</c:v>
                </c:pt>
                <c:pt idx="460">
                  <c:v>44088</c:v>
                </c:pt>
                <c:pt idx="461">
                  <c:v>44085</c:v>
                </c:pt>
                <c:pt idx="462">
                  <c:v>44084</c:v>
                </c:pt>
                <c:pt idx="463">
                  <c:v>44083</c:v>
                </c:pt>
                <c:pt idx="464">
                  <c:v>44082</c:v>
                </c:pt>
                <c:pt idx="465">
                  <c:v>44081</c:v>
                </c:pt>
                <c:pt idx="466">
                  <c:v>44078</c:v>
                </c:pt>
                <c:pt idx="467">
                  <c:v>44077</c:v>
                </c:pt>
                <c:pt idx="468">
                  <c:v>44076</c:v>
                </c:pt>
                <c:pt idx="469">
                  <c:v>44075</c:v>
                </c:pt>
                <c:pt idx="470">
                  <c:v>44074</c:v>
                </c:pt>
                <c:pt idx="471">
                  <c:v>44071</c:v>
                </c:pt>
                <c:pt idx="472">
                  <c:v>44070</c:v>
                </c:pt>
                <c:pt idx="473">
                  <c:v>44069</c:v>
                </c:pt>
                <c:pt idx="474">
                  <c:v>44068</c:v>
                </c:pt>
                <c:pt idx="475">
                  <c:v>44067</c:v>
                </c:pt>
                <c:pt idx="476">
                  <c:v>44064</c:v>
                </c:pt>
                <c:pt idx="477">
                  <c:v>44063</c:v>
                </c:pt>
                <c:pt idx="478">
                  <c:v>44062</c:v>
                </c:pt>
                <c:pt idx="479">
                  <c:v>44061</c:v>
                </c:pt>
                <c:pt idx="480">
                  <c:v>44060</c:v>
                </c:pt>
                <c:pt idx="481">
                  <c:v>44057</c:v>
                </c:pt>
                <c:pt idx="482">
                  <c:v>44056</c:v>
                </c:pt>
                <c:pt idx="483">
                  <c:v>44055</c:v>
                </c:pt>
                <c:pt idx="484">
                  <c:v>44054</c:v>
                </c:pt>
                <c:pt idx="485">
                  <c:v>44053</c:v>
                </c:pt>
                <c:pt idx="486">
                  <c:v>44050</c:v>
                </c:pt>
                <c:pt idx="487">
                  <c:v>44049</c:v>
                </c:pt>
                <c:pt idx="488">
                  <c:v>44048</c:v>
                </c:pt>
                <c:pt idx="489">
                  <c:v>44047</c:v>
                </c:pt>
                <c:pt idx="490">
                  <c:v>44046</c:v>
                </c:pt>
                <c:pt idx="491">
                  <c:v>44043</c:v>
                </c:pt>
                <c:pt idx="492">
                  <c:v>44042</c:v>
                </c:pt>
                <c:pt idx="493">
                  <c:v>44041</c:v>
                </c:pt>
                <c:pt idx="494">
                  <c:v>44040</c:v>
                </c:pt>
                <c:pt idx="495">
                  <c:v>44039</c:v>
                </c:pt>
                <c:pt idx="496">
                  <c:v>44036</c:v>
                </c:pt>
                <c:pt idx="497">
                  <c:v>44035</c:v>
                </c:pt>
                <c:pt idx="498">
                  <c:v>44034</c:v>
                </c:pt>
                <c:pt idx="499">
                  <c:v>44033</c:v>
                </c:pt>
                <c:pt idx="500">
                  <c:v>44032</c:v>
                </c:pt>
                <c:pt idx="501">
                  <c:v>44029</c:v>
                </c:pt>
                <c:pt idx="502">
                  <c:v>44028</c:v>
                </c:pt>
                <c:pt idx="503">
                  <c:v>44027</c:v>
                </c:pt>
                <c:pt idx="504">
                  <c:v>44026</c:v>
                </c:pt>
                <c:pt idx="505">
                  <c:v>44025</c:v>
                </c:pt>
                <c:pt idx="506">
                  <c:v>44022</c:v>
                </c:pt>
                <c:pt idx="507">
                  <c:v>44021</c:v>
                </c:pt>
                <c:pt idx="508">
                  <c:v>44020</c:v>
                </c:pt>
                <c:pt idx="509">
                  <c:v>44019</c:v>
                </c:pt>
                <c:pt idx="510">
                  <c:v>44018</c:v>
                </c:pt>
                <c:pt idx="511">
                  <c:v>44015</c:v>
                </c:pt>
                <c:pt idx="512">
                  <c:v>44014</c:v>
                </c:pt>
                <c:pt idx="513">
                  <c:v>44013</c:v>
                </c:pt>
                <c:pt idx="514">
                  <c:v>44012</c:v>
                </c:pt>
                <c:pt idx="515">
                  <c:v>44011</c:v>
                </c:pt>
                <c:pt idx="516">
                  <c:v>44008</c:v>
                </c:pt>
                <c:pt idx="517">
                  <c:v>44007</c:v>
                </c:pt>
                <c:pt idx="518">
                  <c:v>44006</c:v>
                </c:pt>
                <c:pt idx="519">
                  <c:v>44005</c:v>
                </c:pt>
                <c:pt idx="520">
                  <c:v>44004</c:v>
                </c:pt>
                <c:pt idx="521">
                  <c:v>44001</c:v>
                </c:pt>
                <c:pt idx="522">
                  <c:v>44000</c:v>
                </c:pt>
                <c:pt idx="523">
                  <c:v>43999</c:v>
                </c:pt>
                <c:pt idx="524">
                  <c:v>43998</c:v>
                </c:pt>
                <c:pt idx="525">
                  <c:v>43997</c:v>
                </c:pt>
                <c:pt idx="526">
                  <c:v>43994</c:v>
                </c:pt>
                <c:pt idx="527">
                  <c:v>43993</c:v>
                </c:pt>
                <c:pt idx="528">
                  <c:v>43992</c:v>
                </c:pt>
                <c:pt idx="529">
                  <c:v>43991</c:v>
                </c:pt>
                <c:pt idx="530">
                  <c:v>43990</c:v>
                </c:pt>
                <c:pt idx="531">
                  <c:v>43987</c:v>
                </c:pt>
                <c:pt idx="532">
                  <c:v>43986</c:v>
                </c:pt>
                <c:pt idx="533">
                  <c:v>43985</c:v>
                </c:pt>
                <c:pt idx="534">
                  <c:v>43984</c:v>
                </c:pt>
                <c:pt idx="535">
                  <c:v>43983</c:v>
                </c:pt>
                <c:pt idx="536">
                  <c:v>43980</c:v>
                </c:pt>
                <c:pt idx="537">
                  <c:v>43979</c:v>
                </c:pt>
                <c:pt idx="538">
                  <c:v>43978</c:v>
                </c:pt>
                <c:pt idx="539">
                  <c:v>43977</c:v>
                </c:pt>
                <c:pt idx="540">
                  <c:v>43973</c:v>
                </c:pt>
                <c:pt idx="541">
                  <c:v>43972</c:v>
                </c:pt>
                <c:pt idx="542">
                  <c:v>43971</c:v>
                </c:pt>
                <c:pt idx="543">
                  <c:v>43970</c:v>
                </c:pt>
                <c:pt idx="544">
                  <c:v>43969</c:v>
                </c:pt>
                <c:pt idx="545">
                  <c:v>43966</c:v>
                </c:pt>
                <c:pt idx="546">
                  <c:v>43965</c:v>
                </c:pt>
                <c:pt idx="547">
                  <c:v>43964</c:v>
                </c:pt>
                <c:pt idx="548">
                  <c:v>43963</c:v>
                </c:pt>
                <c:pt idx="549">
                  <c:v>43962</c:v>
                </c:pt>
                <c:pt idx="550">
                  <c:v>43959</c:v>
                </c:pt>
                <c:pt idx="551">
                  <c:v>43958</c:v>
                </c:pt>
                <c:pt idx="552">
                  <c:v>43957</c:v>
                </c:pt>
                <c:pt idx="553">
                  <c:v>43956</c:v>
                </c:pt>
                <c:pt idx="554">
                  <c:v>43955</c:v>
                </c:pt>
                <c:pt idx="555">
                  <c:v>43952</c:v>
                </c:pt>
                <c:pt idx="556">
                  <c:v>43951</c:v>
                </c:pt>
                <c:pt idx="557">
                  <c:v>43950</c:v>
                </c:pt>
                <c:pt idx="558">
                  <c:v>43949</c:v>
                </c:pt>
                <c:pt idx="559">
                  <c:v>43948</c:v>
                </c:pt>
                <c:pt idx="560">
                  <c:v>43945</c:v>
                </c:pt>
                <c:pt idx="561">
                  <c:v>43944</c:v>
                </c:pt>
                <c:pt idx="562">
                  <c:v>43943</c:v>
                </c:pt>
                <c:pt idx="563">
                  <c:v>43942</c:v>
                </c:pt>
                <c:pt idx="564">
                  <c:v>43941</c:v>
                </c:pt>
                <c:pt idx="565">
                  <c:v>43938</c:v>
                </c:pt>
                <c:pt idx="566">
                  <c:v>43937</c:v>
                </c:pt>
                <c:pt idx="567">
                  <c:v>43936</c:v>
                </c:pt>
                <c:pt idx="568">
                  <c:v>43935</c:v>
                </c:pt>
                <c:pt idx="569">
                  <c:v>43934</c:v>
                </c:pt>
                <c:pt idx="570">
                  <c:v>43930</c:v>
                </c:pt>
                <c:pt idx="571">
                  <c:v>43929</c:v>
                </c:pt>
                <c:pt idx="572">
                  <c:v>43928</c:v>
                </c:pt>
                <c:pt idx="573">
                  <c:v>43927</c:v>
                </c:pt>
                <c:pt idx="574">
                  <c:v>43924</c:v>
                </c:pt>
                <c:pt idx="575">
                  <c:v>43923</c:v>
                </c:pt>
                <c:pt idx="576">
                  <c:v>43922</c:v>
                </c:pt>
                <c:pt idx="577">
                  <c:v>43921</c:v>
                </c:pt>
                <c:pt idx="578">
                  <c:v>43920</c:v>
                </c:pt>
                <c:pt idx="579">
                  <c:v>43917</c:v>
                </c:pt>
                <c:pt idx="580">
                  <c:v>43916</c:v>
                </c:pt>
                <c:pt idx="581">
                  <c:v>43915</c:v>
                </c:pt>
                <c:pt idx="582">
                  <c:v>43914</c:v>
                </c:pt>
                <c:pt idx="583">
                  <c:v>43913</c:v>
                </c:pt>
                <c:pt idx="584">
                  <c:v>43910</c:v>
                </c:pt>
                <c:pt idx="585">
                  <c:v>43909</c:v>
                </c:pt>
                <c:pt idx="586">
                  <c:v>43908</c:v>
                </c:pt>
                <c:pt idx="587">
                  <c:v>43907</c:v>
                </c:pt>
                <c:pt idx="588">
                  <c:v>43906</c:v>
                </c:pt>
                <c:pt idx="589">
                  <c:v>43903</c:v>
                </c:pt>
                <c:pt idx="590">
                  <c:v>43902</c:v>
                </c:pt>
                <c:pt idx="591">
                  <c:v>43901</c:v>
                </c:pt>
                <c:pt idx="592">
                  <c:v>43900</c:v>
                </c:pt>
                <c:pt idx="593">
                  <c:v>43899</c:v>
                </c:pt>
                <c:pt idx="594">
                  <c:v>43896</c:v>
                </c:pt>
                <c:pt idx="595">
                  <c:v>43895</c:v>
                </c:pt>
                <c:pt idx="596">
                  <c:v>43894</c:v>
                </c:pt>
                <c:pt idx="597">
                  <c:v>43893</c:v>
                </c:pt>
                <c:pt idx="598">
                  <c:v>43892</c:v>
                </c:pt>
                <c:pt idx="599">
                  <c:v>43889</c:v>
                </c:pt>
                <c:pt idx="600">
                  <c:v>43888</c:v>
                </c:pt>
                <c:pt idx="601">
                  <c:v>43887</c:v>
                </c:pt>
                <c:pt idx="602">
                  <c:v>43886</c:v>
                </c:pt>
                <c:pt idx="603">
                  <c:v>43885</c:v>
                </c:pt>
                <c:pt idx="604">
                  <c:v>43882</c:v>
                </c:pt>
                <c:pt idx="605">
                  <c:v>43881</c:v>
                </c:pt>
                <c:pt idx="606">
                  <c:v>43880</c:v>
                </c:pt>
                <c:pt idx="607">
                  <c:v>43879</c:v>
                </c:pt>
                <c:pt idx="608">
                  <c:v>43878</c:v>
                </c:pt>
                <c:pt idx="609">
                  <c:v>43875</c:v>
                </c:pt>
                <c:pt idx="610">
                  <c:v>43874</c:v>
                </c:pt>
                <c:pt idx="611">
                  <c:v>43873</c:v>
                </c:pt>
                <c:pt idx="612">
                  <c:v>43872</c:v>
                </c:pt>
                <c:pt idx="613">
                  <c:v>43871</c:v>
                </c:pt>
                <c:pt idx="614">
                  <c:v>43868</c:v>
                </c:pt>
                <c:pt idx="615">
                  <c:v>43867</c:v>
                </c:pt>
                <c:pt idx="616">
                  <c:v>43866</c:v>
                </c:pt>
                <c:pt idx="617">
                  <c:v>43865</c:v>
                </c:pt>
                <c:pt idx="618">
                  <c:v>43864</c:v>
                </c:pt>
                <c:pt idx="619">
                  <c:v>43861</c:v>
                </c:pt>
                <c:pt idx="620">
                  <c:v>43860</c:v>
                </c:pt>
                <c:pt idx="621">
                  <c:v>43859</c:v>
                </c:pt>
                <c:pt idx="622">
                  <c:v>43858</c:v>
                </c:pt>
                <c:pt idx="623">
                  <c:v>43857</c:v>
                </c:pt>
                <c:pt idx="624">
                  <c:v>43854</c:v>
                </c:pt>
                <c:pt idx="625">
                  <c:v>43853</c:v>
                </c:pt>
                <c:pt idx="626">
                  <c:v>43852</c:v>
                </c:pt>
                <c:pt idx="627">
                  <c:v>43851</c:v>
                </c:pt>
                <c:pt idx="628">
                  <c:v>43850</c:v>
                </c:pt>
                <c:pt idx="629">
                  <c:v>43847</c:v>
                </c:pt>
                <c:pt idx="630">
                  <c:v>43846</c:v>
                </c:pt>
                <c:pt idx="631">
                  <c:v>43845</c:v>
                </c:pt>
                <c:pt idx="632">
                  <c:v>43844</c:v>
                </c:pt>
                <c:pt idx="633">
                  <c:v>43843</c:v>
                </c:pt>
                <c:pt idx="634">
                  <c:v>43840</c:v>
                </c:pt>
                <c:pt idx="635">
                  <c:v>43839</c:v>
                </c:pt>
                <c:pt idx="636">
                  <c:v>43838</c:v>
                </c:pt>
                <c:pt idx="637">
                  <c:v>43837</c:v>
                </c:pt>
                <c:pt idx="638">
                  <c:v>43836</c:v>
                </c:pt>
                <c:pt idx="639">
                  <c:v>43833</c:v>
                </c:pt>
                <c:pt idx="640">
                  <c:v>43832</c:v>
                </c:pt>
                <c:pt idx="641">
                  <c:v>43830</c:v>
                </c:pt>
                <c:pt idx="642">
                  <c:v>43829</c:v>
                </c:pt>
                <c:pt idx="643">
                  <c:v>43826</c:v>
                </c:pt>
                <c:pt idx="644">
                  <c:v>43825</c:v>
                </c:pt>
                <c:pt idx="645">
                  <c:v>43823</c:v>
                </c:pt>
                <c:pt idx="646">
                  <c:v>43822</c:v>
                </c:pt>
                <c:pt idx="647">
                  <c:v>43819</c:v>
                </c:pt>
                <c:pt idx="648">
                  <c:v>43818</c:v>
                </c:pt>
                <c:pt idx="649">
                  <c:v>43817</c:v>
                </c:pt>
                <c:pt idx="650">
                  <c:v>43816</c:v>
                </c:pt>
                <c:pt idx="651">
                  <c:v>43815</c:v>
                </c:pt>
                <c:pt idx="652">
                  <c:v>43812</c:v>
                </c:pt>
                <c:pt idx="653">
                  <c:v>43811</c:v>
                </c:pt>
                <c:pt idx="654">
                  <c:v>43810</c:v>
                </c:pt>
                <c:pt idx="655">
                  <c:v>43809</c:v>
                </c:pt>
                <c:pt idx="656">
                  <c:v>43808</c:v>
                </c:pt>
                <c:pt idx="657">
                  <c:v>43805</c:v>
                </c:pt>
                <c:pt idx="658">
                  <c:v>43804</c:v>
                </c:pt>
                <c:pt idx="659">
                  <c:v>43803</c:v>
                </c:pt>
                <c:pt idx="660">
                  <c:v>43802</c:v>
                </c:pt>
                <c:pt idx="661">
                  <c:v>43801</c:v>
                </c:pt>
                <c:pt idx="662">
                  <c:v>43798</c:v>
                </c:pt>
                <c:pt idx="663">
                  <c:v>43797</c:v>
                </c:pt>
                <c:pt idx="664">
                  <c:v>43796</c:v>
                </c:pt>
                <c:pt idx="665">
                  <c:v>43795</c:v>
                </c:pt>
                <c:pt idx="666">
                  <c:v>43794</c:v>
                </c:pt>
                <c:pt idx="667">
                  <c:v>43791</c:v>
                </c:pt>
                <c:pt idx="668">
                  <c:v>43790</c:v>
                </c:pt>
                <c:pt idx="669">
                  <c:v>43789</c:v>
                </c:pt>
                <c:pt idx="670">
                  <c:v>43788</c:v>
                </c:pt>
                <c:pt idx="671">
                  <c:v>43787</c:v>
                </c:pt>
                <c:pt idx="672">
                  <c:v>43784</c:v>
                </c:pt>
                <c:pt idx="673">
                  <c:v>43783</c:v>
                </c:pt>
                <c:pt idx="674">
                  <c:v>43782</c:v>
                </c:pt>
                <c:pt idx="675">
                  <c:v>43781</c:v>
                </c:pt>
                <c:pt idx="676">
                  <c:v>43780</c:v>
                </c:pt>
                <c:pt idx="677">
                  <c:v>43777</c:v>
                </c:pt>
                <c:pt idx="678">
                  <c:v>43776</c:v>
                </c:pt>
                <c:pt idx="679">
                  <c:v>43775</c:v>
                </c:pt>
                <c:pt idx="680">
                  <c:v>43774</c:v>
                </c:pt>
                <c:pt idx="681">
                  <c:v>43773</c:v>
                </c:pt>
                <c:pt idx="682">
                  <c:v>43770</c:v>
                </c:pt>
                <c:pt idx="683">
                  <c:v>43769</c:v>
                </c:pt>
              </c:numCache>
            </c:numRef>
          </c:xVal>
          <c:yVal>
            <c:numRef>
              <c:f>'Comparing the Data'!$I$12:$I$265</c:f>
              <c:numCache>
                <c:formatCode>"$"#,##0.00</c:formatCode>
                <c:ptCount val="254"/>
                <c:pt idx="0">
                  <c:v>4.1722000000000001</c:v>
                </c:pt>
                <c:pt idx="1">
                  <c:v>4.2762000000000002</c:v>
                </c:pt>
                <c:pt idx="2">
                  <c:v>4.2218999999999998</c:v>
                </c:pt>
                <c:pt idx="3">
                  <c:v>4.1577000000000002</c:v>
                </c:pt>
                <c:pt idx="4">
                  <c:v>4.1929999999999996</c:v>
                </c:pt>
                <c:pt idx="5">
                  <c:v>4.2522000000000002</c:v>
                </c:pt>
                <c:pt idx="6">
                  <c:v>4.1909000000000001</c:v>
                </c:pt>
                <c:pt idx="7">
                  <c:v>4.0716000000000001</c:v>
                </c:pt>
                <c:pt idx="8">
                  <c:v>3.9161999999999999</c:v>
                </c:pt>
                <c:pt idx="9">
                  <c:v>3.9119000000000002</c:v>
                </c:pt>
                <c:pt idx="10">
                  <c:v>3.7924000000000002</c:v>
                </c:pt>
                <c:pt idx="11">
                  <c:v>3.7252999999999998</c:v>
                </c:pt>
                <c:pt idx="12">
                  <c:v>3.6897000000000002</c:v>
                </c:pt>
                <c:pt idx="13">
                  <c:v>3.6802000000000001</c:v>
                </c:pt>
                <c:pt idx="14">
                  <c:v>3.6897000000000002</c:v>
                </c:pt>
                <c:pt idx="15">
                  <c:v>3.6776</c:v>
                </c:pt>
                <c:pt idx="16">
                  <c:v>3.5912999999999999</c:v>
                </c:pt>
                <c:pt idx="17">
                  <c:v>3.7763</c:v>
                </c:pt>
                <c:pt idx="18">
                  <c:v>3.8405</c:v>
                </c:pt>
                <c:pt idx="19">
                  <c:v>3.9578000000000002</c:v>
                </c:pt>
                <c:pt idx="20">
                  <c:v>3.7917000000000001</c:v>
                </c:pt>
                <c:pt idx="21">
                  <c:v>3.6855000000000002</c:v>
                </c:pt>
                <c:pt idx="22">
                  <c:v>3.5415000000000001</c:v>
                </c:pt>
                <c:pt idx="23">
                  <c:v>3.6419000000000001</c:v>
                </c:pt>
                <c:pt idx="24">
                  <c:v>3.7589999999999999</c:v>
                </c:pt>
                <c:pt idx="25">
                  <c:v>3.6587000000000001</c:v>
                </c:pt>
                <c:pt idx="26">
                  <c:v>3.6522999999999999</c:v>
                </c:pt>
                <c:pt idx="27">
                  <c:v>3.5011999999999999</c:v>
                </c:pt>
                <c:pt idx="28">
                  <c:v>3.5101</c:v>
                </c:pt>
                <c:pt idx="29">
                  <c:v>3.4424000000000001</c:v>
                </c:pt>
                <c:pt idx="30">
                  <c:v>3.4759000000000002</c:v>
                </c:pt>
                <c:pt idx="31">
                  <c:v>3.4135</c:v>
                </c:pt>
                <c:pt idx="32">
                  <c:v>3.3109999999999999</c:v>
                </c:pt>
                <c:pt idx="33">
                  <c:v>3.2206000000000001</c:v>
                </c:pt>
                <c:pt idx="34">
                  <c:v>3.286</c:v>
                </c:pt>
                <c:pt idx="35">
                  <c:v>3.3174999999999999</c:v>
                </c:pt>
                <c:pt idx="36">
                  <c:v>3.2618</c:v>
                </c:pt>
                <c:pt idx="37">
                  <c:v>3.2288999999999999</c:v>
                </c:pt>
                <c:pt idx="38">
                  <c:v>3.3580000000000001</c:v>
                </c:pt>
                <c:pt idx="39">
                  <c:v>3.3814000000000002</c:v>
                </c:pt>
                <c:pt idx="40">
                  <c:v>3.2913000000000001</c:v>
                </c:pt>
                <c:pt idx="41">
                  <c:v>3.1537999999999999</c:v>
                </c:pt>
                <c:pt idx="42">
                  <c:v>3.0030999999999999</c:v>
                </c:pt>
                <c:pt idx="43">
                  <c:v>3.1316000000000002</c:v>
                </c:pt>
                <c:pt idx="44">
                  <c:v>3.0398000000000001</c:v>
                </c:pt>
                <c:pt idx="45">
                  <c:v>3.0461999999999998</c:v>
                </c:pt>
                <c:pt idx="46">
                  <c:v>3.1648999999999998</c:v>
                </c:pt>
                <c:pt idx="47">
                  <c:v>3.1981000000000002</c:v>
                </c:pt>
                <c:pt idx="48">
                  <c:v>3.1535000000000002</c:v>
                </c:pt>
                <c:pt idx="49">
                  <c:v>3.1509</c:v>
                </c:pt>
                <c:pt idx="50">
                  <c:v>3.2864</c:v>
                </c:pt>
                <c:pt idx="51">
                  <c:v>3.1766999999999999</c:v>
                </c:pt>
                <c:pt idx="52">
                  <c:v>3.1962000000000002</c:v>
                </c:pt>
                <c:pt idx="53">
                  <c:v>3.4363000000000001</c:v>
                </c:pt>
                <c:pt idx="54">
                  <c:v>3.3689</c:v>
                </c:pt>
                <c:pt idx="55">
                  <c:v>3.4195000000000002</c:v>
                </c:pt>
                <c:pt idx="56">
                  <c:v>3.3046000000000002</c:v>
                </c:pt>
                <c:pt idx="57">
                  <c:v>3.3378999999999999</c:v>
                </c:pt>
                <c:pt idx="58">
                  <c:v>3.2059000000000002</c:v>
                </c:pt>
                <c:pt idx="59">
                  <c:v>3.1821999999999999</c:v>
                </c:pt>
                <c:pt idx="60">
                  <c:v>2.952</c:v>
                </c:pt>
                <c:pt idx="61">
                  <c:v>2.9657</c:v>
                </c:pt>
                <c:pt idx="62">
                  <c:v>3.1339000000000001</c:v>
                </c:pt>
                <c:pt idx="63">
                  <c:v>3.3121</c:v>
                </c:pt>
                <c:pt idx="64">
                  <c:v>3.1566999999999998</c:v>
                </c:pt>
                <c:pt idx="65">
                  <c:v>3.2938000000000001</c:v>
                </c:pt>
                <c:pt idx="66">
                  <c:v>3.6825999999999999</c:v>
                </c:pt>
                <c:pt idx="67">
                  <c:v>3.5720999999999998</c:v>
                </c:pt>
                <c:pt idx="68">
                  <c:v>3.544</c:v>
                </c:pt>
                <c:pt idx="69">
                  <c:v>3.2844000000000002</c:v>
                </c:pt>
                <c:pt idx="70">
                  <c:v>3.3083</c:v>
                </c:pt>
                <c:pt idx="71">
                  <c:v>3.0886999999999998</c:v>
                </c:pt>
                <c:pt idx="72">
                  <c:v>2.9325000000000001</c:v>
                </c:pt>
                <c:pt idx="73">
                  <c:v>2.8740999999999999</c:v>
                </c:pt>
                <c:pt idx="74">
                  <c:v>2.9165000000000001</c:v>
                </c:pt>
                <c:pt idx="75">
                  <c:v>2.8759999999999999</c:v>
                </c:pt>
                <c:pt idx="76">
                  <c:v>2.8542999999999998</c:v>
                </c:pt>
                <c:pt idx="77">
                  <c:v>2.8119000000000001</c:v>
                </c:pt>
                <c:pt idx="78">
                  <c:v>2.7959999999999998</c:v>
                </c:pt>
                <c:pt idx="79">
                  <c:v>2.8283</c:v>
                </c:pt>
                <c:pt idx="80">
                  <c:v>2.8094999999999999</c:v>
                </c:pt>
                <c:pt idx="81">
                  <c:v>2.9068000000000001</c:v>
                </c:pt>
                <c:pt idx="82">
                  <c:v>2.7385999999999999</c:v>
                </c:pt>
                <c:pt idx="83">
                  <c:v>2.6654</c:v>
                </c:pt>
                <c:pt idx="84">
                  <c:v>2.6534</c:v>
                </c:pt>
                <c:pt idx="85">
                  <c:v>2.6251000000000002</c:v>
                </c:pt>
                <c:pt idx="86">
                  <c:v>2.6852999999999998</c:v>
                </c:pt>
                <c:pt idx="87">
                  <c:v>2.6785000000000001</c:v>
                </c:pt>
                <c:pt idx="88">
                  <c:v>2.6427</c:v>
                </c:pt>
                <c:pt idx="89">
                  <c:v>2.6070000000000002</c:v>
                </c:pt>
                <c:pt idx="90">
                  <c:v>2.5752000000000002</c:v>
                </c:pt>
                <c:pt idx="91">
                  <c:v>2.5543999999999998</c:v>
                </c:pt>
                <c:pt idx="92">
                  <c:v>2.5379</c:v>
                </c:pt>
                <c:pt idx="93">
                  <c:v>2.5209999999999999</c:v>
                </c:pt>
                <c:pt idx="94">
                  <c:v>2.5232000000000001</c:v>
                </c:pt>
                <c:pt idx="95">
                  <c:v>2.4626000000000001</c:v>
                </c:pt>
                <c:pt idx="96">
                  <c:v>2.4020999999999999</c:v>
                </c:pt>
                <c:pt idx="97">
                  <c:v>2.4464999999999999</c:v>
                </c:pt>
                <c:pt idx="98">
                  <c:v>2.4662000000000002</c:v>
                </c:pt>
                <c:pt idx="99">
                  <c:v>2.4615</c:v>
                </c:pt>
                <c:pt idx="100">
                  <c:v>2.4386999999999999</c:v>
                </c:pt>
                <c:pt idx="101">
                  <c:v>2.4237000000000002</c:v>
                </c:pt>
                <c:pt idx="102">
                  <c:v>2.3877000000000002</c:v>
                </c:pt>
                <c:pt idx="103">
                  <c:v>2.3908</c:v>
                </c:pt>
                <c:pt idx="104">
                  <c:v>2.3574000000000002</c:v>
                </c:pt>
                <c:pt idx="105">
                  <c:v>2.2753999999999999</c:v>
                </c:pt>
                <c:pt idx="106">
                  <c:v>2.2989000000000002</c:v>
                </c:pt>
                <c:pt idx="107">
                  <c:v>2.3043</c:v>
                </c:pt>
                <c:pt idx="108">
                  <c:v>2.2921</c:v>
                </c:pt>
                <c:pt idx="109">
                  <c:v>2.2763</c:v>
                </c:pt>
                <c:pt idx="110">
                  <c:v>2.2565</c:v>
                </c:pt>
                <c:pt idx="111">
                  <c:v>2.2246000000000001</c:v>
                </c:pt>
                <c:pt idx="112">
                  <c:v>2.2913999999999999</c:v>
                </c:pt>
                <c:pt idx="113">
                  <c:v>2.2665999999999999</c:v>
                </c:pt>
                <c:pt idx="114">
                  <c:v>2.246</c:v>
                </c:pt>
                <c:pt idx="115">
                  <c:v>2.2303999999999999</c:v>
                </c:pt>
                <c:pt idx="116">
                  <c:v>2.2033</c:v>
                </c:pt>
                <c:pt idx="117">
                  <c:v>2.165</c:v>
                </c:pt>
                <c:pt idx="118">
                  <c:v>2.1448</c:v>
                </c:pt>
                <c:pt idx="119">
                  <c:v>2.0785999999999998</c:v>
                </c:pt>
                <c:pt idx="120">
                  <c:v>2.1126</c:v>
                </c:pt>
                <c:pt idx="121">
                  <c:v>2.1644000000000001</c:v>
                </c:pt>
                <c:pt idx="122">
                  <c:v>2.1122999999999998</c:v>
                </c:pt>
                <c:pt idx="123">
                  <c:v>2.1107999999999998</c:v>
                </c:pt>
                <c:pt idx="124">
                  <c:v>2.1164999999999998</c:v>
                </c:pt>
                <c:pt idx="125">
                  <c:v>2.1372</c:v>
                </c:pt>
                <c:pt idx="126">
                  <c:v>2.1284000000000001</c:v>
                </c:pt>
                <c:pt idx="127">
                  <c:v>2.1484999999999999</c:v>
                </c:pt>
                <c:pt idx="128">
                  <c:v>2.1</c:v>
                </c:pt>
                <c:pt idx="129">
                  <c:v>2.0432999999999999</c:v>
                </c:pt>
                <c:pt idx="130">
                  <c:v>1.9529000000000001</c:v>
                </c:pt>
                <c:pt idx="131">
                  <c:v>1.9677</c:v>
                </c:pt>
                <c:pt idx="132">
                  <c:v>1.9511000000000001</c:v>
                </c:pt>
                <c:pt idx="133">
                  <c:v>1.9400999999999999</c:v>
                </c:pt>
                <c:pt idx="134">
                  <c:v>2.0329999999999999</c:v>
                </c:pt>
                <c:pt idx="135">
                  <c:v>1.9811000000000001</c:v>
                </c:pt>
                <c:pt idx="136">
                  <c:v>2.2658999999999998</c:v>
                </c:pt>
                <c:pt idx="137">
                  <c:v>2.2783000000000002</c:v>
                </c:pt>
                <c:pt idx="138">
                  <c:v>2.2033</c:v>
                </c:pt>
                <c:pt idx="139">
                  <c:v>2.1568999999999998</c:v>
                </c:pt>
                <c:pt idx="140">
                  <c:v>2.2427000000000001</c:v>
                </c:pt>
                <c:pt idx="141">
                  <c:v>2.2305000000000001</c:v>
                </c:pt>
                <c:pt idx="142">
                  <c:v>2.2936000000000001</c:v>
                </c:pt>
                <c:pt idx="143">
                  <c:v>2.2761999999999998</c:v>
                </c:pt>
                <c:pt idx="144">
                  <c:v>2.2685</c:v>
                </c:pt>
                <c:pt idx="145">
                  <c:v>2.2806000000000002</c:v>
                </c:pt>
                <c:pt idx="146">
                  <c:v>2.2646000000000002</c:v>
                </c:pt>
                <c:pt idx="147">
                  <c:v>2.3752</c:v>
                </c:pt>
                <c:pt idx="148">
                  <c:v>2.3222</c:v>
                </c:pt>
                <c:pt idx="149">
                  <c:v>2.3209</c:v>
                </c:pt>
                <c:pt idx="150">
                  <c:v>2.2926000000000002</c:v>
                </c:pt>
                <c:pt idx="151">
                  <c:v>2.3384999999999998</c:v>
                </c:pt>
                <c:pt idx="152">
                  <c:v>2.4500999999999999</c:v>
                </c:pt>
                <c:pt idx="153">
                  <c:v>2.4093</c:v>
                </c:pt>
                <c:pt idx="154">
                  <c:v>2.3696999999999999</c:v>
                </c:pt>
                <c:pt idx="155">
                  <c:v>2.3589000000000002</c:v>
                </c:pt>
                <c:pt idx="156">
                  <c:v>2.3792</c:v>
                </c:pt>
                <c:pt idx="157">
                  <c:v>2.4472</c:v>
                </c:pt>
                <c:pt idx="158">
                  <c:v>2.4426999999999999</c:v>
                </c:pt>
                <c:pt idx="159">
                  <c:v>2.4156</c:v>
                </c:pt>
                <c:pt idx="160">
                  <c:v>2.419</c:v>
                </c:pt>
                <c:pt idx="161">
                  <c:v>2.4468999999999999</c:v>
                </c:pt>
                <c:pt idx="162">
                  <c:v>2.4176000000000002</c:v>
                </c:pt>
                <c:pt idx="163">
                  <c:v>2.4222999999999999</c:v>
                </c:pt>
                <c:pt idx="164">
                  <c:v>2.4251</c:v>
                </c:pt>
                <c:pt idx="165">
                  <c:v>2.3824000000000001</c:v>
                </c:pt>
                <c:pt idx="166">
                  <c:v>2.4055</c:v>
                </c:pt>
                <c:pt idx="167">
                  <c:v>2.3828999999999998</c:v>
                </c:pt>
                <c:pt idx="168">
                  <c:v>2.3778999999999999</c:v>
                </c:pt>
                <c:pt idx="169">
                  <c:v>2.3662000000000001</c:v>
                </c:pt>
                <c:pt idx="170">
                  <c:v>2.3344</c:v>
                </c:pt>
                <c:pt idx="171">
                  <c:v>2.3081999999999998</c:v>
                </c:pt>
                <c:pt idx="172">
                  <c:v>2.3578999999999999</c:v>
                </c:pt>
                <c:pt idx="173">
                  <c:v>2.3085</c:v>
                </c:pt>
                <c:pt idx="174">
                  <c:v>2.25</c:v>
                </c:pt>
                <c:pt idx="175">
                  <c:v>2.194</c:v>
                </c:pt>
                <c:pt idx="176">
                  <c:v>2.1749999999999998</c:v>
                </c:pt>
                <c:pt idx="177">
                  <c:v>2.1475</c:v>
                </c:pt>
                <c:pt idx="178">
                  <c:v>2.17</c:v>
                </c:pt>
                <c:pt idx="179">
                  <c:v>2.1377000000000002</c:v>
                </c:pt>
                <c:pt idx="180">
                  <c:v>2.1261000000000001</c:v>
                </c:pt>
                <c:pt idx="181">
                  <c:v>2.0836999999999999</c:v>
                </c:pt>
                <c:pt idx="182">
                  <c:v>2.0598000000000001</c:v>
                </c:pt>
                <c:pt idx="183">
                  <c:v>2.0602999999999998</c:v>
                </c:pt>
                <c:pt idx="184">
                  <c:v>2.1156999999999999</c:v>
                </c:pt>
                <c:pt idx="185">
                  <c:v>2.1269</c:v>
                </c:pt>
                <c:pt idx="186">
                  <c:v>2.1438000000000001</c:v>
                </c:pt>
                <c:pt idx="187">
                  <c:v>2.1118999999999999</c:v>
                </c:pt>
                <c:pt idx="188">
                  <c:v>2.1608999999999998</c:v>
                </c:pt>
                <c:pt idx="189">
                  <c:v>2.1539999999999999</c:v>
                </c:pt>
                <c:pt idx="190">
                  <c:v>2.0996999999999999</c:v>
                </c:pt>
                <c:pt idx="191">
                  <c:v>2.1320999999999999</c:v>
                </c:pt>
                <c:pt idx="192">
                  <c:v>2.13</c:v>
                </c:pt>
                <c:pt idx="193">
                  <c:v>2.1539999999999999</c:v>
                </c:pt>
                <c:pt idx="194">
                  <c:v>2.1635</c:v>
                </c:pt>
                <c:pt idx="195">
                  <c:v>2.1109</c:v>
                </c:pt>
                <c:pt idx="196">
                  <c:v>2.1419000000000001</c:v>
                </c:pt>
                <c:pt idx="197">
                  <c:v>2.1537999999999999</c:v>
                </c:pt>
                <c:pt idx="198">
                  <c:v>2.1196000000000002</c:v>
                </c:pt>
                <c:pt idx="199">
                  <c:v>2.0922999999999998</c:v>
                </c:pt>
                <c:pt idx="200">
                  <c:v>2.145</c:v>
                </c:pt>
                <c:pt idx="201">
                  <c:v>2.0575999999999999</c:v>
                </c:pt>
                <c:pt idx="202">
                  <c:v>1.9865999999999999</c:v>
                </c:pt>
                <c:pt idx="203">
                  <c:v>1.8902000000000001</c:v>
                </c:pt>
                <c:pt idx="204">
                  <c:v>1.9524999999999999</c:v>
                </c:pt>
                <c:pt idx="205">
                  <c:v>2.0162</c:v>
                </c:pt>
                <c:pt idx="206">
                  <c:v>2.0396999999999998</c:v>
                </c:pt>
                <c:pt idx="207">
                  <c:v>2.0668000000000002</c:v>
                </c:pt>
                <c:pt idx="208">
                  <c:v>2.1128999999999998</c:v>
                </c:pt>
                <c:pt idx="209">
                  <c:v>2.13</c:v>
                </c:pt>
                <c:pt idx="210">
                  <c:v>2.3022</c:v>
                </c:pt>
                <c:pt idx="211">
                  <c:v>2.2679</c:v>
                </c:pt>
                <c:pt idx="212">
                  <c:v>2.2347999999999999</c:v>
                </c:pt>
                <c:pt idx="213">
                  <c:v>2.2568999999999999</c:v>
                </c:pt>
                <c:pt idx="214">
                  <c:v>2.294</c:v>
                </c:pt>
                <c:pt idx="215">
                  <c:v>2.25</c:v>
                </c:pt>
                <c:pt idx="216">
                  <c:v>2.2707999999999999</c:v>
                </c:pt>
                <c:pt idx="217">
                  <c:v>2.2747000000000002</c:v>
                </c:pt>
                <c:pt idx="218">
                  <c:v>2.3347000000000002</c:v>
                </c:pt>
                <c:pt idx="219">
                  <c:v>2.3250999999999999</c:v>
                </c:pt>
                <c:pt idx="220">
                  <c:v>2.282</c:v>
                </c:pt>
                <c:pt idx="221">
                  <c:v>2.2812999999999999</c:v>
                </c:pt>
                <c:pt idx="222">
                  <c:v>2.2753999999999999</c:v>
                </c:pt>
                <c:pt idx="223">
                  <c:v>2.2612000000000001</c:v>
                </c:pt>
                <c:pt idx="224">
                  <c:v>2.2473999999999998</c:v>
                </c:pt>
                <c:pt idx="225">
                  <c:v>2.1941000000000002</c:v>
                </c:pt>
                <c:pt idx="226">
                  <c:v>2.1103999999999998</c:v>
                </c:pt>
                <c:pt idx="227">
                  <c:v>2.0903</c:v>
                </c:pt>
                <c:pt idx="228">
                  <c:v>2.2345000000000002</c:v>
                </c:pt>
                <c:pt idx="229">
                  <c:v>2.2317999999999998</c:v>
                </c:pt>
                <c:pt idx="230">
                  <c:v>2.2722000000000002</c:v>
                </c:pt>
                <c:pt idx="231">
                  <c:v>2.3016999999999999</c:v>
                </c:pt>
                <c:pt idx="232">
                  <c:v>2.2772000000000001</c:v>
                </c:pt>
                <c:pt idx="233">
                  <c:v>2.2919999999999998</c:v>
                </c:pt>
                <c:pt idx="234">
                  <c:v>2.2551999999999999</c:v>
                </c:pt>
                <c:pt idx="235">
                  <c:v>2.206</c:v>
                </c:pt>
                <c:pt idx="236">
                  <c:v>2.2282000000000002</c:v>
                </c:pt>
                <c:pt idx="237">
                  <c:v>2.2997999999999998</c:v>
                </c:pt>
                <c:pt idx="238">
                  <c:v>2.2675999999999998</c:v>
                </c:pt>
                <c:pt idx="239">
                  <c:v>2.2418</c:v>
                </c:pt>
                <c:pt idx="240">
                  <c:v>2.2414999999999998</c:v>
                </c:pt>
                <c:pt idx="241">
                  <c:v>2.2176999999999998</c:v>
                </c:pt>
                <c:pt idx="242">
                  <c:v>2.2612000000000001</c:v>
                </c:pt>
                <c:pt idx="243">
                  <c:v>2.2799999999999998</c:v>
                </c:pt>
                <c:pt idx="244">
                  <c:v>2.2698999999999998</c:v>
                </c:pt>
                <c:pt idx="245">
                  <c:v>2.2301000000000002</c:v>
                </c:pt>
                <c:pt idx="246">
                  <c:v>2.2031000000000001</c:v>
                </c:pt>
                <c:pt idx="247">
                  <c:v>2.1739999999999999</c:v>
                </c:pt>
                <c:pt idx="248">
                  <c:v>2.1387999999999998</c:v>
                </c:pt>
                <c:pt idx="249">
                  <c:v>2.16</c:v>
                </c:pt>
                <c:pt idx="250">
                  <c:v>2.1728999999999998</c:v>
                </c:pt>
                <c:pt idx="251">
                  <c:v>2.173</c:v>
                </c:pt>
                <c:pt idx="252">
                  <c:v>2.1861000000000002</c:v>
                </c:pt>
                <c:pt idx="253">
                  <c:v>2.2122000000000002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9F4-4EE4-9597-66884707F3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1938624"/>
        <c:axId val="571937968"/>
      </c:scatterChart>
      <c:valAx>
        <c:axId val="5719386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0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1937968"/>
        <c:crosses val="autoZero"/>
        <c:crossBetween val="midCat"/>
      </c:valAx>
      <c:valAx>
        <c:axId val="571937968"/>
        <c:scaling>
          <c:orientation val="minMax"/>
          <c:max val="4.3499999999999996"/>
          <c:min val="1.700000000000000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19386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3522429014555002"/>
          <c:y val="5.0063860988031977E-2"/>
          <c:w val="0.5127164028738832"/>
          <c:h val="0.87126435745934638"/>
        </c:manualLayout>
      </c:layout>
      <c:pieChart>
        <c:varyColors val="1"/>
        <c:ser>
          <c:idx val="0"/>
          <c:order val="0"/>
          <c:tx>
            <c:strRef>
              <c:f>Speedometer!$D$2</c:f>
              <c:strCache>
                <c:ptCount val="1"/>
                <c:pt idx="0">
                  <c:v>Speedometer</c:v>
                </c:pt>
              </c:strCache>
            </c:strRef>
          </c:tx>
          <c:spPr>
            <a:ln>
              <a:noFill/>
            </a:ln>
          </c:spPr>
          <c:explosion val="1"/>
          <c:dPt>
            <c:idx val="0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413F-4D6D-A023-7E8177DBA87F}"/>
              </c:ext>
            </c:extLst>
          </c:dPt>
          <c:dPt>
            <c:idx val="1"/>
            <c:bubble3D val="0"/>
            <c:spPr>
              <a:gradFill flip="none" rotWithShape="1">
                <a:gsLst>
                  <a:gs pos="100000">
                    <a:schemeClr val="accent2">
                      <a:lumMod val="0"/>
                      <a:lumOff val="100000"/>
                    </a:schemeClr>
                  </a:gs>
                  <a:gs pos="72000">
                    <a:schemeClr val="accent2">
                      <a:lumMod val="0"/>
                      <a:lumOff val="100000"/>
                    </a:schemeClr>
                  </a:gs>
                  <a:gs pos="13000">
                    <a:schemeClr val="accent2">
                      <a:lumMod val="100000"/>
                    </a:schemeClr>
                  </a:gs>
                </a:gsLst>
                <a:path path="circle">
                  <a:fillToRect r="100000" b="100000"/>
                </a:path>
                <a:tileRect l="-100000" t="-100000"/>
              </a:gradFill>
              <a:ln w="31750"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413F-4D6D-A023-7E8177DBA87F}"/>
              </c:ext>
            </c:extLst>
          </c:dPt>
          <c:dPt>
            <c:idx val="2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413F-4D6D-A023-7E8177DBA87F}"/>
              </c:ext>
            </c:extLst>
          </c:dPt>
          <c:dPt>
            <c:idx val="3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413F-4D6D-A023-7E8177DBA87F}"/>
              </c:ext>
            </c:extLst>
          </c:dPt>
          <c:val>
            <c:numRef>
              <c:f>Speedometer!$E$2:$H$2</c:f>
              <c:numCache>
                <c:formatCode>0%</c:formatCode>
                <c:ptCount val="4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413F-4D6D-A023-7E8177DBA8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</c:pieChart>
      <c:spPr>
        <a:noFill/>
        <a:ln w="0"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3522429014555002"/>
          <c:y val="5.0063860988031977E-2"/>
          <c:w val="0.5127164028738832"/>
          <c:h val="0.87126435745934638"/>
        </c:manualLayout>
      </c:layout>
      <c:pieChart>
        <c:varyColors val="1"/>
        <c:ser>
          <c:idx val="0"/>
          <c:order val="0"/>
          <c:tx>
            <c:v>Correlation</c:v>
          </c:tx>
          <c:explosion val="1"/>
          <c:dPt>
            <c:idx val="0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00EA-4A79-B443-8426179640F8}"/>
              </c:ext>
            </c:extLst>
          </c:dPt>
          <c:dPt>
            <c:idx val="1"/>
            <c:bubble3D val="0"/>
            <c:spPr>
              <a:solidFill>
                <a:schemeClr val="tx1"/>
              </a:solidFill>
              <a:ln w="19050"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00EA-4A79-B443-8426179640F8}"/>
              </c:ext>
            </c:extLst>
          </c:dPt>
          <c:dPt>
            <c:idx val="2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00EA-4A79-B443-8426179640F8}"/>
              </c:ext>
            </c:extLst>
          </c:dPt>
          <c:dPt>
            <c:idx val="3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00EA-4A79-B443-8426179640F8}"/>
              </c:ext>
            </c:extLst>
          </c:dPt>
          <c:val>
            <c:numRef>
              <c:f>Speedometer!$K$2:$N$2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8-00EA-4A79-B443-8426179640F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</c:pieChart>
      <c:spPr>
        <a:noFill/>
        <a:ln w="0"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.xml"/><Relationship Id="rId2" Type="http://schemas.openxmlformats.org/officeDocument/2006/relationships/chart" Target="../charts/chart7.xml"/><Relationship Id="rId1" Type="http://schemas.openxmlformats.org/officeDocument/2006/relationships/chart" Target="../charts/chart6.xml"/><Relationship Id="rId4" Type="http://schemas.openxmlformats.org/officeDocument/2006/relationships/chart" Target="../charts/chart9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1.xml"/><Relationship Id="rId1" Type="http://schemas.openxmlformats.org/officeDocument/2006/relationships/chart" Target="../charts/chart10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7.xml"/><Relationship Id="rId1" Type="http://schemas.openxmlformats.org/officeDocument/2006/relationships/chart" Target="../charts/chart16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9.xml"/><Relationship Id="rId1" Type="http://schemas.openxmlformats.org/officeDocument/2006/relationships/chart" Target="../charts/chart18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590550</xdr:colOff>
      <xdr:row>4</xdr:row>
      <xdr:rowOff>57150</xdr:rowOff>
    </xdr:from>
    <xdr:ext cx="184731" cy="264560"/>
    <xdr:sp macro="" textlink="">
      <xdr:nvSpPr>
        <xdr:cNvPr id="76" name="TextBox 75">
          <a:extLst>
            <a:ext uri="{FF2B5EF4-FFF2-40B4-BE49-F238E27FC236}">
              <a16:creationId xmlns:a16="http://schemas.microsoft.com/office/drawing/2014/main" id="{00000000-0008-0000-0000-00004C000000}"/>
            </a:ext>
          </a:extLst>
        </xdr:cNvPr>
        <xdr:cNvSpPr txBox="1"/>
      </xdr:nvSpPr>
      <xdr:spPr>
        <a:xfrm>
          <a:off x="590550" y="571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2</xdr:col>
      <xdr:colOff>508000</xdr:colOff>
      <xdr:row>8</xdr:row>
      <xdr:rowOff>201083</xdr:rowOff>
    </xdr:from>
    <xdr:ext cx="184731" cy="264560"/>
    <xdr:sp macro="" textlink="">
      <xdr:nvSpPr>
        <xdr:cNvPr id="32" name="TextBox 31">
          <a:extLs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SpPr txBox="1"/>
      </xdr:nvSpPr>
      <xdr:spPr>
        <a:xfrm>
          <a:off x="1195917" y="19367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twoCellAnchor>
    <xdr:from>
      <xdr:col>0</xdr:col>
      <xdr:colOff>151280</xdr:colOff>
      <xdr:row>18</xdr:row>
      <xdr:rowOff>15562</xdr:rowOff>
    </xdr:from>
    <xdr:to>
      <xdr:col>5</xdr:col>
      <xdr:colOff>414618</xdr:colOff>
      <xdr:row>32</xdr:row>
      <xdr:rowOff>78441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151280" y="4184150"/>
          <a:ext cx="3513044" cy="3021232"/>
          <a:chOff x="4252633" y="4083297"/>
          <a:chExt cx="3513044" cy="3021232"/>
        </a:xfrm>
      </xdr:grpSpPr>
      <xdr:grpSp>
        <xdr:nvGrpSpPr>
          <xdr:cNvPr id="80" name="Group 79">
            <a:extLst>
              <a:ext uri="{FF2B5EF4-FFF2-40B4-BE49-F238E27FC236}">
                <a16:creationId xmlns:a16="http://schemas.microsoft.com/office/drawing/2014/main" id="{00000000-0008-0000-0000-000050000000}"/>
              </a:ext>
            </a:extLst>
          </xdr:cNvPr>
          <xdr:cNvGrpSpPr/>
        </xdr:nvGrpSpPr>
        <xdr:grpSpPr>
          <a:xfrm>
            <a:off x="4299323" y="4083297"/>
            <a:ext cx="3373780" cy="2852521"/>
            <a:chOff x="133350" y="2343150"/>
            <a:chExt cx="3076575" cy="2543175"/>
          </a:xfrm>
        </xdr:grpSpPr>
        <xdr:grpSp>
          <xdr:nvGrpSpPr>
            <xdr:cNvPr id="47" name="Group 46">
              <a:extLst>
                <a:ext uri="{FF2B5EF4-FFF2-40B4-BE49-F238E27FC236}">
                  <a16:creationId xmlns:a16="http://schemas.microsoft.com/office/drawing/2014/main" id="{00000000-0008-0000-0000-00002F000000}"/>
                </a:ext>
              </a:extLst>
            </xdr:cNvPr>
            <xdr:cNvGrpSpPr/>
          </xdr:nvGrpSpPr>
          <xdr:grpSpPr>
            <a:xfrm>
              <a:off x="133350" y="2343150"/>
              <a:ext cx="3076575" cy="2543175"/>
              <a:chOff x="4352925" y="1519917"/>
              <a:chExt cx="3314699" cy="2880633"/>
            </a:xfrm>
          </xdr:grpSpPr>
          <xdr:grpSp>
            <xdr:nvGrpSpPr>
              <xdr:cNvPr id="48" name="Group 47">
                <a:extLst>
                  <a:ext uri="{FF2B5EF4-FFF2-40B4-BE49-F238E27FC236}">
                    <a16:creationId xmlns:a16="http://schemas.microsoft.com/office/drawing/2014/main" id="{00000000-0008-0000-0000-000030000000}"/>
                  </a:ext>
                </a:extLst>
              </xdr:cNvPr>
              <xdr:cNvGrpSpPr/>
            </xdr:nvGrpSpPr>
            <xdr:grpSpPr>
              <a:xfrm>
                <a:off x="4352925" y="1519917"/>
                <a:ext cx="3314699" cy="2880633"/>
                <a:chOff x="2717868" y="1432408"/>
                <a:chExt cx="4721156" cy="3642632"/>
              </a:xfrm>
            </xdr:grpSpPr>
            <xdr:grpSp>
              <xdr:nvGrpSpPr>
                <xdr:cNvPr id="51" name="Group 50">
                  <a:extLst>
                    <a:ext uri="{FF2B5EF4-FFF2-40B4-BE49-F238E27FC236}">
                      <a16:creationId xmlns:a16="http://schemas.microsoft.com/office/drawing/2014/main" id="{00000000-0008-0000-0000-000033000000}"/>
                    </a:ext>
                  </a:extLst>
                </xdr:cNvPr>
                <xdr:cNvGrpSpPr/>
              </xdr:nvGrpSpPr>
              <xdr:grpSpPr>
                <a:xfrm>
                  <a:off x="2717868" y="1432408"/>
                  <a:ext cx="4721156" cy="3642632"/>
                  <a:chOff x="2717868" y="1432408"/>
                  <a:chExt cx="4721156" cy="3642632"/>
                </a:xfrm>
              </xdr:grpSpPr>
              <xdr:grpSp>
                <xdr:nvGrpSpPr>
                  <xdr:cNvPr id="54" name="Group 53">
                    <a:extLst>
                      <a:ext uri="{FF2B5EF4-FFF2-40B4-BE49-F238E27FC236}">
                        <a16:creationId xmlns:a16="http://schemas.microsoft.com/office/drawing/2014/main" id="{00000000-0008-0000-0000-000036000000}"/>
                      </a:ext>
                    </a:extLst>
                  </xdr:cNvPr>
                  <xdr:cNvGrpSpPr/>
                </xdr:nvGrpSpPr>
                <xdr:grpSpPr>
                  <a:xfrm>
                    <a:off x="2717868" y="1432408"/>
                    <a:ext cx="4707588" cy="3642632"/>
                    <a:chOff x="2717868" y="1432408"/>
                    <a:chExt cx="4707588" cy="3642632"/>
                  </a:xfrm>
                </xdr:grpSpPr>
                <xdr:grpSp>
                  <xdr:nvGrpSpPr>
                    <xdr:cNvPr id="56" name="Group 55">
                      <a:extLst>
                        <a:ext uri="{FF2B5EF4-FFF2-40B4-BE49-F238E27FC236}">
                          <a16:creationId xmlns:a16="http://schemas.microsoft.com/office/drawing/2014/main" id="{00000000-0008-0000-0000-000038000000}"/>
                        </a:ext>
                      </a:extLst>
                    </xdr:cNvPr>
                    <xdr:cNvGrpSpPr/>
                  </xdr:nvGrpSpPr>
                  <xdr:grpSpPr>
                    <a:xfrm>
                      <a:off x="2717868" y="1432408"/>
                      <a:ext cx="4707588" cy="3642632"/>
                      <a:chOff x="2717868" y="1432408"/>
                      <a:chExt cx="4707588" cy="3642632"/>
                    </a:xfrm>
                  </xdr:grpSpPr>
                  <xdr:grpSp>
                    <xdr:nvGrpSpPr>
                      <xdr:cNvPr id="58" name="Group 57">
                        <a:extLst>
                          <a:ext uri="{FF2B5EF4-FFF2-40B4-BE49-F238E27FC236}">
                            <a16:creationId xmlns:a16="http://schemas.microsoft.com/office/drawing/2014/main" id="{00000000-0008-0000-0000-00003A00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2717868" y="1432408"/>
                        <a:ext cx="4707588" cy="3642632"/>
                        <a:chOff x="2717868" y="1432408"/>
                        <a:chExt cx="4707588" cy="3642632"/>
                      </a:xfrm>
                    </xdr:grpSpPr>
                    <xdr:grpSp>
                      <xdr:nvGrpSpPr>
                        <xdr:cNvPr id="60" name="Group 59">
                          <a:extLst>
                            <a:ext uri="{FF2B5EF4-FFF2-40B4-BE49-F238E27FC236}">
                              <a16:creationId xmlns:a16="http://schemas.microsoft.com/office/drawing/2014/main" id="{00000000-0008-0000-0000-00003C000000}"/>
                            </a:ext>
                          </a:extLst>
                        </xdr:cNvPr>
                        <xdr:cNvGrpSpPr/>
                      </xdr:nvGrpSpPr>
                      <xdr:grpSpPr>
                        <a:xfrm>
                          <a:off x="2717868" y="1432408"/>
                          <a:ext cx="4707588" cy="3642632"/>
                          <a:chOff x="3684474" y="2117505"/>
                          <a:chExt cx="2480576" cy="2400299"/>
                        </a:xfrm>
                      </xdr:grpSpPr>
                      <xdr:sp macro="" textlink="">
                        <xdr:nvSpPr>
                          <xdr:cNvPr id="62" name="Chord 61">
                            <a:extLst>
                              <a:ext uri="{FF2B5EF4-FFF2-40B4-BE49-F238E27FC236}">
                                <a16:creationId xmlns:a16="http://schemas.microsoft.com/office/drawing/2014/main" id="{00000000-0008-0000-0000-00003E000000}"/>
                              </a:ext>
                            </a:extLst>
                          </xdr:cNvPr>
                          <xdr:cNvSpPr/>
                        </xdr:nvSpPr>
                        <xdr:spPr>
                          <a:xfrm>
                            <a:off x="3684474" y="2117505"/>
                            <a:ext cx="2480576" cy="2400299"/>
                          </a:xfrm>
                          <a:prstGeom prst="chord">
                            <a:avLst>
                              <a:gd name="adj1" fmla="val 9196265"/>
                              <a:gd name="adj2" fmla="val 1575005"/>
                            </a:avLst>
                          </a:prstGeom>
                          <a:gradFill flip="none" rotWithShape="1">
                            <a:gsLst>
                              <a:gs pos="98000">
                                <a:schemeClr val="bg1"/>
                              </a:gs>
                              <a:gs pos="70000">
                                <a:schemeClr val="bg1">
                                  <a:lumMod val="85000"/>
                                </a:schemeClr>
                              </a:gs>
                              <a:gs pos="0">
                                <a:schemeClr val="bg1">
                                  <a:lumMod val="50000"/>
                                </a:schemeClr>
                              </a:gs>
                            </a:gsLst>
                            <a:lin ang="1500000" scaled="0"/>
                            <a:tileRect/>
                          </a:gradFill>
                          <a:ln w="76200">
                            <a:solidFill>
                              <a:schemeClr val="bg1"/>
                            </a:solidFill>
                          </a:ln>
                        </xdr:spPr>
                        <xdr:style>
                          <a:lnRef idx="2">
                            <a:schemeClr val="accent1">
                              <a:shade val="50000"/>
                            </a:schemeClr>
                          </a:lnRef>
                          <a:fillRef idx="1">
                            <a:schemeClr val="accent1"/>
                          </a:fillRef>
                          <a:effectRef idx="0">
                            <a:schemeClr val="accent1"/>
                          </a:effectRef>
                          <a:fontRef idx="minor">
                            <a:schemeClr val="lt1"/>
                          </a:fontRef>
                        </xdr:style>
                        <xdr:txBody>
                          <a:bodyPr vertOverflow="clip" horzOverflow="clip" rtlCol="0" anchor="t"/>
                          <a:lstStyle/>
                          <a:p>
                            <a:pPr algn="l"/>
                            <a:endParaRPr lang="en-US" sz="1100" b="1"/>
                          </a:p>
                        </xdr:txBody>
                      </xdr:sp>
                      <xdr:sp macro="" textlink="">
                        <xdr:nvSpPr>
                          <xdr:cNvPr id="63" name="Chord 62">
                            <a:extLst>
                              <a:ext uri="{FF2B5EF4-FFF2-40B4-BE49-F238E27FC236}">
                                <a16:creationId xmlns:a16="http://schemas.microsoft.com/office/drawing/2014/main" id="{00000000-0008-0000-0000-00003F000000}"/>
                              </a:ext>
                            </a:extLst>
                          </xdr:cNvPr>
                          <xdr:cNvSpPr/>
                        </xdr:nvSpPr>
                        <xdr:spPr>
                          <a:xfrm>
                            <a:off x="4074661" y="2400300"/>
                            <a:ext cx="1714500" cy="1600200"/>
                          </a:xfrm>
                          <a:prstGeom prst="chord">
                            <a:avLst>
                              <a:gd name="adj1" fmla="val 9959043"/>
                              <a:gd name="adj2" fmla="val 840845"/>
                            </a:avLst>
                          </a:prstGeom>
                          <a:gradFill flip="none" rotWithShape="1">
                            <a:gsLst>
                              <a:gs pos="14000">
                                <a:schemeClr val="bg1"/>
                              </a:gs>
                              <a:gs pos="84000">
                                <a:schemeClr val="bg1">
                                  <a:alpha val="0"/>
                                  <a:lumMod val="61000"/>
                                </a:schemeClr>
                              </a:gs>
                            </a:gsLst>
                            <a:lin ang="6600000" scaled="0"/>
                            <a:tileRect/>
                          </a:gradFill>
                          <a:ln w="38100">
                            <a:solidFill>
                              <a:schemeClr val="bg1"/>
                            </a:solidFill>
                          </a:ln>
                        </xdr:spPr>
                        <xdr:style>
                          <a:lnRef idx="2">
                            <a:schemeClr val="accent1">
                              <a:shade val="50000"/>
                            </a:schemeClr>
                          </a:lnRef>
                          <a:fillRef idx="1">
                            <a:schemeClr val="accent1"/>
                          </a:fillRef>
                          <a:effectRef idx="0">
                            <a:schemeClr val="accent1"/>
                          </a:effectRef>
                          <a:fontRef idx="minor">
                            <a:schemeClr val="lt1"/>
                          </a:fontRef>
                        </xdr:style>
                        <xdr:txBody>
                          <a:bodyPr vertOverflow="clip" horzOverflow="clip" rtlCol="0" anchor="t"/>
                          <a:lstStyle/>
                          <a:p>
                            <a:pPr algn="l"/>
                            <a:endParaRPr lang="en-US" sz="1100" b="1"/>
                          </a:p>
                        </xdr:txBody>
                      </xdr:sp>
                      <xdr:sp macro="" textlink="">
                        <xdr:nvSpPr>
                          <xdr:cNvPr id="64" name="Chord 63">
                            <a:extLst>
                              <a:ext uri="{FF2B5EF4-FFF2-40B4-BE49-F238E27FC236}">
                                <a16:creationId xmlns:a16="http://schemas.microsoft.com/office/drawing/2014/main" id="{00000000-0008-0000-0000-000040000000}"/>
                              </a:ext>
                            </a:extLst>
                          </xdr:cNvPr>
                          <xdr:cNvSpPr/>
                        </xdr:nvSpPr>
                        <xdr:spPr>
                          <a:xfrm>
                            <a:off x="4154671" y="2520315"/>
                            <a:ext cx="1554480" cy="1280160"/>
                          </a:xfrm>
                          <a:prstGeom prst="chord">
                            <a:avLst>
                              <a:gd name="adj1" fmla="val 9959043"/>
                              <a:gd name="adj2" fmla="val 845172"/>
                            </a:avLst>
                          </a:prstGeom>
                          <a:gradFill flip="none" rotWithShape="1">
                            <a:gsLst>
                              <a:gs pos="53000">
                                <a:srgbClr val="FADDC9"/>
                              </a:gs>
                              <a:gs pos="33000">
                                <a:schemeClr val="bg1"/>
                              </a:gs>
                              <a:gs pos="83000">
                                <a:schemeClr val="accent2">
                                  <a:lumMod val="100000"/>
                                </a:schemeClr>
                              </a:gs>
                            </a:gsLst>
                            <a:path path="circle">
                              <a:fillToRect l="50000" t="-80000" r="50000" b="180000"/>
                            </a:path>
                            <a:tileRect/>
                          </a:gradFill>
                          <a:ln w="76200">
                            <a:noFill/>
                          </a:ln>
                          <a:effectLst>
                            <a:outerShdw blurRad="368300" dist="50800" dir="5400000" sx="1000" sy="1000" algn="ctr" rotWithShape="0">
                              <a:srgbClr val="000000">
                                <a:alpha val="54000"/>
                              </a:srgbClr>
                            </a:outerShdw>
                          </a:effectLst>
                        </xdr:spPr>
                        <xdr:style>
                          <a:lnRef idx="2">
                            <a:schemeClr val="accent1">
                              <a:shade val="50000"/>
                            </a:schemeClr>
                          </a:lnRef>
                          <a:fillRef idx="1">
                            <a:schemeClr val="accent1"/>
                          </a:fillRef>
                          <a:effectRef idx="0">
                            <a:schemeClr val="accent1"/>
                          </a:effectRef>
                          <a:fontRef idx="minor">
                            <a:schemeClr val="lt1"/>
                          </a:fontRef>
                        </xdr:style>
                        <xdr:txBody>
                          <a:bodyPr vertOverflow="clip" horzOverflow="clip" rtlCol="0" anchor="t"/>
                          <a:lstStyle/>
                          <a:p>
                            <a:pPr algn="l"/>
                            <a:endParaRPr lang="en-US" sz="1100" b="1"/>
                          </a:p>
                        </xdr:txBody>
                      </xdr:sp>
                    </xdr:grpSp>
                    <xdr:graphicFrame macro="">
                      <xdr:nvGraphicFramePr>
                        <xdr:cNvPr id="61" name="Chart 60">
                          <a:extLst>
                            <a:ext uri="{FF2B5EF4-FFF2-40B4-BE49-F238E27FC236}">
                              <a16:creationId xmlns:a16="http://schemas.microsoft.com/office/drawing/2014/main" id="{00000000-0008-0000-0000-00003D000000}"/>
                            </a:ext>
                          </a:extLst>
                        </xdr:cNvPr>
                        <xdr:cNvGraphicFramePr/>
                      </xdr:nvGraphicFramePr>
                      <xdr:xfrm>
                        <a:off x="2924148" y="1659537"/>
                        <a:ext cx="4295027" cy="2782305"/>
                      </xdr:xfrm>
                      <a:graphic>
                        <a:graphicData uri="http://schemas.openxmlformats.org/drawingml/2006/chart">
                          <c:chart xmlns:c="http://schemas.openxmlformats.org/drawingml/2006/chart" xmlns:r="http://schemas.openxmlformats.org/officeDocument/2006/relationships" r:id="rId1"/>
                        </a:graphicData>
                      </a:graphic>
                    </xdr:graphicFrame>
                  </xdr:grpSp>
                  <xdr:sp macro="" textlink="">
                    <xdr:nvSpPr>
                      <xdr:cNvPr id="59" name="TextBox 58">
                        <a:extLst>
                          <a:ext uri="{FF2B5EF4-FFF2-40B4-BE49-F238E27FC236}">
                            <a16:creationId xmlns:a16="http://schemas.microsoft.com/office/drawing/2014/main" id="{00000000-0008-0000-0000-00003B00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4514850" y="1563002"/>
                        <a:ext cx="1347788" cy="246748"/>
                      </a:xfrm>
                      <a:prstGeom prst="rect">
                        <a:avLst/>
                      </a:prstGeom>
                      <a:solidFill>
                        <a:schemeClr val="lt1">
                          <a:alpha val="0"/>
                        </a:schemeClr>
                      </a:solidFill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ctr"/>
                        <a:r>
                          <a:rPr lang="en-US" sz="1100" b="1"/>
                          <a:t> 50%</a:t>
                        </a:r>
                      </a:p>
                    </xdr:txBody>
                  </xdr:sp>
                </xdr:grpSp>
                <xdr:sp macro="" textlink="" fLocksText="0">
                  <xdr:nvSpPr>
                    <xdr:cNvPr id="57" name="TextBox 56">
                      <a:extLst>
                        <a:ext uri="{FF2B5EF4-FFF2-40B4-BE49-F238E27FC236}">
                          <a16:creationId xmlns:a16="http://schemas.microsoft.com/office/drawing/2014/main" id="{00000000-0008-0000-0000-000039000000}"/>
                        </a:ext>
                      </a:extLst>
                    </xdr:cNvPr>
                    <xdr:cNvSpPr txBox="1"/>
                  </xdr:nvSpPr>
                  <xdr:spPr>
                    <a:xfrm rot="2160000">
                      <a:off x="5783191" y="1978696"/>
                      <a:ext cx="1251743" cy="308945"/>
                    </a:xfrm>
                    <a:prstGeom prst="rect">
                      <a:avLst/>
                    </a:prstGeom>
                    <a:solidFill>
                      <a:schemeClr val="lt1">
                        <a:alpha val="0"/>
                      </a:schemeClr>
                    </a:solidFill>
                    <a:ln w="9525" cmpd="sng">
                      <a:noFill/>
                    </a:ln>
                  </xdr:spPr>
                  <xdr:style>
                    <a:lnRef idx="0">
                      <a:scrgbClr r="0" g="0" b="0"/>
                    </a:lnRef>
                    <a:fillRef idx="0">
                      <a:scrgbClr r="0" g="0" b="0"/>
                    </a:fillRef>
                    <a:effectRef idx="0">
                      <a:scrgbClr r="0" g="0" b="0"/>
                    </a:effectRef>
                    <a:fontRef idx="minor">
                      <a:schemeClr val="dk1"/>
                    </a:fontRef>
                  </xdr:style>
                  <xdr:txBody>
                    <a:bodyPr vertOverflow="clip" horzOverflow="clip" wrap="square" rtlCol="0" anchor="t"/>
                    <a:lstStyle/>
                    <a:p>
                      <a:r>
                        <a:rPr lang="en-US" sz="1100" b="1"/>
                        <a:t>   75%</a:t>
                      </a:r>
                    </a:p>
                  </xdr:txBody>
                </xdr:sp>
              </xdr:grpSp>
              <xdr:sp macro="" textlink="">
                <xdr:nvSpPr>
                  <xdr:cNvPr id="55" name="TextBox 54">
                    <a:extLst>
                      <a:ext uri="{FF2B5EF4-FFF2-40B4-BE49-F238E27FC236}">
                        <a16:creationId xmlns:a16="http://schemas.microsoft.com/office/drawing/2014/main" id="{00000000-0008-0000-0000-000037000000}"/>
                      </a:ext>
                    </a:extLst>
                  </xdr:cNvPr>
                  <xdr:cNvSpPr txBox="1"/>
                </xdr:nvSpPr>
                <xdr:spPr>
                  <a:xfrm>
                    <a:off x="6231604" y="3000376"/>
                    <a:ext cx="1207420" cy="400050"/>
                  </a:xfrm>
                  <a:prstGeom prst="rect">
                    <a:avLst/>
                  </a:prstGeom>
                  <a:solidFill>
                    <a:schemeClr val="lt1">
                      <a:alpha val="0"/>
                    </a:schemeClr>
                  </a:solidFill>
                  <a:ln w="9525" cmpd="sng">
                    <a:noFill/>
                  </a:ln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dk1"/>
                  </a:fontRef>
                </xdr:style>
                <xdr:txBody>
                  <a:bodyPr vertOverflow="clip" horzOverflow="clip" wrap="square" rtlCol="0" anchor="t"/>
                  <a:lstStyle/>
                  <a:p>
                    <a:r>
                      <a:rPr lang="en-US" sz="1100" b="1"/>
                      <a:t>         100%</a:t>
                    </a:r>
                  </a:p>
                </xdr:txBody>
              </xdr:sp>
            </xdr:grpSp>
            <xdr:sp macro="" textlink="">
              <xdr:nvSpPr>
                <xdr:cNvPr id="52" name="TextBox 51">
                  <a:extLst>
                    <a:ext uri="{FF2B5EF4-FFF2-40B4-BE49-F238E27FC236}">
                      <a16:creationId xmlns:a16="http://schemas.microsoft.com/office/drawing/2014/main" id="{00000000-0008-0000-0000-000034000000}"/>
                    </a:ext>
                  </a:extLst>
                </xdr:cNvPr>
                <xdr:cNvSpPr txBox="1"/>
              </xdr:nvSpPr>
              <xdr:spPr>
                <a:xfrm rot="19260000">
                  <a:off x="3572342" y="1802907"/>
                  <a:ext cx="849099" cy="334543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square" rtlCol="0" anchor="ctr">
                  <a:spAutoFit/>
                </a:bodyPr>
                <a:lstStyle/>
                <a:p>
                  <a:pPr algn="l"/>
                  <a:r>
                    <a:rPr lang="en-US" sz="1100" b="1"/>
                    <a:t>  25%</a:t>
                  </a:r>
                </a:p>
              </xdr:txBody>
            </xdr:sp>
            <xdr:sp macro="" textlink="">
              <xdr:nvSpPr>
                <xdr:cNvPr id="53" name="TextBox 52">
                  <a:extLst>
                    <a:ext uri="{FF2B5EF4-FFF2-40B4-BE49-F238E27FC236}">
                      <a16:creationId xmlns:a16="http://schemas.microsoft.com/office/drawing/2014/main" id="{00000000-0008-0000-0000-000035000000}"/>
                    </a:ext>
                  </a:extLst>
                </xdr:cNvPr>
                <xdr:cNvSpPr txBox="1"/>
              </xdr:nvSpPr>
              <xdr:spPr>
                <a:xfrm>
                  <a:off x="2907884" y="3000375"/>
                  <a:ext cx="624529" cy="324646"/>
                </a:xfrm>
                <a:prstGeom prst="rect">
                  <a:avLst/>
                </a:prstGeom>
                <a:solidFill>
                  <a:schemeClr val="lt1">
                    <a:alpha val="0"/>
                  </a:schemeClr>
                </a:solidFill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r>
                    <a:rPr lang="en-US" sz="1100" b="1"/>
                    <a:t>0%</a:t>
                  </a:r>
                </a:p>
              </xdr:txBody>
            </xdr:sp>
          </xdr:grpSp>
          <xdr:sp macro="" textlink="">
            <xdr:nvSpPr>
              <xdr:cNvPr id="49" name="Oval 48">
                <a:extLst>
                  <a:ext uri="{FF2B5EF4-FFF2-40B4-BE49-F238E27FC236}">
                    <a16:creationId xmlns:a16="http://schemas.microsoft.com/office/drawing/2014/main" id="{00000000-0008-0000-0000-000031000000}"/>
                  </a:ext>
                </a:extLst>
              </xdr:cNvPr>
              <xdr:cNvSpPr>
                <a:spLocks noChangeAspect="1"/>
              </xdr:cNvSpPr>
            </xdr:nvSpPr>
            <xdr:spPr>
              <a:xfrm>
                <a:off x="5781675" y="2600325"/>
                <a:ext cx="487680" cy="365760"/>
              </a:xfrm>
              <a:prstGeom prst="ellipse">
                <a:avLst/>
              </a:prstGeom>
              <a:solidFill>
                <a:schemeClr val="bg2">
                  <a:lumMod val="90000"/>
                </a:schemeClr>
              </a:solidFill>
              <a:ln w="15875">
                <a:noFill/>
              </a:ln>
              <a:effectLst>
                <a:outerShdw blurRad="149987" dist="250190" dir="8460000" algn="ctr">
                  <a:srgbClr val="000000">
                    <a:alpha val="28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contrasting" dir="t">
                  <a:rot lat="0" lon="0" rev="1500000"/>
                </a:lightRig>
              </a:scene3d>
              <a:sp3d prstMaterial="metal">
                <a:bevelT w="88900" h="88900"/>
              </a:sp3d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en-US" sz="1100"/>
              </a:p>
            </xdr:txBody>
          </xdr:sp>
          <xdr:sp macro="" textlink="Speedometer!E3">
            <xdr:nvSpPr>
              <xdr:cNvPr id="50" name="TextBox 49">
                <a:extLst>
                  <a:ext uri="{FF2B5EF4-FFF2-40B4-BE49-F238E27FC236}">
                    <a16:creationId xmlns:a16="http://schemas.microsoft.com/office/drawing/2014/main" id="{00000000-0008-0000-0000-000032000000}"/>
                  </a:ext>
                </a:extLst>
              </xdr:cNvPr>
              <xdr:cNvSpPr txBox="1"/>
            </xdr:nvSpPr>
            <xdr:spPr>
              <a:xfrm>
                <a:off x="5754822" y="2624920"/>
                <a:ext cx="506443" cy="282966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square" rtlCol="0" anchor="ctr">
                <a:spAutoFit/>
              </a:bodyPr>
              <a:lstStyle/>
              <a:p>
                <a:pPr algn="ctr"/>
                <a:fld id="{EEF56B39-1D6A-48D6-83EF-FDF8F20D8FFD}" type="TxLink">
                  <a:rPr lang="en-US" sz="1200" b="1" i="0" u="none" strike="noStrike">
                    <a:solidFill>
                      <a:srgbClr val="000000"/>
                    </a:solidFill>
                    <a:latin typeface="Calibri"/>
                    <a:cs typeface="Calibri"/>
                  </a:rPr>
                  <a:pPr algn="ctr"/>
                  <a:t>97%</a:t>
                </a:fld>
                <a:endParaRPr lang="en-US" sz="1100" b="1"/>
              </a:p>
            </xdr:txBody>
          </xdr:sp>
        </xdr:grpSp>
        <xdr:sp macro="" textlink="">
          <xdr:nvSpPr>
            <xdr:cNvPr id="79" name="TextBox 78">
              <a:extLst>
                <a:ext uri="{FF2B5EF4-FFF2-40B4-BE49-F238E27FC236}">
                  <a16:creationId xmlns:a16="http://schemas.microsoft.com/office/drawing/2014/main" id="{00000000-0008-0000-0000-00004F000000}"/>
                </a:ext>
              </a:extLst>
            </xdr:cNvPr>
            <xdr:cNvSpPr txBox="1"/>
          </xdr:nvSpPr>
          <xdr:spPr>
            <a:xfrm>
              <a:off x="342901" y="3717122"/>
              <a:ext cx="2686050" cy="581025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algn="ctr"/>
              <a:r>
                <a:rPr lang="en-US" sz="1100" b="1">
                  <a:latin typeface="Arial" panose="020B0604020202020204" pitchFamily="34" charset="0"/>
                  <a:cs typeface="Arial" panose="020B0604020202020204" pitchFamily="34" charset="0"/>
                </a:rPr>
                <a:t>Are Crude Oil &amp; RBOB Gasoline Prices for the Selected Dates Correlated?</a:t>
              </a:r>
            </a:p>
          </xdr:txBody>
        </xdr:sp>
      </xdr:grpSp>
      <xdr:grpSp>
        <xdr:nvGrpSpPr>
          <xdr:cNvPr id="39" name="Group 38">
            <a:extLst>
              <a:ext uri="{FF2B5EF4-FFF2-40B4-BE49-F238E27FC236}">
                <a16:creationId xmlns:a16="http://schemas.microsoft.com/office/drawing/2014/main" id="{00000000-0008-0000-0000-000027000000}"/>
              </a:ext>
            </a:extLst>
          </xdr:cNvPr>
          <xdr:cNvGrpSpPr/>
        </xdr:nvGrpSpPr>
        <xdr:grpSpPr>
          <a:xfrm>
            <a:off x="4252633" y="6339042"/>
            <a:ext cx="3513044" cy="765487"/>
            <a:chOff x="2592917" y="5981699"/>
            <a:chExt cx="3853391" cy="1130299"/>
          </a:xfrm>
        </xdr:grpSpPr>
        <xdr:sp macro="" textlink="">
          <xdr:nvSpPr>
            <xdr:cNvPr id="85" name="Rectangle: Rounded Corners 84">
              <a:extLst>
                <a:ext uri="{FF2B5EF4-FFF2-40B4-BE49-F238E27FC236}">
                  <a16:creationId xmlns:a16="http://schemas.microsoft.com/office/drawing/2014/main" id="{00000000-0008-0000-0000-000055000000}"/>
                </a:ext>
              </a:extLst>
            </xdr:cNvPr>
            <xdr:cNvSpPr/>
          </xdr:nvSpPr>
          <xdr:spPr>
            <a:xfrm>
              <a:off x="2592917" y="5981699"/>
              <a:ext cx="3853391" cy="1130299"/>
            </a:xfrm>
            <a:prstGeom prst="roundRect">
              <a:avLst/>
            </a:prstGeom>
            <a:gradFill flip="none" rotWithShape="1">
              <a:gsLst>
                <a:gs pos="0">
                  <a:schemeClr val="bg1">
                    <a:lumMod val="21000"/>
                  </a:schemeClr>
                </a:gs>
                <a:gs pos="50000">
                  <a:schemeClr val="bg1">
                    <a:lumMod val="75000"/>
                  </a:schemeClr>
                </a:gs>
                <a:gs pos="100000">
                  <a:schemeClr val="bg1">
                    <a:lumMod val="85000"/>
                  </a:schemeClr>
                </a:gs>
              </a:gsLst>
              <a:lin ang="13500000" scaled="1"/>
              <a:tileRect/>
            </a:gradFill>
            <a:ln w="76200">
              <a:solidFill>
                <a:schemeClr val="accent3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grpSp>
          <xdr:nvGrpSpPr>
            <xdr:cNvPr id="36" name="Group 35">
              <a:extLst>
                <a:ext uri="{FF2B5EF4-FFF2-40B4-BE49-F238E27FC236}">
                  <a16:creationId xmlns:a16="http://schemas.microsoft.com/office/drawing/2014/main" id="{00000000-0008-0000-0000-000024000000}"/>
                </a:ext>
              </a:extLst>
            </xdr:cNvPr>
            <xdr:cNvGrpSpPr/>
          </xdr:nvGrpSpPr>
          <xdr:grpSpPr>
            <a:xfrm>
              <a:off x="2815167" y="6254749"/>
              <a:ext cx="3424237" cy="575133"/>
              <a:chOff x="2841096" y="6748532"/>
              <a:chExt cx="3424237" cy="575133"/>
            </a:xfrm>
          </xdr:grpSpPr>
          <xdr:sp macro="" textlink="">
            <xdr:nvSpPr>
              <xdr:cNvPr id="92" name="Rectangle: Rounded Corners 91">
                <a:extLst>
                  <a:ext uri="{FF2B5EF4-FFF2-40B4-BE49-F238E27FC236}">
                    <a16:creationId xmlns:a16="http://schemas.microsoft.com/office/drawing/2014/main" id="{00000000-0008-0000-0000-00005C000000}"/>
                  </a:ext>
                </a:extLst>
              </xdr:cNvPr>
              <xdr:cNvSpPr/>
            </xdr:nvSpPr>
            <xdr:spPr>
              <a:xfrm>
                <a:off x="2850091" y="6773333"/>
                <a:ext cx="3415242" cy="539751"/>
              </a:xfrm>
              <a:prstGeom prst="roundRect">
                <a:avLst/>
              </a:prstGeom>
              <a:gradFill>
                <a:gsLst>
                  <a:gs pos="0">
                    <a:schemeClr val="accent2">
                      <a:lumMod val="75000"/>
                    </a:schemeClr>
                  </a:gs>
                  <a:gs pos="50000">
                    <a:schemeClr val="accent2">
                      <a:lumMod val="60000"/>
                      <a:lumOff val="40000"/>
                    </a:schemeClr>
                  </a:gs>
                  <a:gs pos="100000">
                    <a:schemeClr val="accent2">
                      <a:lumMod val="40000"/>
                      <a:lumOff val="60000"/>
                    </a:schemeClr>
                  </a:gs>
                </a:gsLst>
                <a:lin ang="16200000" scaled="1"/>
              </a:gradFill>
              <a:ln w="88900">
                <a:solidFill>
                  <a:schemeClr val="accent3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en-US" sz="1100"/>
              </a:p>
            </xdr:txBody>
          </xdr:sp>
          <xdr:sp macro="" textlink="'oil and gas price minmax data'!A5:B5">
            <xdr:nvSpPr>
              <xdr:cNvPr id="34" name="TextBox 33">
                <a:extLst>
                  <a:ext uri="{FF2B5EF4-FFF2-40B4-BE49-F238E27FC236}">
                    <a16:creationId xmlns:a16="http://schemas.microsoft.com/office/drawing/2014/main" id="{00000000-0008-0000-0000-000022000000}"/>
                  </a:ext>
                </a:extLst>
              </xdr:cNvPr>
              <xdr:cNvSpPr txBox="1"/>
            </xdr:nvSpPr>
            <xdr:spPr>
              <a:xfrm>
                <a:off x="2841096" y="6748532"/>
                <a:ext cx="3417459" cy="575133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fld id="{E28A8DB0-9524-494C-8FE5-43B14D90783D}" type="TxLink">
                  <a:rPr lang="en-US" sz="1600" b="1" i="0" u="sng" strike="noStrike">
                    <a:solidFill>
                      <a:sysClr val="windowText" lastClr="000000"/>
                    </a:solidFill>
                    <a:latin typeface="Calibri"/>
                    <a:cs typeface="Calibri"/>
                  </a:rPr>
                  <a:pPr algn="ctr"/>
                  <a:t>Very Highly Correlated: 97%.</a:t>
                </a:fld>
                <a:endParaRPr lang="en-US" sz="1100">
                  <a:solidFill>
                    <a:sysClr val="windowText" lastClr="000000"/>
                  </a:solidFill>
                </a:endParaRPr>
              </a:p>
            </xdr:txBody>
          </xdr:sp>
        </xdr:grpSp>
      </xdr:grpSp>
    </xdr:grpSp>
    <xdr:clientData/>
  </xdr:twoCellAnchor>
  <xdr:twoCellAnchor>
    <xdr:from>
      <xdr:col>7</xdr:col>
      <xdr:colOff>1149042</xdr:colOff>
      <xdr:row>36</xdr:row>
      <xdr:rowOff>133845</xdr:rowOff>
    </xdr:from>
    <xdr:to>
      <xdr:col>15</xdr:col>
      <xdr:colOff>592229</xdr:colOff>
      <xdr:row>40</xdr:row>
      <xdr:rowOff>133169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pSpPr/>
      </xdr:nvGrpSpPr>
      <xdr:grpSpPr>
        <a:xfrm>
          <a:off x="5821895" y="8067610"/>
          <a:ext cx="6413246" cy="806147"/>
          <a:chOff x="17207068" y="1388905"/>
          <a:chExt cx="6413246" cy="806147"/>
        </a:xfrm>
      </xdr:grpSpPr>
      <xdr:grpSp>
        <xdr:nvGrpSpPr>
          <xdr:cNvPr id="33" name="Group 32">
            <a:extLst>
              <a:ext uri="{FF2B5EF4-FFF2-40B4-BE49-F238E27FC236}">
                <a16:creationId xmlns:a16="http://schemas.microsoft.com/office/drawing/2014/main" id="{00000000-0008-0000-0000-000021000000}"/>
              </a:ext>
            </a:extLst>
          </xdr:cNvPr>
          <xdr:cNvGrpSpPr/>
        </xdr:nvGrpSpPr>
        <xdr:grpSpPr>
          <a:xfrm>
            <a:off x="17229173" y="1388905"/>
            <a:ext cx="6391141" cy="799330"/>
            <a:chOff x="5617868" y="560917"/>
            <a:chExt cx="6988249" cy="792691"/>
          </a:xfrm>
        </xdr:grpSpPr>
        <xdr:grpSp>
          <xdr:nvGrpSpPr>
            <xdr:cNvPr id="16" name="Group 15">
              <a:extLst>
                <a:ext uri="{FF2B5EF4-FFF2-40B4-BE49-F238E27FC236}">
                  <a16:creationId xmlns:a16="http://schemas.microsoft.com/office/drawing/2014/main" id="{00000000-0008-0000-0000-000010000000}"/>
                </a:ext>
              </a:extLst>
            </xdr:cNvPr>
            <xdr:cNvGrpSpPr/>
          </xdr:nvGrpSpPr>
          <xdr:grpSpPr>
            <a:xfrm>
              <a:off x="5617868" y="560917"/>
              <a:ext cx="6988249" cy="791060"/>
              <a:chOff x="10552740" y="664518"/>
              <a:chExt cx="5054893" cy="795393"/>
            </a:xfrm>
          </xdr:grpSpPr>
          <xdr:sp macro="" textlink="">
            <xdr:nvSpPr>
              <xdr:cNvPr id="72" name="TextBox 71">
                <a:extLst>
                  <a:ext uri="{FF2B5EF4-FFF2-40B4-BE49-F238E27FC236}">
                    <a16:creationId xmlns:a16="http://schemas.microsoft.com/office/drawing/2014/main" id="{00000000-0008-0000-0000-000048000000}"/>
                  </a:ext>
                </a:extLst>
              </xdr:cNvPr>
              <xdr:cNvSpPr txBox="1"/>
            </xdr:nvSpPr>
            <xdr:spPr>
              <a:xfrm>
                <a:off x="10552740" y="946208"/>
                <a:ext cx="4005839" cy="513703"/>
              </a:xfrm>
              <a:prstGeom prst="rect">
                <a:avLst/>
              </a:prstGeom>
              <a:solidFill>
                <a:schemeClr val="tx1"/>
              </a:solidFill>
              <a:ln w="349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t"/>
              <a:lstStyle/>
              <a:p>
                <a:r>
                  <a:rPr lang="en-US" sz="1100" b="1" i="0" u="none" strike="noStrike">
                    <a:solidFill>
                      <a:srgbClr val="FF9900"/>
                    </a:solidFill>
                    <a:effectLst/>
                    <a:latin typeface="Arial Black" panose="020B0A04020102020204" pitchFamily="34" charset="0"/>
                    <a:ea typeface="+mn-ea"/>
                    <a:cs typeface="+mn-cs"/>
                  </a:rPr>
                  <a:t>Crude oil Price:</a:t>
                </a:r>
                <a:r>
                  <a:rPr lang="en-US" sz="1100" b="1" u="none">
                    <a:solidFill>
                      <a:srgbClr val="FF9900"/>
                    </a:solidFill>
                    <a:latin typeface="Arial Black" panose="020B0A04020102020204" pitchFamily="34" charset="0"/>
                  </a:rPr>
                  <a:t> </a:t>
                </a:r>
              </a:p>
            </xdr:txBody>
          </xdr:sp>
          <xdr:sp macro="" textlink="">
            <xdr:nvSpPr>
              <xdr:cNvPr id="14" name="TextBox 13">
                <a:extLst>
                  <a:ext uri="{FF2B5EF4-FFF2-40B4-BE49-F238E27FC236}">
                    <a16:creationId xmlns:a16="http://schemas.microsoft.com/office/drawing/2014/main" id="{00000000-0008-0000-0000-00000E000000}"/>
                  </a:ext>
                </a:extLst>
              </xdr:cNvPr>
              <xdr:cNvSpPr txBox="1"/>
            </xdr:nvSpPr>
            <xdr:spPr>
              <a:xfrm>
                <a:off x="12026233" y="664518"/>
                <a:ext cx="3581400" cy="311496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square" rtlCol="0" anchor="t">
                <a:spAutoFit/>
              </a:bodyPr>
              <a:lstStyle/>
              <a:p>
                <a:r>
                  <a:rPr lang="en-US" sz="1400" b="0" i="0" u="none" strike="noStrike">
                    <a:solidFill>
                      <a:schemeClr val="bg1"/>
                    </a:solidFill>
                    <a:effectLst/>
                    <a:latin typeface="+mn-lt"/>
                    <a:ea typeface="+mn-ea"/>
                    <a:cs typeface="+mn-cs"/>
                  </a:rPr>
                  <a:t>Min:</a:t>
                </a:r>
                <a:r>
                  <a:rPr lang="en-US" sz="1400" b="0" u="none">
                    <a:solidFill>
                      <a:schemeClr val="bg1"/>
                    </a:solidFill>
                  </a:rPr>
                  <a:t> 	Date:	Max:	Date:</a:t>
                </a:r>
              </a:p>
            </xdr:txBody>
          </xdr:sp>
        </xdr:grpSp>
        <xdr:grpSp>
          <xdr:nvGrpSpPr>
            <xdr:cNvPr id="31" name="Group 30">
              <a:extLst>
                <a:ext uri="{FF2B5EF4-FFF2-40B4-BE49-F238E27FC236}">
                  <a16:creationId xmlns:a16="http://schemas.microsoft.com/office/drawing/2014/main" id="{00000000-0008-0000-0000-00001F000000}"/>
                </a:ext>
              </a:extLst>
            </xdr:cNvPr>
            <xdr:cNvGrpSpPr/>
          </xdr:nvGrpSpPr>
          <xdr:grpSpPr>
            <a:xfrm>
              <a:off x="7722546" y="822549"/>
              <a:ext cx="3446468" cy="531059"/>
              <a:chOff x="7700321" y="818311"/>
              <a:chExt cx="3437696" cy="534239"/>
            </a:xfrm>
          </xdr:grpSpPr>
          <xdr:grpSp>
            <xdr:nvGrpSpPr>
              <xdr:cNvPr id="26" name="Group 25">
                <a:extLst>
                  <a:ext uri="{FF2B5EF4-FFF2-40B4-BE49-F238E27FC236}">
                    <a16:creationId xmlns:a16="http://schemas.microsoft.com/office/drawing/2014/main" id="{00000000-0008-0000-0000-00001A000000}"/>
                  </a:ext>
                </a:extLst>
              </xdr:cNvPr>
              <xdr:cNvGrpSpPr/>
            </xdr:nvGrpSpPr>
            <xdr:grpSpPr>
              <a:xfrm>
                <a:off x="7700321" y="818311"/>
                <a:ext cx="2549121" cy="534239"/>
                <a:chOff x="7700321" y="818311"/>
                <a:chExt cx="2549121" cy="534239"/>
              </a:xfrm>
            </xdr:grpSpPr>
            <xdr:grpSp>
              <xdr:nvGrpSpPr>
                <xdr:cNvPr id="19" name="Group 18">
                  <a:extLst>
                    <a:ext uri="{FF2B5EF4-FFF2-40B4-BE49-F238E27FC236}">
                      <a16:creationId xmlns:a16="http://schemas.microsoft.com/office/drawing/2014/main" id="{00000000-0008-0000-0000-000013000000}"/>
                    </a:ext>
                  </a:extLst>
                </xdr:cNvPr>
                <xdr:cNvGrpSpPr/>
              </xdr:nvGrpSpPr>
              <xdr:grpSpPr>
                <a:xfrm>
                  <a:off x="7700321" y="857251"/>
                  <a:ext cx="822960" cy="495299"/>
                  <a:chOff x="7700321" y="857251"/>
                  <a:chExt cx="822960" cy="495299"/>
                </a:xfrm>
              </xdr:grpSpPr>
              <xdr:sp macro="" textlink="'oil and gas price minmax data'!$B$3">
                <xdr:nvSpPr>
                  <xdr:cNvPr id="15" name="TextBox 14">
                    <a:extLst>
                      <a:ext uri="{FF2B5EF4-FFF2-40B4-BE49-F238E27FC236}">
                        <a16:creationId xmlns:a16="http://schemas.microsoft.com/office/drawing/2014/main" id="{00000000-0008-0000-0000-00000F000000}"/>
                      </a:ext>
                    </a:extLst>
                  </xdr:cNvPr>
                  <xdr:cNvSpPr txBox="1"/>
                </xdr:nvSpPr>
                <xdr:spPr>
                  <a:xfrm>
                    <a:off x="7700321" y="1085849"/>
                    <a:ext cx="822960" cy="266701"/>
                  </a:xfrm>
                  <a:prstGeom prst="rect">
                    <a:avLst/>
                  </a:prstGeom>
                  <a:noFill/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tx1"/>
                  </a:fontRef>
                </xdr:style>
                <xdr:txBody>
                  <a:bodyPr vertOverflow="clip" horzOverflow="clip" wrap="square" rtlCol="0" anchor="ctr">
                    <a:noAutofit/>
                  </a:bodyPr>
                  <a:lstStyle/>
                  <a:p>
                    <a:pPr algn="ctr"/>
                    <a:fld id="{B31FA08A-670E-4C5C-8EED-F7BF6BB38B14}" type="TxLink">
                      <a:rPr lang="en-US" sz="1200" b="1" i="0" u="sng" strike="noStrike">
                        <a:solidFill>
                          <a:srgbClr val="FFB41D"/>
                        </a:solidFill>
                        <a:latin typeface="Arial"/>
                        <a:cs typeface="Arial"/>
                      </a:rPr>
                      <a:pPr algn="ctr"/>
                      <a:t>$0.49</a:t>
                    </a:fld>
                    <a:endParaRPr lang="en-US" sz="1100">
                      <a:solidFill>
                        <a:schemeClr val="bg1"/>
                      </a:solidFill>
                    </a:endParaRPr>
                  </a:p>
                </xdr:txBody>
              </xdr:sp>
              <xdr:sp macro="" textlink="'oil and gas price minmax data'!$B$2">
                <xdr:nvSpPr>
                  <xdr:cNvPr id="18" name="TextBox 17">
                    <a:extLst>
                      <a:ext uri="{FF2B5EF4-FFF2-40B4-BE49-F238E27FC236}">
                        <a16:creationId xmlns:a16="http://schemas.microsoft.com/office/drawing/2014/main" id="{00000000-0008-0000-0000-000012000000}"/>
                      </a:ext>
                    </a:extLst>
                  </xdr:cNvPr>
                  <xdr:cNvSpPr txBox="1"/>
                </xdr:nvSpPr>
                <xdr:spPr>
                  <a:xfrm>
                    <a:off x="7700321" y="857251"/>
                    <a:ext cx="822960" cy="235715"/>
                  </a:xfrm>
                  <a:prstGeom prst="rect">
                    <a:avLst/>
                  </a:prstGeom>
                  <a:noFill/>
                  <a:ln w="9525" cmpd="sng">
                    <a:noFill/>
                  </a:ln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dk1"/>
                  </a:fontRef>
                </xdr:style>
                <xdr:txBody>
                  <a:bodyPr vertOverflow="clip" horzOverflow="clip" wrap="square" rtlCol="0" anchor="ctr"/>
                  <a:lstStyle/>
                  <a:p>
                    <a:pPr algn="ctr"/>
                    <a:fld id="{D13B9E53-75DF-4E07-AF92-0FA599B16D2E}" type="TxLink">
                      <a:rPr lang="en-US" sz="1200" b="1" i="0" u="sng" strike="noStrike">
                        <a:solidFill>
                          <a:srgbClr val="FFB41D"/>
                        </a:solidFill>
                        <a:latin typeface="Arial"/>
                        <a:cs typeface="Arial"/>
                      </a:rPr>
                      <a:pPr algn="ctr"/>
                      <a:t>$12.22</a:t>
                    </a:fld>
                    <a:endParaRPr lang="en-US" sz="1100"/>
                  </a:p>
                </xdr:txBody>
              </xdr:sp>
            </xdr:grpSp>
            <xdr:grpSp>
              <xdr:nvGrpSpPr>
                <xdr:cNvPr id="25" name="Group 24">
                  <a:extLst>
                    <a:ext uri="{FF2B5EF4-FFF2-40B4-BE49-F238E27FC236}">
                      <a16:creationId xmlns:a16="http://schemas.microsoft.com/office/drawing/2014/main" id="{00000000-0008-0000-0000-000019000000}"/>
                    </a:ext>
                  </a:extLst>
                </xdr:cNvPr>
                <xdr:cNvGrpSpPr/>
              </xdr:nvGrpSpPr>
              <xdr:grpSpPr>
                <a:xfrm>
                  <a:off x="9537801" y="827836"/>
                  <a:ext cx="711641" cy="520008"/>
                  <a:chOff x="9537801" y="827836"/>
                  <a:chExt cx="711641" cy="520008"/>
                </a:xfrm>
              </xdr:grpSpPr>
              <xdr:sp macro="" textlink="'oil and gas price minmax data'!$D$2">
                <xdr:nvSpPr>
                  <xdr:cNvPr id="20" name="TextBox 19">
                    <a:extLst>
                      <a:ext uri="{FF2B5EF4-FFF2-40B4-BE49-F238E27FC236}">
                        <a16:creationId xmlns:a16="http://schemas.microsoft.com/office/drawing/2014/main" id="{00000000-0008-0000-0000-000014000000}"/>
                      </a:ext>
                    </a:extLst>
                  </xdr:cNvPr>
                  <xdr:cNvSpPr txBox="1"/>
                </xdr:nvSpPr>
                <xdr:spPr>
                  <a:xfrm>
                    <a:off x="9537801" y="827836"/>
                    <a:ext cx="711641" cy="281883"/>
                  </a:xfrm>
                  <a:prstGeom prst="rect">
                    <a:avLst/>
                  </a:prstGeom>
                  <a:noFill/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tx1"/>
                  </a:fontRef>
                </xdr:style>
                <xdr:txBody>
                  <a:bodyPr vertOverflow="clip" horzOverflow="clip" wrap="none" rtlCol="0" anchor="ctr">
                    <a:spAutoFit/>
                  </a:bodyPr>
                  <a:lstStyle/>
                  <a:p>
                    <a:pPr algn="ctr"/>
                    <a:fld id="{3D114C6C-0DD3-411F-9690-32122C60DF3D}" type="TxLink">
                      <a:rPr lang="en-US" sz="1200" b="1" i="0" u="sng" strike="noStrike">
                        <a:solidFill>
                          <a:srgbClr val="FFB41D"/>
                        </a:solidFill>
                        <a:latin typeface="Arial"/>
                        <a:cs typeface="Arial"/>
                      </a:rPr>
                      <a:pPr algn="ctr"/>
                      <a:t>$119.78</a:t>
                    </a:fld>
                    <a:endParaRPr lang="en-US" sz="1100"/>
                  </a:p>
                </xdr:txBody>
              </xdr:sp>
              <xdr:sp macro="" textlink="'oil and gas price minmax data'!$D$3">
                <xdr:nvSpPr>
                  <xdr:cNvPr id="21" name="TextBox 20">
                    <a:extLst>
                      <a:ext uri="{FF2B5EF4-FFF2-40B4-BE49-F238E27FC236}">
                        <a16:creationId xmlns:a16="http://schemas.microsoft.com/office/drawing/2014/main" id="{00000000-0008-0000-0000-000015000000}"/>
                      </a:ext>
                    </a:extLst>
                  </xdr:cNvPr>
                  <xdr:cNvSpPr txBox="1"/>
                </xdr:nvSpPr>
                <xdr:spPr>
                  <a:xfrm>
                    <a:off x="9584271" y="1065961"/>
                    <a:ext cx="618700" cy="281883"/>
                  </a:xfrm>
                  <a:prstGeom prst="rect">
                    <a:avLst/>
                  </a:prstGeom>
                  <a:noFill/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tx1"/>
                  </a:fontRef>
                </xdr:style>
                <xdr:txBody>
                  <a:bodyPr vertOverflow="clip" horzOverflow="clip" wrap="none" rtlCol="0" anchor="ctr">
                    <a:spAutoFit/>
                  </a:bodyPr>
                  <a:lstStyle/>
                  <a:p>
                    <a:pPr algn="ctr"/>
                    <a:fld id="{287C1A8C-D244-4579-BCE9-11F3D85762E1}" type="TxLink">
                      <a:rPr lang="en-US" sz="1200" b="1" i="0" u="sng" strike="noStrike">
                        <a:solidFill>
                          <a:srgbClr val="FFB41D"/>
                        </a:solidFill>
                        <a:latin typeface="Arial"/>
                        <a:cs typeface="Arial"/>
                      </a:rPr>
                      <a:pPr algn="ctr"/>
                      <a:t>$4.28</a:t>
                    </a:fld>
                    <a:endParaRPr lang="en-US" sz="1100"/>
                  </a:p>
                </xdr:txBody>
              </xdr:sp>
            </xdr:grpSp>
            <xdr:grpSp>
              <xdr:nvGrpSpPr>
                <xdr:cNvPr id="24" name="Group 23">
                  <a:extLst>
                    <a:ext uri="{FF2B5EF4-FFF2-40B4-BE49-F238E27FC236}">
                      <a16:creationId xmlns:a16="http://schemas.microsoft.com/office/drawing/2014/main" id="{00000000-0008-0000-0000-000018000000}"/>
                    </a:ext>
                  </a:extLst>
                </xdr:cNvPr>
                <xdr:cNvGrpSpPr/>
              </xdr:nvGrpSpPr>
              <xdr:grpSpPr>
                <a:xfrm>
                  <a:off x="8529146" y="818311"/>
                  <a:ext cx="943958" cy="510483"/>
                  <a:chOff x="8529146" y="818311"/>
                  <a:chExt cx="943958" cy="510483"/>
                </a:xfrm>
              </xdr:grpSpPr>
              <xdr:sp macro="" textlink="'oil and gas price minmax data'!C2">
                <xdr:nvSpPr>
                  <xdr:cNvPr id="22" name="TextBox 21">
                    <a:extLst>
                      <a:ext uri="{FF2B5EF4-FFF2-40B4-BE49-F238E27FC236}">
                        <a16:creationId xmlns:a16="http://schemas.microsoft.com/office/drawing/2014/main" id="{00000000-0008-0000-0000-000016000000}"/>
                      </a:ext>
                    </a:extLst>
                  </xdr:cNvPr>
                  <xdr:cNvSpPr txBox="1"/>
                </xdr:nvSpPr>
                <xdr:spPr>
                  <a:xfrm>
                    <a:off x="8529146" y="818311"/>
                    <a:ext cx="943958" cy="281883"/>
                  </a:xfrm>
                  <a:prstGeom prst="rect">
                    <a:avLst/>
                  </a:prstGeom>
                  <a:noFill/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tx1"/>
                  </a:fontRef>
                </xdr:style>
                <xdr:txBody>
                  <a:bodyPr vertOverflow="clip" horzOverflow="clip" wrap="none" rtlCol="0" anchor="ctr">
                    <a:spAutoFit/>
                  </a:bodyPr>
                  <a:lstStyle/>
                  <a:p>
                    <a:pPr algn="ctr"/>
                    <a:fld id="{D45AB2EF-3D32-4433-8652-0AB4F0B21379}" type="TxLink">
                      <a:rPr lang="en-US" sz="1200" b="1" i="0" u="sng" strike="noStrike">
                        <a:solidFill>
                          <a:srgbClr val="FFB41D"/>
                        </a:solidFill>
                        <a:latin typeface="Arial"/>
                        <a:cs typeface="Arial"/>
                      </a:rPr>
                      <a:pPr algn="ctr"/>
                      <a:t>4/22/2020</a:t>
                    </a:fld>
                    <a:endParaRPr lang="en-US" sz="1100"/>
                  </a:p>
                </xdr:txBody>
              </xdr:sp>
              <xdr:sp macro="" textlink="'oil and gas price minmax data'!C3">
                <xdr:nvSpPr>
                  <xdr:cNvPr id="23" name="TextBox 22">
                    <a:extLst>
                      <a:ext uri="{FF2B5EF4-FFF2-40B4-BE49-F238E27FC236}">
                        <a16:creationId xmlns:a16="http://schemas.microsoft.com/office/drawing/2014/main" id="{00000000-0008-0000-0000-000017000000}"/>
                      </a:ext>
                    </a:extLst>
                  </xdr:cNvPr>
                  <xdr:cNvSpPr txBox="1"/>
                </xdr:nvSpPr>
                <xdr:spPr>
                  <a:xfrm>
                    <a:off x="8575617" y="1046911"/>
                    <a:ext cx="851018" cy="281883"/>
                  </a:xfrm>
                  <a:prstGeom prst="rect">
                    <a:avLst/>
                  </a:prstGeom>
                  <a:noFill/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tx1"/>
                  </a:fontRef>
                </xdr:style>
                <xdr:txBody>
                  <a:bodyPr vertOverflow="clip" horzOverflow="clip" wrap="none" rtlCol="0" anchor="ctr">
                    <a:spAutoFit/>
                  </a:bodyPr>
                  <a:lstStyle/>
                  <a:p>
                    <a:pPr algn="ctr"/>
                    <a:fld id="{A0B0141C-E783-4373-B1C2-16E484F0041E}" type="TxLink">
                      <a:rPr lang="en-US" sz="1200" b="1" i="0" u="sng" strike="noStrike">
                        <a:solidFill>
                          <a:srgbClr val="FFB41D"/>
                        </a:solidFill>
                        <a:latin typeface="Arial"/>
                        <a:cs typeface="Arial"/>
                      </a:rPr>
                      <a:pPr algn="ctr"/>
                      <a:t>4/9/2020</a:t>
                    </a:fld>
                    <a:endParaRPr lang="en-US" sz="1100"/>
                  </a:p>
                </xdr:txBody>
              </xdr:sp>
            </xdr:grpSp>
          </xdr:grpSp>
          <xdr:grpSp>
            <xdr:nvGrpSpPr>
              <xdr:cNvPr id="29" name="Group 28">
                <a:extLst>
                  <a:ext uri="{FF2B5EF4-FFF2-40B4-BE49-F238E27FC236}">
                    <a16:creationId xmlns:a16="http://schemas.microsoft.com/office/drawing/2014/main" id="{00000000-0008-0000-0000-00001D000000}"/>
                  </a:ext>
                </a:extLst>
              </xdr:cNvPr>
              <xdr:cNvGrpSpPr/>
            </xdr:nvGrpSpPr>
            <xdr:grpSpPr>
              <a:xfrm>
                <a:off x="10287000" y="838200"/>
                <a:ext cx="851017" cy="481908"/>
                <a:chOff x="10287000" y="838200"/>
                <a:chExt cx="851017" cy="481908"/>
              </a:xfrm>
            </xdr:grpSpPr>
            <xdr:sp macro="" textlink="'oil and gas price minmax data'!E2">
              <xdr:nvSpPr>
                <xdr:cNvPr id="27" name="TextBox 26">
                  <a:extLst>
                    <a:ext uri="{FF2B5EF4-FFF2-40B4-BE49-F238E27FC236}">
                      <a16:creationId xmlns:a16="http://schemas.microsoft.com/office/drawing/2014/main" id="{00000000-0008-0000-0000-00001B000000}"/>
                    </a:ext>
                  </a:extLst>
                </xdr:cNvPr>
                <xdr:cNvSpPr txBox="1"/>
              </xdr:nvSpPr>
              <xdr:spPr>
                <a:xfrm>
                  <a:off x="10287000" y="838200"/>
                  <a:ext cx="851017" cy="281883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t">
                  <a:spAutoFit/>
                </a:bodyPr>
                <a:lstStyle/>
                <a:p>
                  <a:fld id="{8693DDF8-5573-4842-BE45-804CF727BF7A}" type="TxLink">
                    <a:rPr lang="en-US" sz="1200" b="1" i="0" u="sng" strike="noStrike">
                      <a:solidFill>
                        <a:srgbClr val="FFB41D"/>
                      </a:solidFill>
                      <a:latin typeface="Arial"/>
                      <a:cs typeface="Arial"/>
                    </a:rPr>
                    <a:pPr/>
                    <a:t>3/9/2022</a:t>
                  </a:fld>
                  <a:endParaRPr lang="en-US" sz="1100"/>
                </a:p>
              </xdr:txBody>
            </xdr:sp>
            <xdr:sp macro="" textlink="'oil and gas price minmax data'!E3">
              <xdr:nvSpPr>
                <xdr:cNvPr id="28" name="TextBox 27">
                  <a:extLst>
                    <a:ext uri="{FF2B5EF4-FFF2-40B4-BE49-F238E27FC236}">
                      <a16:creationId xmlns:a16="http://schemas.microsoft.com/office/drawing/2014/main" id="{00000000-0008-0000-0000-00001C000000}"/>
                    </a:ext>
                  </a:extLst>
                </xdr:cNvPr>
                <xdr:cNvSpPr txBox="1"/>
              </xdr:nvSpPr>
              <xdr:spPr>
                <a:xfrm>
                  <a:off x="10287000" y="1038225"/>
                  <a:ext cx="851017" cy="281883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t">
                  <a:spAutoFit/>
                </a:bodyPr>
                <a:lstStyle/>
                <a:p>
                  <a:fld id="{101D65B9-D5FE-4F5C-BC43-0CDF54888230}" type="TxLink">
                    <a:rPr lang="en-US" sz="1200" b="1" i="0" u="sng" strike="noStrike">
                      <a:solidFill>
                        <a:srgbClr val="FFB41D"/>
                      </a:solidFill>
                      <a:latin typeface="Arial"/>
                      <a:cs typeface="Arial"/>
                    </a:rPr>
                    <a:pPr/>
                    <a:t>6/9/2022</a:t>
                  </a:fld>
                  <a:endParaRPr lang="en-US" sz="1100"/>
                </a:p>
              </xdr:txBody>
            </xdr:sp>
          </xdr:grpSp>
        </xdr:grpSp>
      </xdr:grpSp>
      <xdr:sp macro="" textlink="">
        <xdr:nvSpPr>
          <xdr:cNvPr id="17" name="TextBox 16">
            <a:extLst>
              <a:ext uri="{FF2B5EF4-FFF2-40B4-BE49-F238E27FC236}">
                <a16:creationId xmlns:a16="http://schemas.microsoft.com/office/drawing/2014/main" id="{00000000-0008-0000-0000-000011000000}"/>
              </a:ext>
            </a:extLst>
          </xdr:cNvPr>
          <xdr:cNvSpPr txBox="1"/>
        </xdr:nvSpPr>
        <xdr:spPr>
          <a:xfrm>
            <a:off x="17207068" y="1900704"/>
            <a:ext cx="1837925" cy="294348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US" sz="1100">
                <a:solidFill>
                  <a:srgbClr val="FF9900"/>
                </a:solidFill>
                <a:latin typeface="Arial Black" panose="020B0A04020102020204" pitchFamily="34" charset="0"/>
              </a:rPr>
              <a:t>RBOB</a:t>
            </a:r>
            <a:r>
              <a:rPr lang="en-US" sz="1100" baseline="0">
                <a:solidFill>
                  <a:srgbClr val="FF9900"/>
                </a:solidFill>
                <a:latin typeface="Arial Black" panose="020B0A04020102020204" pitchFamily="34" charset="0"/>
              </a:rPr>
              <a:t> Gasoline Price:</a:t>
            </a:r>
            <a:endParaRPr lang="en-US" sz="1100">
              <a:solidFill>
                <a:srgbClr val="FF9900"/>
              </a:solidFill>
              <a:latin typeface="Arial Black" panose="020B0A04020102020204" pitchFamily="34" charset="0"/>
            </a:endParaRPr>
          </a:p>
        </xdr:txBody>
      </xdr:sp>
    </xdr:grpSp>
    <xdr:clientData/>
  </xdr:twoCellAnchor>
  <xdr:twoCellAnchor>
    <xdr:from>
      <xdr:col>0</xdr:col>
      <xdr:colOff>240302</xdr:colOff>
      <xdr:row>0</xdr:row>
      <xdr:rowOff>110812</xdr:rowOff>
    </xdr:from>
    <xdr:to>
      <xdr:col>7</xdr:col>
      <xdr:colOff>972420</xdr:colOff>
      <xdr:row>8</xdr:row>
      <xdr:rowOff>82174</xdr:rowOff>
    </xdr:to>
    <xdr:grpSp>
      <xdr:nvGrpSpPr>
        <xdr:cNvPr id="38" name="Group 37">
          <a:extLst>
            <a:ext uri="{FF2B5EF4-FFF2-40B4-BE49-F238E27FC236}">
              <a16:creationId xmlns:a16="http://schemas.microsoft.com/office/drawing/2014/main" id="{00000000-0008-0000-0000-000026000000}"/>
            </a:ext>
          </a:extLst>
        </xdr:cNvPr>
        <xdr:cNvGrpSpPr/>
      </xdr:nvGrpSpPr>
      <xdr:grpSpPr>
        <a:xfrm>
          <a:off x="240302" y="110812"/>
          <a:ext cx="5404971" cy="1719480"/>
          <a:chOff x="7692215" y="4189753"/>
          <a:chExt cx="5404971" cy="1719480"/>
        </a:xfrm>
      </xdr:grpSpPr>
      <xdr:grpSp>
        <xdr:nvGrpSpPr>
          <xdr:cNvPr id="3" name="Group 2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GrpSpPr/>
        </xdr:nvGrpSpPr>
        <xdr:grpSpPr>
          <a:xfrm>
            <a:off x="7692215" y="4189753"/>
            <a:ext cx="5404971" cy="1719480"/>
            <a:chOff x="6191462" y="6403013"/>
            <a:chExt cx="5721775" cy="1452411"/>
          </a:xfrm>
        </xdr:grpSpPr>
        <mc:AlternateContent xmlns:mc="http://schemas.openxmlformats.org/markup-compatibility/2006" xmlns:tsle="http://schemas.microsoft.com/office/drawing/2012/timeslicer">
          <mc:Choice Requires="tsle">
            <xdr:graphicFrame macro="">
              <xdr:nvGraphicFramePr>
                <xdr:cNvPr id="75" name="Date 2">
                  <a:extLst>
                    <a:ext uri="{FF2B5EF4-FFF2-40B4-BE49-F238E27FC236}">
                      <a16:creationId xmlns:a16="http://schemas.microsoft.com/office/drawing/2014/main" id="{00000000-0008-0000-0000-00004B000000}"/>
                    </a:ext>
                  </a:extLst>
                </xdr:cNvPr>
                <xdr:cNvGraphicFramePr/>
              </xdr:nvGraphicFramePr>
              <xdr:xfrm>
                <a:off x="6191462" y="6403013"/>
                <a:ext cx="5721775" cy="1452411"/>
              </xdr:xfrm>
              <a:graphic>
                <a:graphicData uri="http://schemas.microsoft.com/office/drawing/2012/timeslicer">
                  <tsle:timeslicer name="Date 2"/>
                </a:graphicData>
              </a:graphic>
            </xdr:graphicFrame>
          </mc:Choice>
          <mc:Fallback xmlns="">
            <xdr:sp macro="" textlink="">
              <xdr:nvSpPr>
                <xdr:cNvPr id="0" name=""/>
                <xdr:cNvSpPr>
                  <a:spLocks noTextEdit="1"/>
                </xdr:cNvSpPr>
              </xdr:nvSpPr>
              <xdr:spPr>
                <a:xfrm>
                  <a:off x="240302" y="110812"/>
                  <a:ext cx="5404971" cy="1719480"/>
                </a:xfrm>
                <a:prstGeom prst="rect">
                  <a:avLst/>
                </a:prstGeom>
                <a:solidFill>
                  <a:prstClr val="white"/>
                </a:solidFill>
                <a:ln w="1">
                  <a:solidFill>
                    <a:prstClr val="green"/>
                  </a:solidFill>
                </a:ln>
              </xdr:spPr>
              <xdr:txBody>
                <a:bodyPr vertOverflow="clip" horzOverflow="clip"/>
                <a:lstStyle/>
                <a:p>
                  <a:r>
                    <a:rPr lang="en-US" sz="1100"/>
                    <a:t>Timeline: Works in Excel 2013 or higher. Do not move or resize.</a:t>
                  </a:r>
                </a:p>
              </xdr:txBody>
            </xdr:sp>
          </mc:Fallback>
        </mc:AlternateContent>
        <xdr:sp macro="" textlink="">
          <xdr:nvSpPr>
            <xdr:cNvPr id="77" name="TextBox 76">
              <a:extLst>
                <a:ext uri="{FF2B5EF4-FFF2-40B4-BE49-F238E27FC236}">
                  <a16:creationId xmlns:a16="http://schemas.microsoft.com/office/drawing/2014/main" id="{00000000-0008-0000-0000-00004D000000}"/>
                </a:ext>
              </a:extLst>
            </xdr:cNvPr>
            <xdr:cNvSpPr txBox="1"/>
          </xdr:nvSpPr>
          <xdr:spPr>
            <a:xfrm>
              <a:off x="6984071" y="6409923"/>
              <a:ext cx="3947199" cy="211847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US" sz="1100" b="1" i="0" baseline="0">
                  <a:latin typeface="Arial" panose="020B0604020202020204" pitchFamily="34" charset="0"/>
                </a:rPr>
                <a:t>Please Choose 2 or more days for a Correlation test:</a:t>
              </a:r>
            </a:p>
          </xdr:txBody>
        </xdr:sp>
      </xdr:grpSp>
      <xdr:sp macro="" textlink="">
        <xdr:nvSpPr>
          <xdr:cNvPr id="86" name="TextBox 85">
            <a:extLst>
              <a:ext uri="{FF2B5EF4-FFF2-40B4-BE49-F238E27FC236}">
                <a16:creationId xmlns:a16="http://schemas.microsoft.com/office/drawing/2014/main" id="{00000000-0008-0000-0000-000056000000}"/>
              </a:ext>
            </a:extLst>
          </xdr:cNvPr>
          <xdr:cNvSpPr txBox="1"/>
        </xdr:nvSpPr>
        <xdr:spPr>
          <a:xfrm>
            <a:off x="8035302" y="5562600"/>
            <a:ext cx="4763620" cy="30368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100">
                <a:solidFill>
                  <a:schemeClr val="accent2"/>
                </a:solidFill>
              </a:rPr>
              <a:t>*If there is</a:t>
            </a:r>
            <a:r>
              <a:rPr lang="en-US" sz="1100" baseline="0">
                <a:solidFill>
                  <a:schemeClr val="accent2"/>
                </a:solidFill>
              </a:rPr>
              <a:t> no data, There was no data available for that Day. i.e. market closed</a:t>
            </a:r>
            <a:endParaRPr lang="en-US" sz="1100">
              <a:solidFill>
                <a:schemeClr val="accent2"/>
              </a:solidFill>
            </a:endParaRPr>
          </a:p>
        </xdr:txBody>
      </xdr:sp>
    </xdr:grpSp>
    <xdr:clientData/>
  </xdr:twoCellAnchor>
  <xdr:twoCellAnchor>
    <xdr:from>
      <xdr:col>8</xdr:col>
      <xdr:colOff>414617</xdr:colOff>
      <xdr:row>0</xdr:row>
      <xdr:rowOff>44825</xdr:rowOff>
    </xdr:from>
    <xdr:to>
      <xdr:col>15</xdr:col>
      <xdr:colOff>694764</xdr:colOff>
      <xdr:row>14</xdr:row>
      <xdr:rowOff>268063</xdr:rowOff>
    </xdr:to>
    <xdr:graphicFrame macro="">
      <xdr:nvGraphicFramePr>
        <xdr:cNvPr id="91" name="Chart 90">
          <a:extLst>
            <a:ext uri="{FF2B5EF4-FFF2-40B4-BE49-F238E27FC236}">
              <a16:creationId xmlns:a16="http://schemas.microsoft.com/office/drawing/2014/main" id="{00000000-0008-0000-0000-00005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459440</xdr:colOff>
      <xdr:row>17</xdr:row>
      <xdr:rowOff>100853</xdr:rowOff>
    </xdr:from>
    <xdr:to>
      <xdr:col>19</xdr:col>
      <xdr:colOff>470649</xdr:colOff>
      <xdr:row>37</xdr:row>
      <xdr:rowOff>100852</xdr:rowOff>
    </xdr:to>
    <xdr:grpSp>
      <xdr:nvGrpSpPr>
        <xdr:cNvPr id="10" name="Group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pSpPr/>
      </xdr:nvGrpSpPr>
      <xdr:grpSpPr>
        <a:xfrm>
          <a:off x="3709146" y="4067735"/>
          <a:ext cx="11609297" cy="4168588"/>
          <a:chOff x="1580028" y="4000500"/>
          <a:chExt cx="11609297" cy="4168588"/>
        </a:xfrm>
      </xdr:grpSpPr>
      <xdr:graphicFrame macro="">
        <xdr:nvGraphicFramePr>
          <xdr:cNvPr id="9" name="Chart 8">
            <a:extLst>
              <a:ext uri="{FF2B5EF4-FFF2-40B4-BE49-F238E27FC236}">
                <a16:creationId xmlns:a16="http://schemas.microsoft.com/office/drawing/2014/main" id="{00000000-0008-0000-0000-000009000000}"/>
              </a:ext>
            </a:extLst>
          </xdr:cNvPr>
          <xdr:cNvGraphicFramePr>
            <a:graphicFrameLocks/>
          </xdr:cNvGraphicFramePr>
        </xdr:nvGraphicFramePr>
        <xdr:xfrm>
          <a:off x="7040127" y="4247030"/>
          <a:ext cx="6149198" cy="3922058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sp macro="" textlink="">
        <xdr:nvSpPr>
          <xdr:cNvPr id="73" name="TextBox 72">
            <a:extLst>
              <a:ext uri="{FF2B5EF4-FFF2-40B4-BE49-F238E27FC236}">
                <a16:creationId xmlns:a16="http://schemas.microsoft.com/office/drawing/2014/main" id="{00000000-0008-0000-0000-000049000000}"/>
              </a:ext>
            </a:extLst>
          </xdr:cNvPr>
          <xdr:cNvSpPr txBox="1"/>
        </xdr:nvSpPr>
        <xdr:spPr>
          <a:xfrm>
            <a:off x="6678707" y="4056530"/>
            <a:ext cx="6084515" cy="46772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US" sz="1400" b="1">
                <a:solidFill>
                  <a:srgbClr val="FF9900"/>
                </a:solidFill>
                <a:latin typeface="Arial" panose="020B0604020202020204" pitchFamily="34" charset="0"/>
              </a:rPr>
              <a:t>Crude</a:t>
            </a:r>
            <a:r>
              <a:rPr lang="en-US" sz="1400" b="1" baseline="0">
                <a:solidFill>
                  <a:srgbClr val="FF9900"/>
                </a:solidFill>
                <a:latin typeface="Arial" panose="020B0604020202020204" pitchFamily="34" charset="0"/>
              </a:rPr>
              <a:t> Oil and Gasoline Wholesale Prices </a:t>
            </a:r>
            <a:endParaRPr lang="en-US" sz="1400" b="1">
              <a:solidFill>
                <a:srgbClr val="FF9900"/>
              </a:solidFill>
              <a:latin typeface="Arial" panose="020B0604020202020204" pitchFamily="34" charset="0"/>
            </a:endParaRPr>
          </a:p>
        </xdr:txBody>
      </xdr:sp>
      <xdr:graphicFrame macro="">
        <xdr:nvGraphicFramePr>
          <xdr:cNvPr id="99" name="Chart 98">
            <a:extLst>
              <a:ext uri="{FF2B5EF4-FFF2-40B4-BE49-F238E27FC236}">
                <a16:creationId xmlns:a16="http://schemas.microsoft.com/office/drawing/2014/main" id="{00000000-0008-0000-0000-000063000000}"/>
              </a:ext>
            </a:extLst>
          </xdr:cNvPr>
          <xdr:cNvGraphicFramePr>
            <a:graphicFrameLocks/>
          </xdr:cNvGraphicFramePr>
        </xdr:nvGraphicFramePr>
        <xdr:xfrm>
          <a:off x="1580028" y="4000500"/>
          <a:ext cx="5804647" cy="402336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</xdr:grpSp>
    <xdr:clientData/>
  </xdr:twoCellAnchor>
  <xdr:twoCellAnchor>
    <xdr:from>
      <xdr:col>0</xdr:col>
      <xdr:colOff>201705</xdr:colOff>
      <xdr:row>8</xdr:row>
      <xdr:rowOff>179297</xdr:rowOff>
    </xdr:from>
    <xdr:to>
      <xdr:col>7</xdr:col>
      <xdr:colOff>986118</xdr:colOff>
      <xdr:row>17</xdr:row>
      <xdr:rowOff>100855</xdr:rowOff>
    </xdr:to>
    <xdr:grpSp>
      <xdr:nvGrpSpPr>
        <xdr:cNvPr id="37" name="Group 36">
          <a:extLst>
            <a:ext uri="{FF2B5EF4-FFF2-40B4-BE49-F238E27FC236}">
              <a16:creationId xmlns:a16="http://schemas.microsoft.com/office/drawing/2014/main" id="{00000000-0008-0000-0000-000025000000}"/>
            </a:ext>
          </a:extLst>
        </xdr:cNvPr>
        <xdr:cNvGrpSpPr/>
      </xdr:nvGrpSpPr>
      <xdr:grpSpPr>
        <a:xfrm>
          <a:off x="201705" y="1927415"/>
          <a:ext cx="5457266" cy="2140322"/>
          <a:chOff x="201705" y="1927415"/>
          <a:chExt cx="5457266" cy="2140322"/>
        </a:xfrm>
      </xdr:grpSpPr>
      <xdr:sp macro="" textlink="">
        <xdr:nvSpPr>
          <xdr:cNvPr id="70" name="Rectangle: Rounded Corners 69">
            <a:extLst>
              <a:ext uri="{FF2B5EF4-FFF2-40B4-BE49-F238E27FC236}">
                <a16:creationId xmlns:a16="http://schemas.microsoft.com/office/drawing/2014/main" id="{00000000-0008-0000-0000-000046000000}"/>
              </a:ext>
            </a:extLst>
          </xdr:cNvPr>
          <xdr:cNvSpPr/>
        </xdr:nvSpPr>
        <xdr:spPr>
          <a:xfrm>
            <a:off x="201705" y="1927415"/>
            <a:ext cx="5457266" cy="2140322"/>
          </a:xfrm>
          <a:prstGeom prst="roundRect">
            <a:avLst/>
          </a:prstGeom>
          <a:gradFill flip="none" rotWithShape="1">
            <a:gsLst>
              <a:gs pos="0">
                <a:schemeClr val="accent1">
                  <a:lumMod val="89000"/>
                  <a:alpha val="60000"/>
                </a:schemeClr>
              </a:gs>
              <a:gs pos="23000">
                <a:schemeClr val="accent1">
                  <a:lumMod val="89000"/>
                  <a:alpha val="56000"/>
                </a:schemeClr>
              </a:gs>
              <a:gs pos="69000">
                <a:schemeClr val="accent1">
                  <a:lumMod val="75000"/>
                  <a:alpha val="49000"/>
                </a:schemeClr>
              </a:gs>
              <a:gs pos="97000">
                <a:schemeClr val="accent1">
                  <a:lumMod val="7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60325">
            <a:solidFill>
              <a:schemeClr val="bg2"/>
            </a:solidFill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200">
              <a:solidFill>
                <a:srgbClr val="FF9900"/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</xdr:txBody>
      </xdr:sp>
      <xdr:sp macro="" textlink="">
        <xdr:nvSpPr>
          <xdr:cNvPr id="35" name="TextBox 34">
            <a:extLst>
              <a:ext uri="{FF2B5EF4-FFF2-40B4-BE49-F238E27FC236}">
                <a16:creationId xmlns:a16="http://schemas.microsoft.com/office/drawing/2014/main" id="{00000000-0008-0000-0000-000023000000}"/>
              </a:ext>
            </a:extLst>
          </xdr:cNvPr>
          <xdr:cNvSpPr txBox="1"/>
        </xdr:nvSpPr>
        <xdr:spPr>
          <a:xfrm>
            <a:off x="2228768" y="1994646"/>
            <a:ext cx="1403141" cy="35779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sz="1800" b="1">
                <a:solidFill>
                  <a:srgbClr val="FF9900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MileStones</a:t>
            </a:r>
          </a:p>
        </xdr:txBody>
      </xdr:sp>
    </xdr:grpSp>
    <xdr:clientData/>
  </xdr:twoCellAnchor>
  <xdr:twoCellAnchor>
    <xdr:from>
      <xdr:col>0</xdr:col>
      <xdr:colOff>526677</xdr:colOff>
      <xdr:row>10</xdr:row>
      <xdr:rowOff>224117</xdr:rowOff>
    </xdr:from>
    <xdr:to>
      <xdr:col>7</xdr:col>
      <xdr:colOff>524884</xdr:colOff>
      <xdr:row>16</xdr:row>
      <xdr:rowOff>78498</xdr:rowOff>
    </xdr:to>
    <xdr:grpSp>
      <xdr:nvGrpSpPr>
        <xdr:cNvPr id="30" name="Group 29">
          <a:extLst>
            <a:ext uri="{FF2B5EF4-FFF2-40B4-BE49-F238E27FC236}">
              <a16:creationId xmlns:a16="http://schemas.microsoft.com/office/drawing/2014/main" id="{00000000-0008-0000-0000-00001E000000}"/>
            </a:ext>
          </a:extLst>
        </xdr:cNvPr>
        <xdr:cNvGrpSpPr/>
      </xdr:nvGrpSpPr>
      <xdr:grpSpPr>
        <a:xfrm>
          <a:off x="526677" y="2420470"/>
          <a:ext cx="4671060" cy="1423204"/>
          <a:chOff x="526677" y="2420470"/>
          <a:chExt cx="4671060" cy="1423204"/>
        </a:xfrm>
      </xdr:grpSpPr>
      <mc:AlternateContent xmlns:mc="http://schemas.openxmlformats.org/markup-compatibility/2006">
        <mc:Choice xmlns:a14="http://schemas.microsoft.com/office/drawing/2010/main" Requires="a14">
          <xdr:grpSp>
            <xdr:nvGrpSpPr>
              <xdr:cNvPr id="12" name="Group 11">
                <a:extLst>
                  <a:ext uri="{FF2B5EF4-FFF2-40B4-BE49-F238E27FC236}">
                    <a16:creationId xmlns:a16="http://schemas.microsoft.com/office/drawing/2014/main" id="{00000000-0008-0000-0000-00000C000000}"/>
                  </a:ext>
                </a:extLst>
              </xdr:cNvPr>
              <xdr:cNvGrpSpPr/>
            </xdr:nvGrpSpPr>
            <xdr:grpSpPr>
              <a:xfrm>
                <a:off x="3003177" y="2420470"/>
                <a:ext cx="2194560" cy="746909"/>
                <a:chOff x="3003177" y="2420470"/>
                <a:chExt cx="2194560" cy="746909"/>
              </a:xfrm>
            </xdr:grpSpPr>
            <xdr:sp macro="" textlink="">
              <xdr:nvSpPr>
                <xdr:cNvPr id="1025" name="Button 1" hidden="1">
                  <a:extLst>
                    <a:ext uri="{63B3BB69-23CF-44E3-9099-C40C66FF867C}">
                      <a14:compatExt spid="_x0000_s1025"/>
                    </a:ext>
                    <a:ext uri="{FF2B5EF4-FFF2-40B4-BE49-F238E27FC236}">
                      <a16:creationId xmlns:a16="http://schemas.microsoft.com/office/drawing/2014/main" id="{00000000-0008-0000-0000-000001040000}"/>
                    </a:ext>
                  </a:extLst>
                </xdr:cNvPr>
                <xdr:cNvSpPr/>
              </xdr:nvSpPr>
              <xdr:spPr bwMode="auto">
                <a:xfrm>
                  <a:off x="3003177" y="2984499"/>
                  <a:ext cx="2194560" cy="182880"/>
                </a:xfrm>
                <a:prstGeom prst="rect">
                  <a:avLst/>
                </a:prstGeom>
                <a:noFill/>
                <a:ln w="9525">
                  <a:miter lim="800000"/>
                  <a:headEnd/>
                  <a:tailEnd/>
                </a:ln>
              </xdr:spPr>
              <xdr:txBody>
                <a:bodyPr vertOverflow="clip" wrap="square" lIns="27432" tIns="27432" rIns="27432" bIns="27432" anchor="ctr" upright="1"/>
                <a:lstStyle/>
                <a:p>
                  <a:pPr algn="ctr" rtl="0">
                    <a:defRPr sz="1000"/>
                  </a:pPr>
                  <a:r>
                    <a:rPr lang="en-US" sz="1200" b="0" i="0" u="none" strike="noStrike" baseline="0">
                      <a:solidFill>
                        <a:srgbClr val="000000"/>
                      </a:solidFill>
                      <a:latin typeface="Calibri"/>
                      <a:cs typeface="Calibri"/>
                    </a:rPr>
                    <a:t>United States Sanctions Russia </a:t>
                  </a:r>
                </a:p>
                <a:p>
                  <a:pPr algn="ctr" rtl="0">
                    <a:defRPr sz="1000"/>
                  </a:pPr>
                  <a:endParaRPr lang="en-US" sz="1200" b="0" i="0" u="none" strike="noStrike" baseline="0">
                    <a:solidFill>
                      <a:srgbClr val="000000"/>
                    </a:solidFill>
                    <a:latin typeface="Calibri"/>
                    <a:cs typeface="Calibri"/>
                  </a:endParaRPr>
                </a:p>
              </xdr:txBody>
            </xdr:sp>
            <xdr:sp macro="" textlink="">
              <xdr:nvSpPr>
                <xdr:cNvPr id="1026" name="Button 2" hidden="1">
                  <a:extLst>
                    <a:ext uri="{63B3BB69-23CF-44E3-9099-C40C66FF867C}">
                      <a14:compatExt spid="_x0000_s1026"/>
                    </a:ext>
                    <a:ext uri="{FF2B5EF4-FFF2-40B4-BE49-F238E27FC236}">
                      <a16:creationId xmlns:a16="http://schemas.microsoft.com/office/drawing/2014/main" id="{00000000-0008-0000-0000-000002040000}"/>
                    </a:ext>
                  </a:extLst>
                </xdr:cNvPr>
                <xdr:cNvSpPr/>
              </xdr:nvSpPr>
              <xdr:spPr bwMode="auto">
                <a:xfrm>
                  <a:off x="3003177" y="2696882"/>
                  <a:ext cx="2194560" cy="182880"/>
                </a:xfrm>
                <a:prstGeom prst="rect">
                  <a:avLst/>
                </a:prstGeom>
                <a:noFill/>
                <a:ln w="9525">
                  <a:miter lim="800000"/>
                  <a:headEnd/>
                  <a:tailEnd/>
                </a:ln>
              </xdr:spPr>
              <xdr:txBody>
                <a:bodyPr vertOverflow="clip" wrap="square" lIns="27432" tIns="27432" rIns="27432" bIns="0" anchor="t" upright="1"/>
                <a:lstStyle/>
                <a:p>
                  <a:pPr algn="ctr" rtl="0">
                    <a:defRPr sz="1000"/>
                  </a:pPr>
                  <a:r>
                    <a:rPr lang="en-US" sz="1200" b="0" i="0" u="none" strike="noStrike" baseline="0">
                      <a:solidFill>
                        <a:srgbClr val="000000"/>
                      </a:solidFill>
                      <a:latin typeface="Calibri"/>
                      <a:cs typeface="Calibri"/>
                    </a:rPr>
                    <a:t>Russia invades Ukraine</a:t>
                  </a:r>
                </a:p>
              </xdr:txBody>
            </xdr:sp>
            <xdr:sp macro="" textlink="">
              <xdr:nvSpPr>
                <xdr:cNvPr id="1027" name="Button 3" hidden="1">
                  <a:extLst>
                    <a:ext uri="{63B3BB69-23CF-44E3-9099-C40C66FF867C}">
                      <a14:compatExt spid="_x0000_s1027"/>
                    </a:ext>
                    <a:ext uri="{FF2B5EF4-FFF2-40B4-BE49-F238E27FC236}">
                      <a16:creationId xmlns:a16="http://schemas.microsoft.com/office/drawing/2014/main" id="{00000000-0008-0000-0000-000003040000}"/>
                    </a:ext>
                  </a:extLst>
                </xdr:cNvPr>
                <xdr:cNvSpPr/>
              </xdr:nvSpPr>
              <xdr:spPr bwMode="auto">
                <a:xfrm>
                  <a:off x="3003177" y="2420470"/>
                  <a:ext cx="2194560" cy="182880"/>
                </a:xfrm>
                <a:prstGeom prst="rect">
                  <a:avLst/>
                </a:prstGeom>
                <a:noFill/>
                <a:ln w="9525">
                  <a:miter lim="800000"/>
                  <a:headEnd/>
                  <a:tailEnd/>
                </a:ln>
              </xdr:spPr>
              <xdr:txBody>
                <a:bodyPr vertOverflow="clip" wrap="square" lIns="27432" tIns="27432" rIns="27432" bIns="27432" anchor="ctr" upright="1"/>
                <a:lstStyle/>
                <a:p>
                  <a:pPr algn="ctr" rtl="0">
                    <a:defRPr sz="1000"/>
                  </a:pPr>
                  <a:r>
                    <a:rPr lang="en-US" sz="1200" b="0" i="0" u="none" strike="noStrike" baseline="0">
                      <a:solidFill>
                        <a:srgbClr val="000000"/>
                      </a:solidFill>
                      <a:latin typeface="Calibri"/>
                      <a:cs typeface="Calibri"/>
                    </a:rPr>
                    <a:t>Joe Biden sworn in to office</a:t>
                  </a:r>
                </a:p>
              </xdr:txBody>
            </xdr:sp>
          </xdr:grp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grpSp>
            <xdr:nvGrpSpPr>
              <xdr:cNvPr id="13" name="Group 12">
                <a:extLst>
                  <a:ext uri="{FF2B5EF4-FFF2-40B4-BE49-F238E27FC236}">
                    <a16:creationId xmlns:a16="http://schemas.microsoft.com/office/drawing/2014/main" id="{00000000-0008-0000-0000-00000D000000}"/>
                  </a:ext>
                </a:extLst>
              </xdr:cNvPr>
              <xdr:cNvGrpSpPr/>
            </xdr:nvGrpSpPr>
            <xdr:grpSpPr>
              <a:xfrm>
                <a:off x="526677" y="2420471"/>
                <a:ext cx="2194560" cy="724497"/>
                <a:chOff x="526677" y="2420471"/>
                <a:chExt cx="2194560" cy="724497"/>
              </a:xfrm>
            </xdr:grpSpPr>
            <xdr:sp macro="" textlink="">
              <xdr:nvSpPr>
                <xdr:cNvPr id="1028" name="Button 4" hidden="1">
                  <a:extLst>
                    <a:ext uri="{63B3BB69-23CF-44E3-9099-C40C66FF867C}">
                      <a14:compatExt spid="_x0000_s1028"/>
                    </a:ext>
                    <a:ext uri="{FF2B5EF4-FFF2-40B4-BE49-F238E27FC236}">
                      <a16:creationId xmlns:a16="http://schemas.microsoft.com/office/drawing/2014/main" id="{00000000-0008-0000-0000-000004040000}"/>
                    </a:ext>
                  </a:extLst>
                </xdr:cNvPr>
                <xdr:cNvSpPr/>
              </xdr:nvSpPr>
              <xdr:spPr bwMode="auto">
                <a:xfrm>
                  <a:off x="526677" y="2962088"/>
                  <a:ext cx="2194560" cy="182880"/>
                </a:xfrm>
                <a:prstGeom prst="rect">
                  <a:avLst/>
                </a:prstGeom>
                <a:noFill/>
                <a:ln w="9525">
                  <a:miter lim="800000"/>
                  <a:headEnd/>
                  <a:tailEnd/>
                </a:ln>
              </xdr:spPr>
              <xdr:txBody>
                <a:bodyPr vertOverflow="clip" wrap="square" lIns="27432" tIns="27432" rIns="27432" bIns="27432" anchor="ctr" upright="1"/>
                <a:lstStyle/>
                <a:p>
                  <a:pPr algn="ctr" rtl="0">
                    <a:defRPr sz="1000"/>
                  </a:pPr>
                  <a:r>
                    <a:rPr lang="en-US" sz="1200" b="0" i="0" u="none" strike="noStrike" baseline="0">
                      <a:solidFill>
                        <a:srgbClr val="000000"/>
                      </a:solidFill>
                      <a:latin typeface="Calibri"/>
                      <a:cs typeface="Calibri"/>
                    </a:rPr>
                    <a:t>US Begins to re-open </a:t>
                  </a:r>
                </a:p>
                <a:p>
                  <a:pPr algn="ctr" rtl="0">
                    <a:defRPr sz="1000"/>
                  </a:pPr>
                  <a:endParaRPr lang="en-US" sz="1200" b="0" i="0" u="none" strike="noStrike" baseline="0">
                    <a:solidFill>
                      <a:srgbClr val="000000"/>
                    </a:solidFill>
                    <a:latin typeface="Calibri"/>
                    <a:cs typeface="Calibri"/>
                  </a:endParaRPr>
                </a:p>
              </xdr:txBody>
            </xdr:sp>
            <xdr:sp macro="" textlink="">
              <xdr:nvSpPr>
                <xdr:cNvPr id="1029" name="Button 5" hidden="1">
                  <a:extLst>
                    <a:ext uri="{63B3BB69-23CF-44E3-9099-C40C66FF867C}">
                      <a14:compatExt spid="_x0000_s1029"/>
                    </a:ext>
                    <a:ext uri="{FF2B5EF4-FFF2-40B4-BE49-F238E27FC236}">
                      <a16:creationId xmlns:a16="http://schemas.microsoft.com/office/drawing/2014/main" id="{00000000-0008-0000-0000-000005040000}"/>
                    </a:ext>
                  </a:extLst>
                </xdr:cNvPr>
                <xdr:cNvSpPr/>
              </xdr:nvSpPr>
              <xdr:spPr bwMode="auto">
                <a:xfrm>
                  <a:off x="526677" y="2674470"/>
                  <a:ext cx="2194560" cy="182880"/>
                </a:xfrm>
                <a:prstGeom prst="rect">
                  <a:avLst/>
                </a:prstGeom>
                <a:noFill/>
                <a:ln w="9525">
                  <a:miter lim="800000"/>
                  <a:headEnd/>
                  <a:tailEnd/>
                </a:ln>
              </xdr:spPr>
              <xdr:txBody>
                <a:bodyPr vertOverflow="clip" wrap="square" lIns="27432" tIns="27432" rIns="27432" bIns="27432" anchor="ctr" upright="1"/>
                <a:lstStyle/>
                <a:p>
                  <a:pPr algn="ctr" rtl="0">
                    <a:defRPr sz="1000"/>
                  </a:pPr>
                  <a:r>
                    <a:rPr lang="en-US" sz="1200" b="0" i="0" u="none" strike="noStrike" baseline="0">
                      <a:solidFill>
                        <a:srgbClr val="000000"/>
                      </a:solidFill>
                      <a:latin typeface="Calibri"/>
                      <a:cs typeface="Calibri"/>
                    </a:rPr>
                    <a:t>US  Begins Covid19 Shut Down</a:t>
                  </a:r>
                </a:p>
                <a:p>
                  <a:pPr algn="ctr" rtl="0">
                    <a:defRPr sz="1000"/>
                  </a:pPr>
                  <a:endParaRPr lang="en-US" sz="1200" b="0" i="0" u="none" strike="noStrike" baseline="0">
                    <a:solidFill>
                      <a:srgbClr val="000000"/>
                    </a:solidFill>
                    <a:latin typeface="Calibri"/>
                    <a:cs typeface="Calibri"/>
                  </a:endParaRPr>
                </a:p>
              </xdr:txBody>
            </xdr:sp>
            <xdr:sp macro="" textlink="">
              <xdr:nvSpPr>
                <xdr:cNvPr id="1030" name="Button 6" hidden="1">
                  <a:extLst>
                    <a:ext uri="{63B3BB69-23CF-44E3-9099-C40C66FF867C}">
                      <a14:compatExt spid="_x0000_s1030"/>
                    </a:ext>
                    <a:ext uri="{FF2B5EF4-FFF2-40B4-BE49-F238E27FC236}">
                      <a16:creationId xmlns:a16="http://schemas.microsoft.com/office/drawing/2014/main" id="{00000000-0008-0000-0000-000006040000}"/>
                    </a:ext>
                  </a:extLst>
                </xdr:cNvPr>
                <xdr:cNvSpPr/>
              </xdr:nvSpPr>
              <xdr:spPr bwMode="auto">
                <a:xfrm>
                  <a:off x="526677" y="2420471"/>
                  <a:ext cx="2194560" cy="182880"/>
                </a:xfrm>
                <a:prstGeom prst="rect">
                  <a:avLst/>
                </a:prstGeom>
                <a:noFill/>
                <a:ln w="9525">
                  <a:miter lim="800000"/>
                  <a:headEnd/>
                  <a:tailEnd/>
                </a:ln>
              </xdr:spPr>
              <xdr:txBody>
                <a:bodyPr vertOverflow="clip" wrap="square" lIns="27432" tIns="27432" rIns="27432" bIns="27432" anchor="ctr" upright="1"/>
                <a:lstStyle/>
                <a:p>
                  <a:pPr algn="ctr" rtl="0">
                    <a:defRPr sz="1000"/>
                  </a:pPr>
                  <a:r>
                    <a:rPr lang="en-US" sz="1200" b="0" i="0" u="none" strike="noStrike" baseline="0">
                      <a:solidFill>
                        <a:srgbClr val="000000"/>
                      </a:solidFill>
                      <a:latin typeface="Calibri"/>
                      <a:cs typeface="Calibri"/>
                    </a:rPr>
                    <a:t>Average prices before pandemic closures :</a:t>
                  </a:r>
                </a:p>
                <a:p>
                  <a:pPr algn="ctr" rtl="0">
                    <a:defRPr sz="1000"/>
                  </a:pPr>
                  <a:endParaRPr lang="en-US" sz="1200" b="0" i="0" u="none" strike="noStrike" baseline="0">
                    <a:solidFill>
                      <a:srgbClr val="000000"/>
                    </a:solidFill>
                    <a:latin typeface="Calibri"/>
                    <a:cs typeface="Calibri"/>
                  </a:endParaRPr>
                </a:p>
              </xdr:txBody>
            </xdr:sp>
          </xdr:grp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2" name="Button 8" hidden="1">
                <a:extLst>
                  <a:ext uri="{63B3BB69-23CF-44E3-9099-C40C66FF867C}">
                    <a14:compatExt spid="_x0000_s1032"/>
                  </a:ext>
                  <a:ext uri="{FF2B5EF4-FFF2-40B4-BE49-F238E27FC236}">
                    <a16:creationId xmlns:a16="http://schemas.microsoft.com/office/drawing/2014/main" id="{00000000-0008-0000-0000-000008040000}"/>
                  </a:ext>
                </a:extLst>
              </xdr:cNvPr>
              <xdr:cNvSpPr/>
            </xdr:nvSpPr>
            <xdr:spPr bwMode="auto">
              <a:xfrm>
                <a:off x="1770529" y="3272117"/>
                <a:ext cx="2194560" cy="18288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27432" rIns="36576" bIns="27432" anchor="ctr" upright="1"/>
              <a:lstStyle/>
              <a:p>
                <a:pPr algn="ctr" rtl="0">
                  <a:defRPr sz="1000"/>
                </a:pPr>
                <a:r>
                  <a:rPr lang="en-US" sz="1200" b="1" i="0" u="none" strike="noStrike" baseline="0">
                    <a:solidFill>
                      <a:srgbClr val="000000"/>
                    </a:solidFill>
                    <a:latin typeface="Ariel"/>
                  </a:rPr>
                  <a:t>Reset</a:t>
                </a:r>
              </a:p>
            </xdr:txBody>
          </xdr:sp>
        </mc:Choice>
        <mc:Fallback/>
      </mc:AlternateContent>
      <xdr:grpSp>
        <xdr:nvGrpSpPr>
          <xdr:cNvPr id="11" name="Group 10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GrpSpPr/>
        </xdr:nvGrpSpPr>
        <xdr:grpSpPr>
          <a:xfrm>
            <a:off x="896471" y="3563469"/>
            <a:ext cx="3350378" cy="280205"/>
            <a:chOff x="2655794" y="2106705"/>
            <a:chExt cx="3350378" cy="280205"/>
          </a:xfrm>
        </xdr:grpSpPr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00000000-0008-0000-0000-000006000000}"/>
                </a:ext>
              </a:extLst>
            </xdr:cNvPr>
            <xdr:cNvSpPr txBox="1"/>
          </xdr:nvSpPr>
          <xdr:spPr>
            <a:xfrm>
              <a:off x="2655794" y="2106706"/>
              <a:ext cx="1424877" cy="26936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en-US" sz="1200" b="1">
                  <a:solidFill>
                    <a:srgbClr val="FF9900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Evaluated</a:t>
              </a:r>
              <a:r>
                <a:rPr lang="en-US" sz="1200" b="1" baseline="0">
                  <a:solidFill>
                    <a:srgbClr val="FF9900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 Dates:</a:t>
              </a:r>
              <a:endParaRPr lang="en-US" sz="1200" b="1">
                <a:solidFill>
                  <a:srgbClr val="FF9900"/>
                </a:solidFill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  <xdr:sp macro="" textlink="'oil and gas price minmax data'!J1">
          <xdr:nvSpPr>
            <xdr:cNvPr id="7" name="TextBox 6">
              <a:extLst>
                <a:ext uri="{FF2B5EF4-FFF2-40B4-BE49-F238E27FC236}">
                  <a16:creationId xmlns:a16="http://schemas.microsoft.com/office/drawing/2014/main" id="{00000000-0008-0000-0000-000007000000}"/>
                </a:ext>
              </a:extLst>
            </xdr:cNvPr>
            <xdr:cNvSpPr txBox="1"/>
          </xdr:nvSpPr>
          <xdr:spPr>
            <a:xfrm>
              <a:off x="4034117" y="2106705"/>
              <a:ext cx="869405" cy="26936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fld id="{F1BAC746-79AE-4EC0-BB52-6E6DF7793FB2}" type="TxLink">
                <a:rPr lang="en-US" sz="1200" b="1" i="0" u="none" strike="noStrike">
                  <a:solidFill>
                    <a:srgbClr val="FF9900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pPr/>
                <a:t>10/31/2019</a:t>
              </a:fld>
              <a:endParaRPr lang="en-US" sz="1100" b="1"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  <xdr:sp macro="" textlink="'oil and gas price minmax data'!L1">
          <xdr:nvSpPr>
            <xdr:cNvPr id="8" name="TextBox 7">
              <a:extLst>
                <a:ext uri="{FF2B5EF4-FFF2-40B4-BE49-F238E27FC236}">
                  <a16:creationId xmlns:a16="http://schemas.microsoft.com/office/drawing/2014/main" id="{00000000-0008-0000-0000-000008000000}"/>
                </a:ext>
              </a:extLst>
            </xdr:cNvPr>
            <xdr:cNvSpPr txBox="1"/>
          </xdr:nvSpPr>
          <xdr:spPr>
            <a:xfrm>
              <a:off x="5143500" y="2106705"/>
              <a:ext cx="862672" cy="28020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fld id="{EAA74A64-232E-4FFD-83CD-543B35921FD5}" type="TxLink">
                <a:rPr lang="en-US" sz="1200" b="1" i="0" u="none" strike="noStrike">
                  <a:solidFill>
                    <a:srgbClr val="FF9900"/>
                  </a:solidFill>
                  <a:latin typeface="Calibri"/>
                  <a:cs typeface="Calibri"/>
                </a:rPr>
                <a:pPr/>
                <a:t>6/27/2022</a:t>
              </a:fld>
              <a:endParaRPr lang="en-US" sz="1100" b="1"/>
            </a:p>
          </xdr:txBody>
        </xdr:sp>
      </xdr:grpSp>
    </xdr:grpSp>
    <xdr:clientData/>
  </xdr:twoCellAnchor>
  <xdr:oneCellAnchor>
    <xdr:from>
      <xdr:col>4</xdr:col>
      <xdr:colOff>358588</xdr:colOff>
      <xdr:row>15</xdr:row>
      <xdr:rowOff>22412</xdr:rowOff>
    </xdr:from>
    <xdr:ext cx="253018" cy="328295"/>
    <xdr:sp macro="" textlink="">
      <xdr:nvSpPr>
        <xdr:cNvPr id="40" name="TextBox 39">
          <a:extLst>
            <a:ext uri="{FF2B5EF4-FFF2-40B4-BE49-F238E27FC236}">
              <a16:creationId xmlns:a16="http://schemas.microsoft.com/office/drawing/2014/main" id="{00000000-0008-0000-0000-000028000000}"/>
            </a:ext>
          </a:extLst>
        </xdr:cNvPr>
        <xdr:cNvSpPr txBox="1"/>
      </xdr:nvSpPr>
      <xdr:spPr>
        <a:xfrm>
          <a:off x="3126441" y="3518647"/>
          <a:ext cx="253018" cy="32829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600" b="1">
              <a:solidFill>
                <a:srgbClr val="FF9900"/>
              </a:solidFill>
              <a:latin typeface="Arial" panose="020B0604020202020204" pitchFamily="34" charset="0"/>
              <a:cs typeface="Arial" panose="020B0604020202020204" pitchFamily="34" charset="0"/>
            </a:rPr>
            <a:t>-</a:t>
          </a:r>
        </a:p>
      </xdr:txBody>
    </xdr:sp>
    <xdr:clientData/>
  </xdr:oneCellAnchor>
  <xdr:twoCellAnchor>
    <xdr:from>
      <xdr:col>11</xdr:col>
      <xdr:colOff>571500</xdr:colOff>
      <xdr:row>18</xdr:row>
      <xdr:rowOff>11206</xdr:rowOff>
    </xdr:from>
    <xdr:to>
      <xdr:col>11</xdr:col>
      <xdr:colOff>571500</xdr:colOff>
      <xdr:row>37</xdr:row>
      <xdr:rowOff>44823</xdr:rowOff>
    </xdr:to>
    <xdr:cxnSp macro="">
      <xdr:nvCxnSpPr>
        <xdr:cNvPr id="42" name="Straight Connector 41">
          <a:extLst>
            <a:ext uri="{FF2B5EF4-FFF2-40B4-BE49-F238E27FC236}">
              <a16:creationId xmlns:a16="http://schemas.microsoft.com/office/drawing/2014/main" id="{00000000-0008-0000-0000-00002A000000}"/>
            </a:ext>
          </a:extLst>
        </xdr:cNvPr>
        <xdr:cNvCxnSpPr/>
      </xdr:nvCxnSpPr>
      <xdr:spPr>
        <a:xfrm>
          <a:off x="9457765" y="4179794"/>
          <a:ext cx="0" cy="4000500"/>
        </a:xfrm>
        <a:prstGeom prst="line">
          <a:avLst/>
        </a:prstGeom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0.23341</cdr:x>
      <cdr:y>0.48659</cdr:y>
    </cdr:from>
    <cdr:to>
      <cdr:x>0.24856</cdr:x>
      <cdr:y>0.5977</cdr:y>
    </cdr:to>
    <cdr:sp macro="" textlink="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6EA52820-D113-F50B-0446-D59390086E30}"/>
            </a:ext>
          </a:extLst>
        </cdr:cNvPr>
        <cdr:cNvSpPr txBox="1"/>
      </cdr:nvSpPr>
      <cdr:spPr>
        <a:xfrm xmlns:a="http://schemas.openxmlformats.org/drawingml/2006/main">
          <a:off x="704305" y="864053"/>
          <a:ext cx="45719" cy="19730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</c:userShapes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90487</xdr:colOff>
      <xdr:row>3</xdr:row>
      <xdr:rowOff>171450</xdr:rowOff>
    </xdr:from>
    <xdr:to>
      <xdr:col>13</xdr:col>
      <xdr:colOff>547687</xdr:colOff>
      <xdr:row>17</xdr:row>
      <xdr:rowOff>114300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371475</xdr:colOff>
      <xdr:row>1</xdr:row>
      <xdr:rowOff>85725</xdr:rowOff>
    </xdr:from>
    <xdr:to>
      <xdr:col>15</xdr:col>
      <xdr:colOff>619125</xdr:colOff>
      <xdr:row>18</xdr:row>
      <xdr:rowOff>133350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1614487</xdr:colOff>
      <xdr:row>656</xdr:row>
      <xdr:rowOff>123825</xdr:rowOff>
    </xdr:from>
    <xdr:to>
      <xdr:col>16</xdr:col>
      <xdr:colOff>219075</xdr:colOff>
      <xdr:row>676</xdr:row>
      <xdr:rowOff>142875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381000</xdr:colOff>
      <xdr:row>19</xdr:row>
      <xdr:rowOff>76200</xdr:rowOff>
    </xdr:from>
    <xdr:to>
      <xdr:col>16</xdr:col>
      <xdr:colOff>152400</xdr:colOff>
      <xdr:row>33</xdr:row>
      <xdr:rowOff>19050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0</xdr:colOff>
      <xdr:row>2</xdr:row>
      <xdr:rowOff>0</xdr:rowOff>
    </xdr:from>
    <xdr:to>
      <xdr:col>9</xdr:col>
      <xdr:colOff>46427</xdr:colOff>
      <xdr:row>21</xdr:row>
      <xdr:rowOff>54348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pSpPr/>
      </xdr:nvGrpSpPr>
      <xdr:grpSpPr>
        <a:xfrm>
          <a:off x="4743450" y="400050"/>
          <a:ext cx="5037527" cy="3854823"/>
          <a:chOff x="5002943" y="0"/>
          <a:chExt cx="4611415" cy="2181957"/>
        </a:xfrm>
      </xdr:grpSpPr>
      <xdr:sp macro="" textlink="">
        <xdr:nvSpPr>
          <xdr:cNvPr id="6" name="Rectangle: Rounded Corners 5">
            <a:extLst>
              <a:ext uri="{FF2B5EF4-FFF2-40B4-BE49-F238E27FC236}">
                <a16:creationId xmlns:a16="http://schemas.microsoft.com/office/drawing/2014/main" id="{00000000-0008-0000-0200-000006000000}"/>
              </a:ext>
            </a:extLst>
          </xdr:cNvPr>
          <xdr:cNvSpPr/>
        </xdr:nvSpPr>
        <xdr:spPr>
          <a:xfrm>
            <a:off x="5002943" y="0"/>
            <a:ext cx="4611415" cy="2181957"/>
          </a:xfrm>
          <a:prstGeom prst="roundRect">
            <a:avLst/>
          </a:prstGeom>
          <a:gradFill>
            <a:gsLst>
              <a:gs pos="100000">
                <a:schemeClr val="bg2">
                  <a:lumMod val="25000"/>
                </a:schemeClr>
              </a:gs>
              <a:gs pos="23000">
                <a:schemeClr val="bg2">
                  <a:lumMod val="25000"/>
                </a:schemeClr>
              </a:gs>
              <a:gs pos="69000">
                <a:schemeClr val="bg2">
                  <a:lumMod val="25000"/>
                </a:schemeClr>
              </a:gs>
              <a:gs pos="0">
                <a:schemeClr val="bg2">
                  <a:lumMod val="25000"/>
                </a:schemeClr>
              </a:gs>
            </a:gsLst>
            <a:path path="circle">
              <a:fillToRect l="50000" t="50000" r="50000" b="50000"/>
            </a:path>
          </a:gradFill>
          <a:ln w="60325">
            <a:solidFill>
              <a:schemeClr val="bg2">
                <a:lumMod val="75000"/>
              </a:schemeClr>
            </a:solidFill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graphicFrame macro="">
        <xdr:nvGraphicFramePr>
          <xdr:cNvPr id="8" name="Chart 7">
            <a:extLst>
              <a:ext uri="{FF2B5EF4-FFF2-40B4-BE49-F238E27FC236}">
                <a16:creationId xmlns:a16="http://schemas.microsoft.com/office/drawing/2014/main" id="{00000000-0008-0000-0200-000008000000}"/>
              </a:ext>
            </a:extLst>
          </xdr:cNvPr>
          <xdr:cNvGraphicFramePr>
            <a:graphicFrameLocks/>
          </xdr:cNvGraphicFramePr>
        </xdr:nvGraphicFramePr>
        <xdr:xfrm>
          <a:off x="5162385" y="126858"/>
          <a:ext cx="4277586" cy="190921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1</xdr:row>
      <xdr:rowOff>180975</xdr:rowOff>
    </xdr:from>
    <xdr:to>
      <xdr:col>7</xdr:col>
      <xdr:colOff>93594</xdr:colOff>
      <xdr:row>15</xdr:row>
      <xdr:rowOff>130865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17</xdr:row>
      <xdr:rowOff>0</xdr:rowOff>
    </xdr:from>
    <xdr:to>
      <xdr:col>7</xdr:col>
      <xdr:colOff>361511</xdr:colOff>
      <xdr:row>28</xdr:row>
      <xdr:rowOff>170276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295275</xdr:colOff>
      <xdr:row>1</xdr:row>
      <xdr:rowOff>38100</xdr:rowOff>
    </xdr:from>
    <xdr:to>
      <xdr:col>20</xdr:col>
      <xdr:colOff>66675</xdr:colOff>
      <xdr:row>14</xdr:row>
      <xdr:rowOff>180975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2</xdr:row>
      <xdr:rowOff>0</xdr:rowOff>
    </xdr:from>
    <xdr:to>
      <xdr:col>14</xdr:col>
      <xdr:colOff>0</xdr:colOff>
      <xdr:row>15</xdr:row>
      <xdr:rowOff>142875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0</xdr:colOff>
      <xdr:row>29</xdr:row>
      <xdr:rowOff>38100</xdr:rowOff>
    </xdr:from>
    <xdr:to>
      <xdr:col>12</xdr:col>
      <xdr:colOff>457200</xdr:colOff>
      <xdr:row>42</xdr:row>
      <xdr:rowOff>180975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0</xdr:colOff>
      <xdr:row>15</xdr:row>
      <xdr:rowOff>57150</xdr:rowOff>
    </xdr:from>
    <xdr:to>
      <xdr:col>12</xdr:col>
      <xdr:colOff>457200</xdr:colOff>
      <xdr:row>29</xdr:row>
      <xdr:rowOff>0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500-00000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447674</xdr:colOff>
      <xdr:row>7</xdr:row>
      <xdr:rowOff>19049</xdr:rowOff>
    </xdr:from>
    <xdr:to>
      <xdr:col>21</xdr:col>
      <xdr:colOff>366711</xdr:colOff>
      <xdr:row>19</xdr:row>
      <xdr:rowOff>85724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438150</xdr:colOff>
      <xdr:row>17</xdr:row>
      <xdr:rowOff>180975</xdr:rowOff>
    </xdr:from>
    <xdr:to>
      <xdr:col>21</xdr:col>
      <xdr:colOff>438150</xdr:colOff>
      <xdr:row>31</xdr:row>
      <xdr:rowOff>161925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oneCellAnchor>
    <xdr:from>
      <xdr:col>16</xdr:col>
      <xdr:colOff>104775</xdr:colOff>
      <xdr:row>3</xdr:row>
      <xdr:rowOff>168275</xdr:rowOff>
    </xdr:from>
    <xdr:ext cx="1204689" cy="260350"/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SpPr txBox="1"/>
      </xdr:nvSpPr>
      <xdr:spPr>
        <a:xfrm>
          <a:off x="10391775" y="768350"/>
          <a:ext cx="1204689" cy="26035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Z=(x-</a:t>
          </a:r>
          <a:r>
            <a:rPr lang="el-GR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μ</a:t>
          </a:r>
          <a:r>
            <a:rPr lang="en-US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)/(</a:t>
          </a:r>
          <a:r>
            <a:rPr lang="el-GR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σ</a:t>
          </a:r>
          <a:r>
            <a:rPr lang="en-US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/sqrt(n))</a:t>
          </a:r>
          <a:endParaRPr lang="en-US">
            <a:effectLst/>
          </a:endParaRPr>
        </a:p>
        <a:p>
          <a:endParaRPr lang="en-US" sz="1100"/>
        </a:p>
      </xdr:txBody>
    </xdr:sp>
    <xdr:clientData/>
  </xdr:oneCellAnchor>
  <xdr:oneCellAnchor>
    <xdr:from>
      <xdr:col>13</xdr:col>
      <xdr:colOff>19050</xdr:colOff>
      <xdr:row>3</xdr:row>
      <xdr:rowOff>158750</xdr:rowOff>
    </xdr:from>
    <xdr:ext cx="1204689" cy="264560"/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SpPr txBox="1"/>
      </xdr:nvSpPr>
      <xdr:spPr>
        <a:xfrm>
          <a:off x="8248650" y="758825"/>
          <a:ext cx="1204689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100"/>
            <a:t>t=(x-</a:t>
          </a:r>
          <a:r>
            <a:rPr lang="el-GR" sz="1100"/>
            <a:t>μ</a:t>
          </a:r>
          <a:r>
            <a:rPr lang="en-US" sz="1100"/>
            <a:t>)/(s/sqrt(n))</a:t>
          </a:r>
        </a:p>
      </xdr:txBody>
    </xdr:sp>
    <xdr:clientData/>
  </xdr:oneCellAnchor>
  <xdr:twoCellAnchor>
    <xdr:from>
      <xdr:col>11</xdr:col>
      <xdr:colOff>184668</xdr:colOff>
      <xdr:row>20</xdr:row>
      <xdr:rowOff>58316</xdr:rowOff>
    </xdr:from>
    <xdr:to>
      <xdr:col>17</xdr:col>
      <xdr:colOff>283853</xdr:colOff>
      <xdr:row>38</xdr:row>
      <xdr:rowOff>82576</xdr:rowOff>
    </xdr:to>
    <xdr:grpSp>
      <xdr:nvGrpSpPr>
        <xdr:cNvPr id="6" name="Group 5"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GrpSpPr/>
      </xdr:nvGrpSpPr>
      <xdr:grpSpPr>
        <a:xfrm>
          <a:off x="11439719" y="4140459"/>
          <a:ext cx="4171608" cy="3698188"/>
          <a:chOff x="14388353" y="6499411"/>
          <a:chExt cx="4171608" cy="3698188"/>
        </a:xfrm>
      </xdr:grpSpPr>
      <xdr:sp macro="[0]!FinalProjectTimelineManipulator.PrePandemicPrices" textlink="">
        <xdr:nvSpPr>
          <xdr:cNvPr id="7" name="Rectangle: Rounded Corners 6">
            <a:extLst>
              <a:ext uri="{FF2B5EF4-FFF2-40B4-BE49-F238E27FC236}">
                <a16:creationId xmlns:a16="http://schemas.microsoft.com/office/drawing/2014/main" id="{00000000-0008-0000-0600-000007000000}"/>
              </a:ext>
            </a:extLst>
          </xdr:cNvPr>
          <xdr:cNvSpPr/>
        </xdr:nvSpPr>
        <xdr:spPr>
          <a:xfrm>
            <a:off x="14388353" y="6499411"/>
            <a:ext cx="4171608" cy="3698188"/>
          </a:xfrm>
          <a:prstGeom prst="roundRect">
            <a:avLst/>
          </a:prstGeom>
          <a:gradFill flip="none" rotWithShape="1">
            <a:gsLst>
              <a:gs pos="0">
                <a:schemeClr val="accent2">
                  <a:lumMod val="40000"/>
                  <a:lumOff val="60000"/>
                </a:schemeClr>
              </a:gs>
              <a:gs pos="100000">
                <a:schemeClr val="accent2">
                  <a:lumMod val="75000"/>
                </a:schemeClr>
              </a:gs>
              <a:gs pos="100000">
                <a:schemeClr val="accent2">
                  <a:lumMod val="75000"/>
                </a:schemeClr>
              </a:gs>
            </a:gsLst>
            <a:lin ang="5400000" scaled="1"/>
            <a:tileRect/>
          </a:gradFill>
          <a:ln w="60325">
            <a:solidFill>
              <a:schemeClr val="bg2"/>
            </a:solidFill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[0]!FinalProjectTimelineManipulator.PrePandemicPrices" textlink="">
        <xdr:nvSpPr>
          <xdr:cNvPr id="8" name="TextBox 7">
            <a:extLst>
              <a:ext uri="{FF2B5EF4-FFF2-40B4-BE49-F238E27FC236}">
                <a16:creationId xmlns:a16="http://schemas.microsoft.com/office/drawing/2014/main" id="{00000000-0008-0000-0600-000008000000}"/>
              </a:ext>
            </a:extLst>
          </xdr:cNvPr>
          <xdr:cNvSpPr txBox="1"/>
        </xdr:nvSpPr>
        <xdr:spPr>
          <a:xfrm>
            <a:off x="14607998" y="6598195"/>
            <a:ext cx="3926533" cy="34422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100" b="1">
                <a:solidFill>
                  <a:sysClr val="windowText" lastClr="000000"/>
                </a:solidFill>
                <a:latin typeface="Arial Black" panose="020B0A04020102020204" pitchFamily="34" charset="0"/>
              </a:rPr>
              <a:t>Major Dates:</a:t>
            </a:r>
          </a:p>
          <a:p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200" b="0">
                <a:solidFill>
                  <a:sysClr val="windowText" lastClr="000000"/>
                </a:solidFill>
                <a:effectLst/>
                <a:latin typeface="+mn-lt"/>
                <a:ea typeface="+mn-ea"/>
                <a:cs typeface="+mn-cs"/>
              </a:rPr>
              <a:t>Average prices before pandemic closures :</a:t>
            </a:r>
          </a:p>
          <a:p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200" b="0">
                <a:solidFill>
                  <a:sysClr val="windowText" lastClr="000000"/>
                </a:solidFill>
                <a:effectLst/>
                <a:latin typeface="+mn-lt"/>
                <a:ea typeface="+mn-ea"/>
                <a:cs typeface="+mn-cs"/>
              </a:rPr>
              <a:t>	oil</a:t>
            </a:r>
            <a:r>
              <a:rPr lang="en-US" sz="1100" b="0" i="0" u="none" strike="noStrike">
                <a:solidFill>
                  <a:sysClr val="windowText" lastClr="000000"/>
                </a:solidFill>
                <a:effectLst/>
                <a:latin typeface="+mn-lt"/>
                <a:ea typeface="+mn-ea"/>
                <a:cs typeface="+mn-cs"/>
              </a:rPr>
              <a:t> $ 54.97  </a:t>
            </a:r>
            <a:r>
              <a:rPr lang="en-US" sz="1100" b="0" i="0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rPr>
              <a:t>BROB</a:t>
            </a:r>
            <a:r>
              <a:rPr lang="en-US" sz="1100" b="0" i="0" baseline="0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rPr>
              <a:t> Gas  $ 1.63</a:t>
            </a:r>
            <a:endParaRPr lang="en-US" sz="1200" b="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endParaRPr>
          </a:p>
          <a:p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200" b="1">
                <a:solidFill>
                  <a:sysClr val="windowText" lastClr="000000"/>
                </a:solidFill>
                <a:effectLst/>
                <a:latin typeface="+mn-lt"/>
                <a:ea typeface="+mn-ea"/>
                <a:cs typeface="+mn-cs"/>
              </a:rPr>
              <a:t>3/15/</a:t>
            </a:r>
            <a:r>
              <a:rPr lang="en-US" sz="1200" b="1" baseline="0">
                <a:solidFill>
                  <a:sysClr val="windowText" lastClr="000000"/>
                </a:solidFill>
                <a:effectLst/>
                <a:latin typeface="+mn-lt"/>
                <a:ea typeface="+mn-ea"/>
                <a:cs typeface="+mn-cs"/>
              </a:rPr>
              <a:t>2020:  US  Begins Covid19 Shut Down</a:t>
            </a:r>
          </a:p>
          <a:p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200" b="0" baseline="0">
                <a:solidFill>
                  <a:sysClr val="windowText" lastClr="000000"/>
                </a:solidFill>
                <a:effectLst/>
                <a:latin typeface="+mn-lt"/>
                <a:ea typeface="+mn-ea"/>
                <a:cs typeface="+mn-cs"/>
              </a:rPr>
              <a:t>Average prices during Pandemic closure: </a:t>
            </a:r>
          </a:p>
          <a:p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200" b="0" baseline="0">
                <a:solidFill>
                  <a:sysClr val="windowText" lastClr="000000"/>
                </a:solidFill>
                <a:effectLst/>
                <a:latin typeface="+mn-lt"/>
                <a:ea typeface="+mn-ea"/>
                <a:cs typeface="+mn-cs"/>
              </a:rPr>
              <a:t>	oil </a:t>
            </a:r>
            <a:r>
              <a:rPr lang="en-US" sz="1100" b="0" i="0" u="none" strike="noStrike">
                <a:solidFill>
                  <a:sysClr val="windowText" lastClr="000000"/>
                </a:solidFill>
                <a:effectLst/>
                <a:latin typeface="+mn-lt"/>
                <a:ea typeface="+mn-ea"/>
                <a:cs typeface="+mn-cs"/>
              </a:rPr>
              <a:t>$ 21.73 </a:t>
            </a:r>
            <a:r>
              <a:rPr lang="en-US" sz="1100" b="0" i="0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rPr>
              <a:t>BROB</a:t>
            </a:r>
            <a:r>
              <a:rPr lang="en-US" sz="1100" b="0" i="0" baseline="0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rPr>
              <a:t> Gas $ 0.89</a:t>
            </a:r>
            <a:endParaRPr lang="en-US" sz="1200" b="0" baseline="0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endParaRPr>
          </a:p>
          <a:p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200" b="1">
                <a:solidFill>
                  <a:sysClr val="windowText" lastClr="000000"/>
                </a:solidFill>
                <a:effectLst/>
                <a:latin typeface="+mn-lt"/>
                <a:ea typeface="+mn-ea"/>
                <a:cs typeface="+mn-cs"/>
              </a:rPr>
              <a:t>6/11/2020:  US Begins to re-open</a:t>
            </a:r>
          </a:p>
          <a:p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200" b="0">
                <a:solidFill>
                  <a:sysClr val="windowText" lastClr="000000"/>
                </a:solidFill>
                <a:effectLst/>
              </a:rPr>
              <a:t>Avg prices after states re-open before 2020 inaguration </a:t>
            </a:r>
          </a:p>
          <a:p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200" b="0">
                <a:solidFill>
                  <a:sysClr val="windowText" lastClr="000000"/>
                </a:solidFill>
                <a:effectLst/>
              </a:rPr>
              <a:t>	oil </a:t>
            </a:r>
            <a:r>
              <a:rPr lang="en-US" sz="1100" b="0" i="0" u="none" strike="noStrike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rPr>
              <a:t>$42.01 </a:t>
            </a:r>
            <a:r>
              <a:rPr lang="en-US" sz="1100" b="0" i="0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rPr>
              <a:t>BROB</a:t>
            </a:r>
            <a:r>
              <a:rPr lang="en-US" sz="1100" b="0" i="0" baseline="0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rPr>
              <a:t> Gas </a:t>
            </a:r>
            <a:r>
              <a:rPr lang="en-US" sz="1100" b="0" i="0" u="none" strike="noStrike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rPr>
              <a:t> $ 1.25 </a:t>
            </a:r>
            <a:endParaRPr lang="en-US" sz="1200" b="0">
              <a:solidFill>
                <a:sysClr val="windowText" lastClr="000000"/>
              </a:solidFill>
              <a:effectLst/>
            </a:endParaRPr>
          </a:p>
          <a:p>
            <a:r>
              <a:rPr lang="en-US" sz="1200" b="1">
                <a:solidFill>
                  <a:sysClr val="windowText" lastClr="000000"/>
                </a:solidFill>
                <a:latin typeface="+mn-lt"/>
              </a:rPr>
              <a:t>1/20/</a:t>
            </a:r>
            <a:r>
              <a:rPr lang="en-US" sz="1200" b="1" baseline="0">
                <a:solidFill>
                  <a:sysClr val="windowText" lastClr="000000"/>
                </a:solidFill>
                <a:latin typeface="+mn-lt"/>
              </a:rPr>
              <a:t>2021:  Joe Biden sworn in to office</a:t>
            </a:r>
          </a:p>
          <a:p>
            <a:r>
              <a:rPr lang="en-US" sz="1200" b="0" baseline="0">
                <a:solidFill>
                  <a:sysClr val="windowText" lastClr="000000"/>
                </a:solidFill>
                <a:latin typeface="+mn-lt"/>
              </a:rPr>
              <a:t>Avg prices after Joe Biden takes office before Russian war </a:t>
            </a:r>
          </a:p>
          <a:p>
            <a:r>
              <a:rPr lang="en-US" sz="1200" b="0" baseline="0">
                <a:solidFill>
                  <a:sysClr val="windowText" lastClr="000000"/>
                </a:solidFill>
                <a:latin typeface="+mn-lt"/>
              </a:rPr>
              <a:t>	oil</a:t>
            </a:r>
            <a:r>
              <a:rPr lang="en-US" sz="1100" b="0" i="0" u="none" strike="noStrike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rPr>
              <a:t> $70.63 </a:t>
            </a:r>
            <a:r>
              <a:rPr lang="en-US" sz="1100" b="0" i="0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rPr>
              <a:t>BROB</a:t>
            </a:r>
            <a:r>
              <a:rPr lang="en-US" sz="1100" b="0" i="0" baseline="0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rPr>
              <a:t> Gas </a:t>
            </a:r>
            <a:r>
              <a:rPr lang="en-US" sz="1100" b="0" i="0" u="none" strike="noStrike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rPr>
              <a:t> $ 2.20 </a:t>
            </a:r>
            <a:endParaRPr lang="en-US" sz="1200" b="0" baseline="0">
              <a:solidFill>
                <a:sysClr val="windowText" lastClr="000000"/>
              </a:solidFill>
              <a:latin typeface="+mn-lt"/>
            </a:endParaRPr>
          </a:p>
          <a:p>
            <a:r>
              <a:rPr lang="en-US" sz="1200" b="1" baseline="0">
                <a:solidFill>
                  <a:sysClr val="windowText" lastClr="000000"/>
                </a:solidFill>
                <a:latin typeface="+mn-lt"/>
              </a:rPr>
              <a:t>2/24/2022:  Russia invades Ukraine</a:t>
            </a:r>
          </a:p>
          <a:p>
            <a:r>
              <a:rPr lang="en-US" sz="1200" b="0" baseline="0">
                <a:solidFill>
                  <a:sysClr val="windowText" lastClr="000000"/>
                </a:solidFill>
                <a:latin typeface="+mn-lt"/>
              </a:rPr>
              <a:t>Avg price after Russia invades Ukraine: </a:t>
            </a:r>
          </a:p>
          <a:p>
            <a:r>
              <a:rPr lang="en-US" sz="1200" b="0" baseline="0">
                <a:solidFill>
                  <a:sysClr val="windowText" lastClr="000000"/>
                </a:solidFill>
                <a:latin typeface="+mn-lt"/>
              </a:rPr>
              <a:t>	oil</a:t>
            </a:r>
            <a:r>
              <a:rPr lang="en-US" sz="1100" b="0" i="0" u="none" strike="noStrike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rPr>
              <a:t> $103.52  BROB</a:t>
            </a:r>
            <a:r>
              <a:rPr lang="en-US" sz="1100" b="0" i="0" u="none" strike="noStrike" baseline="0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rPr>
              <a:t> Gas </a:t>
            </a:r>
            <a:r>
              <a:rPr lang="en-US" sz="1100" b="0" i="0" u="none" strike="noStrike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rPr>
              <a:t> $ 3.21 </a:t>
            </a:r>
            <a:endParaRPr lang="en-US" sz="1200" b="0" baseline="0">
              <a:solidFill>
                <a:sysClr val="windowText" lastClr="000000"/>
              </a:solidFill>
              <a:latin typeface="+mn-lt"/>
            </a:endParaRPr>
          </a:p>
          <a:p>
            <a:r>
              <a:rPr lang="en-US" sz="1200" b="1" baseline="0">
                <a:solidFill>
                  <a:sysClr val="windowText" lastClr="000000"/>
                </a:solidFill>
                <a:latin typeface="+mn-lt"/>
              </a:rPr>
              <a:t>4/6/2022:    United States Sanctions Russia</a:t>
            </a:r>
            <a:r>
              <a:rPr lang="en-US" sz="1100" b="1" i="0" u="none" strike="noStrike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rPr>
              <a:t> </a:t>
            </a:r>
          </a:p>
          <a:p>
            <a:r>
              <a:rPr lang="en-US" sz="1100" b="0" i="0" u="none" strike="noStrike" baseline="0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rPr>
              <a:t>	oil </a:t>
            </a:r>
            <a:r>
              <a:rPr lang="en-US" sz="1100" b="0" i="0" u="none" strike="noStrike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rPr>
              <a:t> $ 106.88  BROB Gas  $ 3.54 </a:t>
            </a:r>
            <a:endParaRPr lang="en-US" sz="1200" b="0" baseline="0">
              <a:solidFill>
                <a:sysClr val="windowText" lastClr="000000"/>
              </a:solidFill>
              <a:latin typeface="+mn-lt"/>
            </a:endParaRPr>
          </a:p>
        </xdr:txBody>
      </xdr:sp>
    </xdr:grp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465667</xdr:colOff>
      <xdr:row>3</xdr:row>
      <xdr:rowOff>9524</xdr:rowOff>
    </xdr:from>
    <xdr:to>
      <xdr:col>11</xdr:col>
      <xdr:colOff>315383</xdr:colOff>
      <xdr:row>4</xdr:row>
      <xdr:rowOff>209549</xdr:rowOff>
    </xdr:to>
    <xdr:sp macro="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/>
      </xdr:nvSpPr>
      <xdr:spPr>
        <a:xfrm>
          <a:off x="5247217" y="714374"/>
          <a:ext cx="4069291" cy="400050"/>
        </a:xfrm>
        <a:prstGeom prst="roundRect">
          <a:avLst/>
        </a:prstGeom>
        <a:noFill/>
        <a:ln w="76200">
          <a:solidFill>
            <a:schemeClr val="accent3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16</xdr:row>
      <xdr:rowOff>0</xdr:rowOff>
    </xdr:from>
    <xdr:to>
      <xdr:col>6</xdr:col>
      <xdr:colOff>0</xdr:colOff>
      <xdr:row>16</xdr:row>
      <xdr:rowOff>0</xdr:rowOff>
    </xdr:to>
    <xdr:cxnSp macro="">
      <xdr:nvCxnSpPr>
        <xdr:cNvPr id="2" name="Straight Connector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CxnSpPr/>
      </xdr:nvCxnSpPr>
      <xdr:spPr>
        <a:xfrm>
          <a:off x="4895850" y="3200400"/>
          <a:ext cx="0" cy="0"/>
        </a:xfrm>
        <a:prstGeom prst="line">
          <a:avLst/>
        </a:prstGeom>
        <a:ln w="41275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</xdr:col>
      <xdr:colOff>9524</xdr:colOff>
      <xdr:row>7</xdr:row>
      <xdr:rowOff>119743</xdr:rowOff>
    </xdr:from>
    <xdr:to>
      <xdr:col>4</xdr:col>
      <xdr:colOff>847723</xdr:colOff>
      <xdr:row>22</xdr:row>
      <xdr:rowOff>1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pSpPr/>
      </xdr:nvGrpSpPr>
      <xdr:grpSpPr>
        <a:xfrm>
          <a:off x="695324" y="1519918"/>
          <a:ext cx="3314699" cy="2880633"/>
          <a:chOff x="695324" y="1519918"/>
          <a:chExt cx="3314699" cy="2880633"/>
        </a:xfrm>
      </xdr:grpSpPr>
      <xdr:grpSp>
        <xdr:nvGrpSpPr>
          <xdr:cNvPr id="4" name="Group 3">
            <a:extLst>
              <a:ext uri="{FF2B5EF4-FFF2-40B4-BE49-F238E27FC236}">
                <a16:creationId xmlns:a16="http://schemas.microsoft.com/office/drawing/2014/main" id="{00000000-0008-0000-0900-000004000000}"/>
              </a:ext>
            </a:extLst>
          </xdr:cNvPr>
          <xdr:cNvGrpSpPr/>
        </xdr:nvGrpSpPr>
        <xdr:grpSpPr>
          <a:xfrm>
            <a:off x="695324" y="1519918"/>
            <a:ext cx="3314699" cy="2880633"/>
            <a:chOff x="2717868" y="1558018"/>
            <a:chExt cx="4721156" cy="3642632"/>
          </a:xfrm>
        </xdr:grpSpPr>
        <xdr:grpSp>
          <xdr:nvGrpSpPr>
            <xdr:cNvPr id="7" name="Group 6">
              <a:extLst>
                <a:ext uri="{FF2B5EF4-FFF2-40B4-BE49-F238E27FC236}">
                  <a16:creationId xmlns:a16="http://schemas.microsoft.com/office/drawing/2014/main" id="{00000000-0008-0000-0900-000007000000}"/>
                </a:ext>
              </a:extLst>
            </xdr:cNvPr>
            <xdr:cNvGrpSpPr/>
          </xdr:nvGrpSpPr>
          <xdr:grpSpPr>
            <a:xfrm>
              <a:off x="2717868" y="1558018"/>
              <a:ext cx="4721156" cy="3642632"/>
              <a:chOff x="2717868" y="1558018"/>
              <a:chExt cx="4721156" cy="3642632"/>
            </a:xfrm>
          </xdr:grpSpPr>
          <xdr:grpSp>
            <xdr:nvGrpSpPr>
              <xdr:cNvPr id="10" name="Group 9">
                <a:extLst>
                  <a:ext uri="{FF2B5EF4-FFF2-40B4-BE49-F238E27FC236}">
                    <a16:creationId xmlns:a16="http://schemas.microsoft.com/office/drawing/2014/main" id="{00000000-0008-0000-0900-00000A000000}"/>
                  </a:ext>
                </a:extLst>
              </xdr:cNvPr>
              <xdr:cNvGrpSpPr/>
            </xdr:nvGrpSpPr>
            <xdr:grpSpPr>
              <a:xfrm>
                <a:off x="2717868" y="1558018"/>
                <a:ext cx="4707590" cy="3642632"/>
                <a:chOff x="2717868" y="1558018"/>
                <a:chExt cx="4707590" cy="3642632"/>
              </a:xfrm>
            </xdr:grpSpPr>
            <xdr:grpSp>
              <xdr:nvGrpSpPr>
                <xdr:cNvPr id="12" name="Group 11">
                  <a:extLst>
                    <a:ext uri="{FF2B5EF4-FFF2-40B4-BE49-F238E27FC236}">
                      <a16:creationId xmlns:a16="http://schemas.microsoft.com/office/drawing/2014/main" id="{00000000-0008-0000-0900-00000C000000}"/>
                    </a:ext>
                  </a:extLst>
                </xdr:cNvPr>
                <xdr:cNvGrpSpPr/>
              </xdr:nvGrpSpPr>
              <xdr:grpSpPr>
                <a:xfrm>
                  <a:off x="2717868" y="1558018"/>
                  <a:ext cx="4707590" cy="3642632"/>
                  <a:chOff x="2717868" y="1558018"/>
                  <a:chExt cx="4707590" cy="3642632"/>
                </a:xfrm>
              </xdr:grpSpPr>
              <xdr:grpSp>
                <xdr:nvGrpSpPr>
                  <xdr:cNvPr id="14" name="Group 13">
                    <a:extLst>
                      <a:ext uri="{FF2B5EF4-FFF2-40B4-BE49-F238E27FC236}">
                        <a16:creationId xmlns:a16="http://schemas.microsoft.com/office/drawing/2014/main" id="{00000000-0008-0000-0900-00000E000000}"/>
                      </a:ext>
                    </a:extLst>
                  </xdr:cNvPr>
                  <xdr:cNvGrpSpPr/>
                </xdr:nvGrpSpPr>
                <xdr:grpSpPr>
                  <a:xfrm>
                    <a:off x="2717868" y="1558018"/>
                    <a:ext cx="4707590" cy="3642632"/>
                    <a:chOff x="2717868" y="1558018"/>
                    <a:chExt cx="4707590" cy="3642632"/>
                  </a:xfrm>
                </xdr:grpSpPr>
                <xdr:grpSp>
                  <xdr:nvGrpSpPr>
                    <xdr:cNvPr id="16" name="Group 15">
                      <a:extLst>
                        <a:ext uri="{FF2B5EF4-FFF2-40B4-BE49-F238E27FC236}">
                          <a16:creationId xmlns:a16="http://schemas.microsoft.com/office/drawing/2014/main" id="{00000000-0008-0000-0900-000010000000}"/>
                        </a:ext>
                      </a:extLst>
                    </xdr:cNvPr>
                    <xdr:cNvGrpSpPr/>
                  </xdr:nvGrpSpPr>
                  <xdr:grpSpPr>
                    <a:xfrm>
                      <a:off x="2717868" y="1558018"/>
                      <a:ext cx="4707590" cy="3642632"/>
                      <a:chOff x="3684474" y="2200275"/>
                      <a:chExt cx="2480577" cy="2400299"/>
                    </a:xfrm>
                  </xdr:grpSpPr>
                  <xdr:sp macro="" textlink="">
                    <xdr:nvSpPr>
                      <xdr:cNvPr id="18" name="Chord 17">
                        <a:extLst>
                          <a:ext uri="{FF2B5EF4-FFF2-40B4-BE49-F238E27FC236}">
                            <a16:creationId xmlns:a16="http://schemas.microsoft.com/office/drawing/2014/main" id="{00000000-0008-0000-0900-000012000000}"/>
                          </a:ext>
                        </a:extLst>
                      </xdr:cNvPr>
                      <xdr:cNvSpPr/>
                    </xdr:nvSpPr>
                    <xdr:spPr>
                      <a:xfrm>
                        <a:off x="3684474" y="2200275"/>
                        <a:ext cx="2480577" cy="2400299"/>
                      </a:xfrm>
                      <a:prstGeom prst="chord">
                        <a:avLst>
                          <a:gd name="adj1" fmla="val 10012752"/>
                          <a:gd name="adj2" fmla="val 701792"/>
                        </a:avLst>
                      </a:prstGeom>
                      <a:gradFill flip="none" rotWithShape="1">
                        <a:gsLst>
                          <a:gs pos="98000">
                            <a:schemeClr val="bg1"/>
                          </a:gs>
                          <a:gs pos="82000">
                            <a:schemeClr val="bg2"/>
                          </a:gs>
                          <a:gs pos="0">
                            <a:schemeClr val="bg1">
                              <a:lumMod val="50000"/>
                            </a:schemeClr>
                          </a:gs>
                        </a:gsLst>
                        <a:lin ang="1500000" scaled="0"/>
                        <a:tileRect/>
                      </a:gradFill>
                      <a:ln w="76200">
                        <a:solidFill>
                          <a:schemeClr val="bg1"/>
                        </a:solidFill>
                      </a:ln>
                    </xdr:spPr>
                    <xdr:style>
                      <a:lnRef idx="2">
                        <a:schemeClr val="accent1">
                          <a:shade val="50000"/>
                        </a:schemeClr>
                      </a:lnRef>
                      <a:fillRef idx="1">
                        <a:schemeClr val="accent1"/>
                      </a:fillRef>
                      <a:effectRef idx="0">
                        <a:schemeClr val="accent1"/>
                      </a:effectRef>
                      <a:fontRef idx="minor">
                        <a:schemeClr val="lt1"/>
                      </a:fontRef>
                    </xdr:style>
                    <xdr:txBody>
                      <a:bodyPr vertOverflow="clip" horzOverflow="clip" rtlCol="0" anchor="t"/>
                      <a:lstStyle/>
                      <a:p>
                        <a:pPr algn="l"/>
                        <a:endParaRPr lang="en-US" sz="1100" b="1"/>
                      </a:p>
                    </xdr:txBody>
                  </xdr:sp>
                  <xdr:sp macro="" textlink="">
                    <xdr:nvSpPr>
                      <xdr:cNvPr id="19" name="Chord 18">
                        <a:extLst>
                          <a:ext uri="{FF2B5EF4-FFF2-40B4-BE49-F238E27FC236}">
                            <a16:creationId xmlns:a16="http://schemas.microsoft.com/office/drawing/2014/main" id="{00000000-0008-0000-0900-000013000000}"/>
                          </a:ext>
                        </a:extLst>
                      </xdr:cNvPr>
                      <xdr:cNvSpPr/>
                    </xdr:nvSpPr>
                    <xdr:spPr>
                      <a:xfrm>
                        <a:off x="4074661" y="2400300"/>
                        <a:ext cx="1714500" cy="1600200"/>
                      </a:xfrm>
                      <a:prstGeom prst="chord">
                        <a:avLst>
                          <a:gd name="adj1" fmla="val 9959043"/>
                          <a:gd name="adj2" fmla="val 719503"/>
                        </a:avLst>
                      </a:prstGeom>
                      <a:gradFill flip="none" rotWithShape="1">
                        <a:gsLst>
                          <a:gs pos="14000">
                            <a:schemeClr val="bg1"/>
                          </a:gs>
                          <a:gs pos="84000">
                            <a:schemeClr val="bg1">
                              <a:alpha val="0"/>
                              <a:lumMod val="61000"/>
                            </a:schemeClr>
                          </a:gs>
                        </a:gsLst>
                        <a:lin ang="6600000" scaled="0"/>
                        <a:tileRect/>
                      </a:gradFill>
                      <a:ln w="38100">
                        <a:solidFill>
                          <a:schemeClr val="bg1"/>
                        </a:solidFill>
                      </a:ln>
                    </xdr:spPr>
                    <xdr:style>
                      <a:lnRef idx="2">
                        <a:schemeClr val="accent1">
                          <a:shade val="50000"/>
                        </a:schemeClr>
                      </a:lnRef>
                      <a:fillRef idx="1">
                        <a:schemeClr val="accent1"/>
                      </a:fillRef>
                      <a:effectRef idx="0">
                        <a:schemeClr val="accent1"/>
                      </a:effectRef>
                      <a:fontRef idx="minor">
                        <a:schemeClr val="lt1"/>
                      </a:fontRef>
                    </xdr:style>
                    <xdr:txBody>
                      <a:bodyPr vertOverflow="clip" horzOverflow="clip" rtlCol="0" anchor="t"/>
                      <a:lstStyle/>
                      <a:p>
                        <a:pPr algn="l"/>
                        <a:endParaRPr lang="en-US" sz="1100" b="1"/>
                      </a:p>
                    </xdr:txBody>
                  </xdr:sp>
                  <xdr:sp macro="" textlink="">
                    <xdr:nvSpPr>
                      <xdr:cNvPr id="20" name="Chord 19">
                        <a:extLst>
                          <a:ext uri="{FF2B5EF4-FFF2-40B4-BE49-F238E27FC236}">
                            <a16:creationId xmlns:a16="http://schemas.microsoft.com/office/drawing/2014/main" id="{00000000-0008-0000-0900-000014000000}"/>
                          </a:ext>
                        </a:extLst>
                      </xdr:cNvPr>
                      <xdr:cNvSpPr/>
                    </xdr:nvSpPr>
                    <xdr:spPr>
                      <a:xfrm>
                        <a:off x="4154671" y="2520315"/>
                        <a:ext cx="1554480" cy="1280160"/>
                      </a:xfrm>
                      <a:prstGeom prst="chord">
                        <a:avLst>
                          <a:gd name="adj1" fmla="val 9959043"/>
                          <a:gd name="adj2" fmla="val 701792"/>
                        </a:avLst>
                      </a:prstGeom>
                      <a:gradFill flip="none" rotWithShape="1">
                        <a:gsLst>
                          <a:gs pos="0">
                            <a:schemeClr val="accent2">
                              <a:lumMod val="0"/>
                              <a:lumOff val="100000"/>
                            </a:schemeClr>
                          </a:gs>
                          <a:gs pos="35000">
                            <a:schemeClr val="accent2">
                              <a:lumMod val="0"/>
                              <a:lumOff val="100000"/>
                            </a:schemeClr>
                          </a:gs>
                          <a:gs pos="100000">
                            <a:schemeClr val="accent2">
                              <a:lumMod val="100000"/>
                            </a:schemeClr>
                          </a:gs>
                        </a:gsLst>
                        <a:path path="circle">
                          <a:fillToRect l="50000" t="-80000" r="50000" b="180000"/>
                        </a:path>
                        <a:tileRect/>
                      </a:gradFill>
                      <a:ln w="76200">
                        <a:noFill/>
                      </a:ln>
                      <a:effectLst>
                        <a:outerShdw blurRad="368300" dist="50800" dir="5400000" sx="1000" sy="1000" algn="ctr" rotWithShape="0">
                          <a:srgbClr val="000000">
                            <a:alpha val="54000"/>
                          </a:srgbClr>
                        </a:outerShdw>
                      </a:effectLst>
                    </xdr:spPr>
                    <xdr:style>
                      <a:lnRef idx="2">
                        <a:schemeClr val="accent1">
                          <a:shade val="50000"/>
                        </a:schemeClr>
                      </a:lnRef>
                      <a:fillRef idx="1">
                        <a:schemeClr val="accent1"/>
                      </a:fillRef>
                      <a:effectRef idx="0">
                        <a:schemeClr val="accent1"/>
                      </a:effectRef>
                      <a:fontRef idx="minor">
                        <a:schemeClr val="lt1"/>
                      </a:fontRef>
                    </xdr:style>
                    <xdr:txBody>
                      <a:bodyPr vertOverflow="clip" horzOverflow="clip" rtlCol="0" anchor="t"/>
                      <a:lstStyle/>
                      <a:p>
                        <a:pPr algn="l"/>
                        <a:endParaRPr lang="en-US" sz="1100" b="1"/>
                      </a:p>
                    </xdr:txBody>
                  </xdr:sp>
                </xdr:grpSp>
                <xdr:graphicFrame macro="">
                  <xdr:nvGraphicFramePr>
                    <xdr:cNvPr id="17" name="Chart 16">
                      <a:extLst>
                        <a:ext uri="{FF2B5EF4-FFF2-40B4-BE49-F238E27FC236}">
                          <a16:creationId xmlns:a16="http://schemas.microsoft.com/office/drawing/2014/main" id="{00000000-0008-0000-0900-000011000000}"/>
                        </a:ext>
                      </a:extLst>
                    </xdr:cNvPr>
                    <xdr:cNvGraphicFramePr/>
                  </xdr:nvGraphicFramePr>
                  <xdr:xfrm>
                    <a:off x="2924150" y="1659537"/>
                    <a:ext cx="4295028" cy="2782305"/>
                  </xdr:xfrm>
                  <a:graphic>
                    <a:graphicData uri="http://schemas.openxmlformats.org/drawingml/2006/chart">
                      <c:chart xmlns:c="http://schemas.openxmlformats.org/drawingml/2006/chart" xmlns:r="http://schemas.openxmlformats.org/officeDocument/2006/relationships" r:id="rId1"/>
                    </a:graphicData>
                  </a:graphic>
                </xdr:graphicFrame>
              </xdr:grpSp>
              <xdr:sp macro="" textlink="">
                <xdr:nvSpPr>
                  <xdr:cNvPr id="15" name="TextBox 14">
                    <a:extLst>
                      <a:ext uri="{FF2B5EF4-FFF2-40B4-BE49-F238E27FC236}">
                        <a16:creationId xmlns:a16="http://schemas.microsoft.com/office/drawing/2014/main" id="{00000000-0008-0000-0900-00000F000000}"/>
                      </a:ext>
                    </a:extLst>
                  </xdr:cNvPr>
                  <xdr:cNvSpPr txBox="1"/>
                </xdr:nvSpPr>
                <xdr:spPr>
                  <a:xfrm>
                    <a:off x="4514850" y="1563002"/>
                    <a:ext cx="1347788" cy="246748"/>
                  </a:xfrm>
                  <a:prstGeom prst="rect">
                    <a:avLst/>
                  </a:prstGeom>
                  <a:solidFill>
                    <a:schemeClr val="lt1">
                      <a:alpha val="0"/>
                    </a:schemeClr>
                  </a:solidFill>
                  <a:ln w="9525" cmpd="sng">
                    <a:noFill/>
                  </a:ln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dk1"/>
                  </a:fontRef>
                </xdr:style>
                <xdr:txBody>
                  <a:bodyPr vertOverflow="clip" horzOverflow="clip" wrap="square" rtlCol="0" anchor="ctr"/>
                  <a:lstStyle/>
                  <a:p>
                    <a:pPr algn="ctr"/>
                    <a:r>
                      <a:rPr lang="en-US" sz="1100" b="1"/>
                      <a:t> 50%</a:t>
                    </a:r>
                  </a:p>
                </xdr:txBody>
              </xdr:sp>
            </xdr:grpSp>
            <xdr:sp macro="" textlink="" fLocksText="0">
              <xdr:nvSpPr>
                <xdr:cNvPr id="13" name="TextBox 12">
                  <a:extLst>
                    <a:ext uri="{FF2B5EF4-FFF2-40B4-BE49-F238E27FC236}">
                      <a16:creationId xmlns:a16="http://schemas.microsoft.com/office/drawing/2014/main" id="{00000000-0008-0000-0900-00000D000000}"/>
                    </a:ext>
                  </a:extLst>
                </xdr:cNvPr>
                <xdr:cNvSpPr txBox="1"/>
              </xdr:nvSpPr>
              <xdr:spPr>
                <a:xfrm rot="2160000">
                  <a:off x="5783191" y="1978696"/>
                  <a:ext cx="1251743" cy="308945"/>
                </a:xfrm>
                <a:prstGeom prst="rect">
                  <a:avLst/>
                </a:prstGeom>
                <a:solidFill>
                  <a:schemeClr val="lt1">
                    <a:alpha val="0"/>
                  </a:schemeClr>
                </a:solidFill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t"/>
                <a:lstStyle/>
                <a:p>
                  <a:r>
                    <a:rPr lang="en-US" sz="1100" b="1"/>
                    <a:t>   75%</a:t>
                  </a:r>
                </a:p>
              </xdr:txBody>
            </xdr:sp>
          </xdr:grpSp>
          <xdr:sp macro="" textlink="">
            <xdr:nvSpPr>
              <xdr:cNvPr id="11" name="TextBox 10">
                <a:extLst>
                  <a:ext uri="{FF2B5EF4-FFF2-40B4-BE49-F238E27FC236}">
                    <a16:creationId xmlns:a16="http://schemas.microsoft.com/office/drawing/2014/main" id="{00000000-0008-0000-0900-00000B000000}"/>
                  </a:ext>
                </a:extLst>
              </xdr:cNvPr>
              <xdr:cNvSpPr txBox="1"/>
            </xdr:nvSpPr>
            <xdr:spPr>
              <a:xfrm>
                <a:off x="6231604" y="3000376"/>
                <a:ext cx="1207420" cy="400050"/>
              </a:xfrm>
              <a:prstGeom prst="rect">
                <a:avLst/>
              </a:prstGeom>
              <a:solidFill>
                <a:schemeClr val="lt1">
                  <a:alpha val="0"/>
                </a:schemeClr>
              </a:solidFill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t"/>
              <a:lstStyle/>
              <a:p>
                <a:r>
                  <a:rPr lang="en-US" sz="1100" b="1"/>
                  <a:t>         100%</a:t>
                </a:r>
              </a:p>
            </xdr:txBody>
          </xdr:sp>
        </xdr:grpSp>
        <xdr:sp macro="" textlink="">
          <xdr:nvSpPr>
            <xdr:cNvPr id="8" name="TextBox 7">
              <a:extLst>
                <a:ext uri="{FF2B5EF4-FFF2-40B4-BE49-F238E27FC236}">
                  <a16:creationId xmlns:a16="http://schemas.microsoft.com/office/drawing/2014/main" id="{00000000-0008-0000-0900-000008000000}"/>
                </a:ext>
              </a:extLst>
            </xdr:cNvPr>
            <xdr:cNvSpPr txBox="1"/>
          </xdr:nvSpPr>
          <xdr:spPr>
            <a:xfrm rot="19260000">
              <a:off x="3572342" y="1802907"/>
              <a:ext cx="849099" cy="33454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ctr">
              <a:spAutoFit/>
            </a:bodyPr>
            <a:lstStyle/>
            <a:p>
              <a:pPr algn="l"/>
              <a:r>
                <a:rPr lang="en-US" sz="1100" b="1"/>
                <a:t>  25%</a:t>
              </a:r>
            </a:p>
          </xdr:txBody>
        </xdr:sp>
        <xdr:sp macro="" textlink="">
          <xdr:nvSpPr>
            <xdr:cNvPr id="9" name="TextBox 8">
              <a:extLst>
                <a:ext uri="{FF2B5EF4-FFF2-40B4-BE49-F238E27FC236}">
                  <a16:creationId xmlns:a16="http://schemas.microsoft.com/office/drawing/2014/main" id="{00000000-0008-0000-0900-000009000000}"/>
                </a:ext>
              </a:extLst>
            </xdr:cNvPr>
            <xdr:cNvSpPr txBox="1"/>
          </xdr:nvSpPr>
          <xdr:spPr>
            <a:xfrm>
              <a:off x="3162300" y="3000375"/>
              <a:ext cx="370114" cy="200026"/>
            </a:xfrm>
            <a:prstGeom prst="rect">
              <a:avLst/>
            </a:prstGeom>
            <a:solidFill>
              <a:schemeClr val="lt1">
                <a:alpha val="0"/>
              </a:schemeClr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r>
                <a:rPr lang="en-US" sz="1100" b="1"/>
                <a:t>0%</a:t>
              </a:r>
            </a:p>
          </xdr:txBody>
        </xdr:sp>
      </xdr:grpSp>
      <xdr:sp macro="" textlink="">
        <xdr:nvSpPr>
          <xdr:cNvPr id="5" name="Oval 4">
            <a:extLst>
              <a:ext uri="{FF2B5EF4-FFF2-40B4-BE49-F238E27FC236}">
                <a16:creationId xmlns:a16="http://schemas.microsoft.com/office/drawing/2014/main" id="{00000000-0008-0000-0900-000005000000}"/>
              </a:ext>
            </a:extLst>
          </xdr:cNvPr>
          <xdr:cNvSpPr>
            <a:spLocks noChangeAspect="1"/>
          </xdr:cNvSpPr>
        </xdr:nvSpPr>
        <xdr:spPr>
          <a:xfrm>
            <a:off x="2057400" y="2524125"/>
            <a:ext cx="487680" cy="365760"/>
          </a:xfrm>
          <a:prstGeom prst="ellipse">
            <a:avLst/>
          </a:prstGeom>
          <a:solidFill>
            <a:schemeClr val="bg2">
              <a:lumMod val="90000"/>
            </a:schemeClr>
          </a:solidFill>
          <a:ln w="15875">
            <a:noFill/>
          </a:ln>
          <a:effectLst>
            <a:outerShdw blurRad="57785" dist="33020" dir="3180000" algn="ctr">
              <a:srgbClr val="000000">
                <a:alpha val="30000"/>
              </a:srgbClr>
            </a:outerShdw>
          </a:effectLst>
          <a:scene3d>
            <a:camera prst="orthographicFront">
              <a:rot lat="0" lon="0" rev="0"/>
            </a:camera>
            <a:lightRig rig="brightRoom" dir="t">
              <a:rot lat="0" lon="0" rev="600000"/>
            </a:lightRig>
          </a:scene3d>
          <a:sp3d prstMaterial="metal">
            <a:bevelT w="38100" h="57150" prst="angle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$E$4">
        <xdr:nvSpPr>
          <xdr:cNvPr id="6" name="TextBox 5">
            <a:extLst>
              <a:ext uri="{FF2B5EF4-FFF2-40B4-BE49-F238E27FC236}">
                <a16:creationId xmlns:a16="http://schemas.microsoft.com/office/drawing/2014/main" id="{00000000-0008-0000-0900-000006000000}"/>
              </a:ext>
            </a:extLst>
          </xdr:cNvPr>
          <xdr:cNvSpPr txBox="1"/>
        </xdr:nvSpPr>
        <xdr:spPr>
          <a:xfrm>
            <a:off x="2057400" y="2571750"/>
            <a:ext cx="1104900" cy="28020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spAutoFit/>
          </a:bodyPr>
          <a:lstStyle/>
          <a:p>
            <a:fld id="{0ECF81F3-F033-43F6-A66C-76FED49C86EF}" type="TxLink">
              <a:rPr lang="en-US" sz="1200" b="0" i="0" u="none" strike="noStrike">
                <a:solidFill>
                  <a:srgbClr val="000000"/>
                </a:solidFill>
                <a:latin typeface="Calibri"/>
                <a:cs typeface="Calibri"/>
              </a:rPr>
              <a:pPr/>
              <a:t>WCS</a:t>
            </a:fld>
            <a:endParaRPr lang="en-US" sz="1100" b="1"/>
          </a:p>
        </xdr:txBody>
      </xdr:sp>
    </xdr:grpSp>
    <xdr:clientData/>
  </xdr:twoCellAnchor>
  <xdr:twoCellAnchor>
    <xdr:from>
      <xdr:col>5</xdr:col>
      <xdr:colOff>142875</xdr:colOff>
      <xdr:row>7</xdr:row>
      <xdr:rowOff>119742</xdr:rowOff>
    </xdr:from>
    <xdr:to>
      <xdr:col>9</xdr:col>
      <xdr:colOff>200024</xdr:colOff>
      <xdr:row>22</xdr:row>
      <xdr:rowOff>0</xdr:rowOff>
    </xdr:to>
    <xdr:grpSp>
      <xdr:nvGrpSpPr>
        <xdr:cNvPr id="21" name="Group 20">
          <a:extLst>
            <a:ext uri="{FF2B5EF4-FFF2-40B4-BE49-F238E27FC236}">
              <a16:creationId xmlns:a16="http://schemas.microsoft.com/office/drawing/2014/main" id="{00000000-0008-0000-0900-000015000000}"/>
            </a:ext>
          </a:extLst>
        </xdr:cNvPr>
        <xdr:cNvGrpSpPr/>
      </xdr:nvGrpSpPr>
      <xdr:grpSpPr>
        <a:xfrm>
          <a:off x="4514850" y="1519917"/>
          <a:ext cx="3600449" cy="2880633"/>
          <a:chOff x="4352925" y="1519917"/>
          <a:chExt cx="3314699" cy="2880633"/>
        </a:xfrm>
      </xdr:grpSpPr>
      <xdr:grpSp>
        <xdr:nvGrpSpPr>
          <xdr:cNvPr id="22" name="Group 21">
            <a:extLst>
              <a:ext uri="{FF2B5EF4-FFF2-40B4-BE49-F238E27FC236}">
                <a16:creationId xmlns:a16="http://schemas.microsoft.com/office/drawing/2014/main" id="{00000000-0008-0000-0900-000016000000}"/>
              </a:ext>
            </a:extLst>
          </xdr:cNvPr>
          <xdr:cNvGrpSpPr/>
        </xdr:nvGrpSpPr>
        <xdr:grpSpPr>
          <a:xfrm>
            <a:off x="4352925" y="1519917"/>
            <a:ext cx="3314699" cy="2880633"/>
            <a:chOff x="2717868" y="1432408"/>
            <a:chExt cx="4721156" cy="3642632"/>
          </a:xfrm>
        </xdr:grpSpPr>
        <xdr:grpSp>
          <xdr:nvGrpSpPr>
            <xdr:cNvPr id="25" name="Group 24">
              <a:extLst>
                <a:ext uri="{FF2B5EF4-FFF2-40B4-BE49-F238E27FC236}">
                  <a16:creationId xmlns:a16="http://schemas.microsoft.com/office/drawing/2014/main" id="{00000000-0008-0000-0900-000019000000}"/>
                </a:ext>
              </a:extLst>
            </xdr:cNvPr>
            <xdr:cNvGrpSpPr/>
          </xdr:nvGrpSpPr>
          <xdr:grpSpPr>
            <a:xfrm>
              <a:off x="2717868" y="1432408"/>
              <a:ext cx="4721156" cy="3642632"/>
              <a:chOff x="2717868" y="1432408"/>
              <a:chExt cx="4721156" cy="3642632"/>
            </a:xfrm>
          </xdr:grpSpPr>
          <xdr:grpSp>
            <xdr:nvGrpSpPr>
              <xdr:cNvPr id="28" name="Group 27">
                <a:extLst>
                  <a:ext uri="{FF2B5EF4-FFF2-40B4-BE49-F238E27FC236}">
                    <a16:creationId xmlns:a16="http://schemas.microsoft.com/office/drawing/2014/main" id="{00000000-0008-0000-0900-00001C000000}"/>
                  </a:ext>
                </a:extLst>
              </xdr:cNvPr>
              <xdr:cNvGrpSpPr/>
            </xdr:nvGrpSpPr>
            <xdr:grpSpPr>
              <a:xfrm>
                <a:off x="2717868" y="1432408"/>
                <a:ext cx="4707588" cy="3642632"/>
                <a:chOff x="2717868" y="1432408"/>
                <a:chExt cx="4707588" cy="3642632"/>
              </a:xfrm>
            </xdr:grpSpPr>
            <xdr:grpSp>
              <xdr:nvGrpSpPr>
                <xdr:cNvPr id="30" name="Group 29">
                  <a:extLst>
                    <a:ext uri="{FF2B5EF4-FFF2-40B4-BE49-F238E27FC236}">
                      <a16:creationId xmlns:a16="http://schemas.microsoft.com/office/drawing/2014/main" id="{00000000-0008-0000-0900-00001E000000}"/>
                    </a:ext>
                  </a:extLst>
                </xdr:cNvPr>
                <xdr:cNvGrpSpPr/>
              </xdr:nvGrpSpPr>
              <xdr:grpSpPr>
                <a:xfrm>
                  <a:off x="2717868" y="1432408"/>
                  <a:ext cx="4707588" cy="3642632"/>
                  <a:chOff x="2717868" y="1432408"/>
                  <a:chExt cx="4707588" cy="3642632"/>
                </a:xfrm>
              </xdr:grpSpPr>
              <xdr:grpSp>
                <xdr:nvGrpSpPr>
                  <xdr:cNvPr id="32" name="Group 31">
                    <a:extLst>
                      <a:ext uri="{FF2B5EF4-FFF2-40B4-BE49-F238E27FC236}">
                        <a16:creationId xmlns:a16="http://schemas.microsoft.com/office/drawing/2014/main" id="{00000000-0008-0000-0900-000020000000}"/>
                      </a:ext>
                    </a:extLst>
                  </xdr:cNvPr>
                  <xdr:cNvGrpSpPr/>
                </xdr:nvGrpSpPr>
                <xdr:grpSpPr>
                  <a:xfrm>
                    <a:off x="2717868" y="1432408"/>
                    <a:ext cx="4707588" cy="3642632"/>
                    <a:chOff x="2717868" y="1432408"/>
                    <a:chExt cx="4707588" cy="3642632"/>
                  </a:xfrm>
                </xdr:grpSpPr>
                <xdr:grpSp>
                  <xdr:nvGrpSpPr>
                    <xdr:cNvPr id="34" name="Group 33">
                      <a:extLst>
                        <a:ext uri="{FF2B5EF4-FFF2-40B4-BE49-F238E27FC236}">
                          <a16:creationId xmlns:a16="http://schemas.microsoft.com/office/drawing/2014/main" id="{00000000-0008-0000-0900-000022000000}"/>
                        </a:ext>
                      </a:extLst>
                    </xdr:cNvPr>
                    <xdr:cNvGrpSpPr/>
                  </xdr:nvGrpSpPr>
                  <xdr:grpSpPr>
                    <a:xfrm>
                      <a:off x="2717868" y="1432408"/>
                      <a:ext cx="4707588" cy="3642632"/>
                      <a:chOff x="3684474" y="2117505"/>
                      <a:chExt cx="2480576" cy="2400299"/>
                    </a:xfrm>
                  </xdr:grpSpPr>
                  <xdr:sp macro="" textlink="">
                    <xdr:nvSpPr>
                      <xdr:cNvPr id="36" name="Chord 35">
                        <a:extLst>
                          <a:ext uri="{FF2B5EF4-FFF2-40B4-BE49-F238E27FC236}">
                            <a16:creationId xmlns:a16="http://schemas.microsoft.com/office/drawing/2014/main" id="{00000000-0008-0000-0900-000024000000}"/>
                          </a:ext>
                        </a:extLst>
                      </xdr:cNvPr>
                      <xdr:cNvSpPr/>
                    </xdr:nvSpPr>
                    <xdr:spPr>
                      <a:xfrm>
                        <a:off x="3684474" y="2117505"/>
                        <a:ext cx="2480576" cy="2400299"/>
                      </a:xfrm>
                      <a:prstGeom prst="chord">
                        <a:avLst>
                          <a:gd name="adj1" fmla="val 10012752"/>
                          <a:gd name="adj2" fmla="val 701792"/>
                        </a:avLst>
                      </a:prstGeom>
                      <a:gradFill flip="none" rotWithShape="1">
                        <a:gsLst>
                          <a:gs pos="98000">
                            <a:schemeClr val="bg1"/>
                          </a:gs>
                          <a:gs pos="70000">
                            <a:schemeClr val="bg1">
                              <a:lumMod val="85000"/>
                            </a:schemeClr>
                          </a:gs>
                          <a:gs pos="0">
                            <a:schemeClr val="bg1">
                              <a:lumMod val="50000"/>
                            </a:schemeClr>
                          </a:gs>
                        </a:gsLst>
                        <a:lin ang="1500000" scaled="0"/>
                        <a:tileRect/>
                      </a:gradFill>
                      <a:ln w="76200">
                        <a:solidFill>
                          <a:schemeClr val="bg1"/>
                        </a:solidFill>
                      </a:ln>
                    </xdr:spPr>
                    <xdr:style>
                      <a:lnRef idx="2">
                        <a:schemeClr val="accent1">
                          <a:shade val="50000"/>
                        </a:schemeClr>
                      </a:lnRef>
                      <a:fillRef idx="1">
                        <a:schemeClr val="accent1"/>
                      </a:fillRef>
                      <a:effectRef idx="0">
                        <a:schemeClr val="accent1"/>
                      </a:effectRef>
                      <a:fontRef idx="minor">
                        <a:schemeClr val="lt1"/>
                      </a:fontRef>
                    </xdr:style>
                    <xdr:txBody>
                      <a:bodyPr vertOverflow="clip" horzOverflow="clip" rtlCol="0" anchor="t"/>
                      <a:lstStyle/>
                      <a:p>
                        <a:pPr algn="l"/>
                        <a:endParaRPr lang="en-US" sz="1100" b="1"/>
                      </a:p>
                    </xdr:txBody>
                  </xdr:sp>
                  <xdr:sp macro="" textlink="">
                    <xdr:nvSpPr>
                      <xdr:cNvPr id="37" name="Chord 36">
                        <a:extLst>
                          <a:ext uri="{FF2B5EF4-FFF2-40B4-BE49-F238E27FC236}">
                            <a16:creationId xmlns:a16="http://schemas.microsoft.com/office/drawing/2014/main" id="{00000000-0008-0000-0900-000025000000}"/>
                          </a:ext>
                        </a:extLst>
                      </xdr:cNvPr>
                      <xdr:cNvSpPr/>
                    </xdr:nvSpPr>
                    <xdr:spPr>
                      <a:xfrm>
                        <a:off x="4074661" y="2400300"/>
                        <a:ext cx="1714500" cy="1600200"/>
                      </a:xfrm>
                      <a:prstGeom prst="chord">
                        <a:avLst>
                          <a:gd name="adj1" fmla="val 9959043"/>
                          <a:gd name="adj2" fmla="val 719503"/>
                        </a:avLst>
                      </a:prstGeom>
                      <a:gradFill flip="none" rotWithShape="1">
                        <a:gsLst>
                          <a:gs pos="14000">
                            <a:schemeClr val="bg1"/>
                          </a:gs>
                          <a:gs pos="84000">
                            <a:schemeClr val="bg1">
                              <a:alpha val="0"/>
                              <a:lumMod val="61000"/>
                            </a:schemeClr>
                          </a:gs>
                        </a:gsLst>
                        <a:lin ang="6600000" scaled="0"/>
                        <a:tileRect/>
                      </a:gradFill>
                      <a:ln w="38100">
                        <a:solidFill>
                          <a:schemeClr val="bg1"/>
                        </a:solidFill>
                      </a:ln>
                    </xdr:spPr>
                    <xdr:style>
                      <a:lnRef idx="2">
                        <a:schemeClr val="accent1">
                          <a:shade val="50000"/>
                        </a:schemeClr>
                      </a:lnRef>
                      <a:fillRef idx="1">
                        <a:schemeClr val="accent1"/>
                      </a:fillRef>
                      <a:effectRef idx="0">
                        <a:schemeClr val="accent1"/>
                      </a:effectRef>
                      <a:fontRef idx="minor">
                        <a:schemeClr val="lt1"/>
                      </a:fontRef>
                    </xdr:style>
                    <xdr:txBody>
                      <a:bodyPr vertOverflow="clip" horzOverflow="clip" rtlCol="0" anchor="t"/>
                      <a:lstStyle/>
                      <a:p>
                        <a:pPr algn="l"/>
                        <a:endParaRPr lang="en-US" sz="1100" b="1"/>
                      </a:p>
                    </xdr:txBody>
                  </xdr:sp>
                  <xdr:sp macro="" textlink="">
                    <xdr:nvSpPr>
                      <xdr:cNvPr id="38" name="Chord 37">
                        <a:extLst>
                          <a:ext uri="{FF2B5EF4-FFF2-40B4-BE49-F238E27FC236}">
                            <a16:creationId xmlns:a16="http://schemas.microsoft.com/office/drawing/2014/main" id="{00000000-0008-0000-0900-000026000000}"/>
                          </a:ext>
                        </a:extLst>
                      </xdr:cNvPr>
                      <xdr:cNvSpPr/>
                    </xdr:nvSpPr>
                    <xdr:spPr>
                      <a:xfrm>
                        <a:off x="4154671" y="2520315"/>
                        <a:ext cx="1554480" cy="1280160"/>
                      </a:xfrm>
                      <a:prstGeom prst="chord">
                        <a:avLst>
                          <a:gd name="adj1" fmla="val 9959043"/>
                          <a:gd name="adj2" fmla="val 701792"/>
                        </a:avLst>
                      </a:prstGeom>
                      <a:gradFill flip="none" rotWithShape="1">
                        <a:gsLst>
                          <a:gs pos="0">
                            <a:schemeClr val="accent2">
                              <a:lumMod val="0"/>
                              <a:lumOff val="100000"/>
                            </a:schemeClr>
                          </a:gs>
                          <a:gs pos="35000">
                            <a:schemeClr val="accent2">
                              <a:lumMod val="0"/>
                              <a:lumOff val="100000"/>
                            </a:schemeClr>
                          </a:gs>
                          <a:gs pos="100000">
                            <a:schemeClr val="accent2">
                              <a:lumMod val="100000"/>
                            </a:schemeClr>
                          </a:gs>
                        </a:gsLst>
                        <a:path path="circle">
                          <a:fillToRect l="50000" t="-80000" r="50000" b="180000"/>
                        </a:path>
                        <a:tileRect/>
                      </a:gradFill>
                      <a:ln w="76200">
                        <a:noFill/>
                      </a:ln>
                      <a:effectLst>
                        <a:outerShdw blurRad="368300" dist="50800" dir="5400000" sx="1000" sy="1000" algn="ctr" rotWithShape="0">
                          <a:srgbClr val="000000">
                            <a:alpha val="54000"/>
                          </a:srgbClr>
                        </a:outerShdw>
                      </a:effectLst>
                    </xdr:spPr>
                    <xdr:style>
                      <a:lnRef idx="2">
                        <a:schemeClr val="accent1">
                          <a:shade val="50000"/>
                        </a:schemeClr>
                      </a:lnRef>
                      <a:fillRef idx="1">
                        <a:schemeClr val="accent1"/>
                      </a:fillRef>
                      <a:effectRef idx="0">
                        <a:schemeClr val="accent1"/>
                      </a:effectRef>
                      <a:fontRef idx="minor">
                        <a:schemeClr val="lt1"/>
                      </a:fontRef>
                    </xdr:style>
                    <xdr:txBody>
                      <a:bodyPr vertOverflow="clip" horzOverflow="clip" rtlCol="0" anchor="t"/>
                      <a:lstStyle/>
                      <a:p>
                        <a:pPr algn="l"/>
                        <a:endParaRPr lang="en-US" sz="1100" b="1"/>
                      </a:p>
                    </xdr:txBody>
                  </xdr:sp>
                </xdr:grpSp>
                <xdr:graphicFrame macro="">
                  <xdr:nvGraphicFramePr>
                    <xdr:cNvPr id="35" name="Chart 34">
                      <a:extLst>
                        <a:ext uri="{FF2B5EF4-FFF2-40B4-BE49-F238E27FC236}">
                          <a16:creationId xmlns:a16="http://schemas.microsoft.com/office/drawing/2014/main" id="{00000000-0008-0000-0900-000023000000}"/>
                        </a:ext>
                      </a:extLst>
                    </xdr:cNvPr>
                    <xdr:cNvGraphicFramePr/>
                  </xdr:nvGraphicFramePr>
                  <xdr:xfrm>
                    <a:off x="2924149" y="1659537"/>
                    <a:ext cx="4295027" cy="2782305"/>
                  </xdr:xfrm>
                  <a:graphic>
                    <a:graphicData uri="http://schemas.openxmlformats.org/drawingml/2006/chart">
                      <c:chart xmlns:c="http://schemas.openxmlformats.org/drawingml/2006/chart" xmlns:r="http://schemas.openxmlformats.org/officeDocument/2006/relationships" r:id="rId2"/>
                    </a:graphicData>
                  </a:graphic>
                </xdr:graphicFrame>
              </xdr:grpSp>
              <xdr:sp macro="" textlink="">
                <xdr:nvSpPr>
                  <xdr:cNvPr id="33" name="TextBox 32">
                    <a:extLst>
                      <a:ext uri="{FF2B5EF4-FFF2-40B4-BE49-F238E27FC236}">
                        <a16:creationId xmlns:a16="http://schemas.microsoft.com/office/drawing/2014/main" id="{00000000-0008-0000-0900-000021000000}"/>
                      </a:ext>
                    </a:extLst>
                  </xdr:cNvPr>
                  <xdr:cNvSpPr txBox="1"/>
                </xdr:nvSpPr>
                <xdr:spPr>
                  <a:xfrm>
                    <a:off x="4514850" y="1563002"/>
                    <a:ext cx="1347788" cy="246748"/>
                  </a:xfrm>
                  <a:prstGeom prst="rect">
                    <a:avLst/>
                  </a:prstGeom>
                  <a:solidFill>
                    <a:schemeClr val="lt1">
                      <a:alpha val="0"/>
                    </a:schemeClr>
                  </a:solidFill>
                  <a:ln w="9525" cmpd="sng">
                    <a:noFill/>
                  </a:ln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dk1"/>
                  </a:fontRef>
                </xdr:style>
                <xdr:txBody>
                  <a:bodyPr vertOverflow="clip" horzOverflow="clip" wrap="square" rtlCol="0" anchor="ctr"/>
                  <a:lstStyle/>
                  <a:p>
                    <a:pPr algn="ctr"/>
                    <a:r>
                      <a:rPr lang="en-US" sz="1100" b="1"/>
                      <a:t> 50%</a:t>
                    </a:r>
                  </a:p>
                </xdr:txBody>
              </xdr:sp>
            </xdr:grpSp>
            <xdr:sp macro="" textlink="" fLocksText="0">
              <xdr:nvSpPr>
                <xdr:cNvPr id="31" name="TextBox 30">
                  <a:extLst>
                    <a:ext uri="{FF2B5EF4-FFF2-40B4-BE49-F238E27FC236}">
                      <a16:creationId xmlns:a16="http://schemas.microsoft.com/office/drawing/2014/main" id="{00000000-0008-0000-0900-00001F000000}"/>
                    </a:ext>
                  </a:extLst>
                </xdr:cNvPr>
                <xdr:cNvSpPr txBox="1"/>
              </xdr:nvSpPr>
              <xdr:spPr>
                <a:xfrm rot="2160000">
                  <a:off x="5783191" y="1978696"/>
                  <a:ext cx="1251743" cy="308945"/>
                </a:xfrm>
                <a:prstGeom prst="rect">
                  <a:avLst/>
                </a:prstGeom>
                <a:solidFill>
                  <a:schemeClr val="lt1">
                    <a:alpha val="0"/>
                  </a:schemeClr>
                </a:solidFill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t"/>
                <a:lstStyle/>
                <a:p>
                  <a:r>
                    <a:rPr lang="en-US" sz="1100" b="1"/>
                    <a:t>   75%</a:t>
                  </a:r>
                </a:p>
              </xdr:txBody>
            </xdr:sp>
          </xdr:grpSp>
          <xdr:sp macro="" textlink="">
            <xdr:nvSpPr>
              <xdr:cNvPr id="29" name="TextBox 28">
                <a:extLst>
                  <a:ext uri="{FF2B5EF4-FFF2-40B4-BE49-F238E27FC236}">
                    <a16:creationId xmlns:a16="http://schemas.microsoft.com/office/drawing/2014/main" id="{00000000-0008-0000-0900-00001D000000}"/>
                  </a:ext>
                </a:extLst>
              </xdr:cNvPr>
              <xdr:cNvSpPr txBox="1"/>
            </xdr:nvSpPr>
            <xdr:spPr>
              <a:xfrm>
                <a:off x="6231604" y="3000376"/>
                <a:ext cx="1207420" cy="400050"/>
              </a:xfrm>
              <a:prstGeom prst="rect">
                <a:avLst/>
              </a:prstGeom>
              <a:solidFill>
                <a:schemeClr val="lt1">
                  <a:alpha val="0"/>
                </a:schemeClr>
              </a:solidFill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t"/>
              <a:lstStyle/>
              <a:p>
                <a:r>
                  <a:rPr lang="en-US" sz="1100" b="1"/>
                  <a:t>         100%</a:t>
                </a:r>
              </a:p>
            </xdr:txBody>
          </xdr:sp>
        </xdr:grpSp>
        <xdr:sp macro="" textlink="">
          <xdr:nvSpPr>
            <xdr:cNvPr id="26" name="TextBox 25">
              <a:extLst>
                <a:ext uri="{FF2B5EF4-FFF2-40B4-BE49-F238E27FC236}">
                  <a16:creationId xmlns:a16="http://schemas.microsoft.com/office/drawing/2014/main" id="{00000000-0008-0000-0900-00001A000000}"/>
                </a:ext>
              </a:extLst>
            </xdr:cNvPr>
            <xdr:cNvSpPr txBox="1"/>
          </xdr:nvSpPr>
          <xdr:spPr>
            <a:xfrm rot="19260000">
              <a:off x="3572342" y="1802907"/>
              <a:ext cx="849099" cy="33454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ctr">
              <a:spAutoFit/>
            </a:bodyPr>
            <a:lstStyle/>
            <a:p>
              <a:pPr algn="l"/>
              <a:r>
                <a:rPr lang="en-US" sz="1100" b="1"/>
                <a:t>  25%</a:t>
              </a:r>
            </a:p>
          </xdr:txBody>
        </xdr:sp>
        <xdr:sp macro="" textlink="">
          <xdr:nvSpPr>
            <xdr:cNvPr id="27" name="TextBox 26">
              <a:extLst>
                <a:ext uri="{FF2B5EF4-FFF2-40B4-BE49-F238E27FC236}">
                  <a16:creationId xmlns:a16="http://schemas.microsoft.com/office/drawing/2014/main" id="{00000000-0008-0000-0900-00001B000000}"/>
                </a:ext>
              </a:extLst>
            </xdr:cNvPr>
            <xdr:cNvSpPr txBox="1"/>
          </xdr:nvSpPr>
          <xdr:spPr>
            <a:xfrm>
              <a:off x="3162300" y="3000375"/>
              <a:ext cx="370114" cy="200026"/>
            </a:xfrm>
            <a:prstGeom prst="rect">
              <a:avLst/>
            </a:prstGeom>
            <a:solidFill>
              <a:schemeClr val="lt1">
                <a:alpha val="0"/>
              </a:schemeClr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r>
                <a:rPr lang="en-US" sz="1100" b="1"/>
                <a:t>0%</a:t>
              </a:r>
            </a:p>
          </xdr:txBody>
        </xdr:sp>
      </xdr:grpSp>
      <xdr:sp macro="" textlink="">
        <xdr:nvSpPr>
          <xdr:cNvPr id="23" name="Oval 22">
            <a:extLst>
              <a:ext uri="{FF2B5EF4-FFF2-40B4-BE49-F238E27FC236}">
                <a16:creationId xmlns:a16="http://schemas.microsoft.com/office/drawing/2014/main" id="{00000000-0008-0000-0900-000017000000}"/>
              </a:ext>
            </a:extLst>
          </xdr:cNvPr>
          <xdr:cNvSpPr>
            <a:spLocks noChangeAspect="1"/>
          </xdr:cNvSpPr>
        </xdr:nvSpPr>
        <xdr:spPr>
          <a:xfrm>
            <a:off x="5781675" y="2600325"/>
            <a:ext cx="487680" cy="365760"/>
          </a:xfrm>
          <a:prstGeom prst="ellipse">
            <a:avLst/>
          </a:prstGeom>
          <a:solidFill>
            <a:schemeClr val="bg2">
              <a:lumMod val="90000"/>
            </a:schemeClr>
          </a:solidFill>
          <a:ln w="15875"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$E$3">
        <xdr:nvSpPr>
          <xdr:cNvPr id="24" name="TextBox 23">
            <a:extLst>
              <a:ext uri="{FF2B5EF4-FFF2-40B4-BE49-F238E27FC236}">
                <a16:creationId xmlns:a16="http://schemas.microsoft.com/office/drawing/2014/main" id="{00000000-0008-0000-0900-000018000000}"/>
              </a:ext>
            </a:extLst>
          </xdr:cNvPr>
          <xdr:cNvSpPr txBox="1"/>
        </xdr:nvSpPr>
        <xdr:spPr>
          <a:xfrm>
            <a:off x="5835864" y="2624920"/>
            <a:ext cx="416878" cy="28020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fld id="{612196D3-DB80-4359-B127-D5094920141A}" type="TxLink">
              <a:rPr lang="en-US" sz="1200" b="1" i="0" u="none" strike="noStrike">
                <a:solidFill>
                  <a:srgbClr val="000000"/>
                </a:solidFill>
                <a:latin typeface="Calibri"/>
                <a:cs typeface="Calibri"/>
              </a:rPr>
              <a:pPr/>
              <a:t>97%</a:t>
            </a:fld>
            <a:endParaRPr lang="en-US" sz="1100" b="1"/>
          </a:p>
        </xdr:txBody>
      </xdr:sp>
    </xdr:grpSp>
    <xdr:clientData/>
  </xdr:twoCellAnchor>
</xdr:wsDr>
</file>

<file path=xl/drawings/drawing11.xml><?xml version="1.0" encoding="utf-8"?>
<c:userShapes xmlns:c="http://schemas.openxmlformats.org/drawingml/2006/chart">
  <cdr:relSizeAnchor xmlns:cdr="http://schemas.openxmlformats.org/drawingml/2006/chartDrawing">
    <cdr:from>
      <cdr:x>0.23341</cdr:x>
      <cdr:y>0.48659</cdr:y>
    </cdr:from>
    <cdr:to>
      <cdr:x>0.24856</cdr:x>
      <cdr:y>0.5977</cdr:y>
    </cdr:to>
    <cdr:sp macro="" textlink="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6EA52820-D113-F50B-0446-D59390086E30}"/>
            </a:ext>
          </a:extLst>
        </cdr:cNvPr>
        <cdr:cNvSpPr txBox="1"/>
      </cdr:nvSpPr>
      <cdr:spPr>
        <a:xfrm xmlns:a="http://schemas.openxmlformats.org/drawingml/2006/main">
          <a:off x="704305" y="864053"/>
          <a:ext cx="45719" cy="19730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</c:userShapes>
</file>

<file path=xl/drawings/drawing12.xml><?xml version="1.0" encoding="utf-8"?>
<c:userShapes xmlns:c="http://schemas.openxmlformats.org/drawingml/2006/chart">
  <cdr:relSizeAnchor xmlns:cdr="http://schemas.openxmlformats.org/drawingml/2006/chartDrawing">
    <cdr:from>
      <cdr:x>0.23341</cdr:x>
      <cdr:y>0.48659</cdr:y>
    </cdr:from>
    <cdr:to>
      <cdr:x>0.24856</cdr:x>
      <cdr:y>0.5977</cdr:y>
    </cdr:to>
    <cdr:sp macro="" textlink="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6EA52820-D113-F50B-0446-D59390086E30}"/>
            </a:ext>
          </a:extLst>
        </cdr:cNvPr>
        <cdr:cNvSpPr txBox="1"/>
      </cdr:nvSpPr>
      <cdr:spPr>
        <a:xfrm xmlns:a="http://schemas.openxmlformats.org/drawingml/2006/main">
          <a:off x="704305" y="864053"/>
          <a:ext cx="45719" cy="19730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</c:userShapes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8</xdr:row>
      <xdr:rowOff>0</xdr:rowOff>
    </xdr:from>
    <xdr:to>
      <xdr:col>9</xdr:col>
      <xdr:colOff>638175</xdr:colOff>
      <xdr:row>12</xdr:row>
      <xdr:rowOff>180975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pSpPr/>
      </xdr:nvGrpSpPr>
      <xdr:grpSpPr>
        <a:xfrm>
          <a:off x="2743200" y="1600200"/>
          <a:ext cx="4067175" cy="981075"/>
          <a:chOff x="8848724" y="4867275"/>
          <a:chExt cx="4067175" cy="981075"/>
        </a:xfrm>
      </xdr:grpSpPr>
      <xdr:sp macro="" textlink="">
        <xdr:nvSpPr>
          <xdr:cNvPr id="3" name="Rectangle: Rounded Corners 2">
            <a:extLst>
              <a:ext uri="{FF2B5EF4-FFF2-40B4-BE49-F238E27FC236}">
                <a16:creationId xmlns:a16="http://schemas.microsoft.com/office/drawing/2014/main" id="{00000000-0008-0000-0A00-000003000000}"/>
              </a:ext>
            </a:extLst>
          </xdr:cNvPr>
          <xdr:cNvSpPr/>
        </xdr:nvSpPr>
        <xdr:spPr>
          <a:xfrm>
            <a:off x="8848724" y="4867275"/>
            <a:ext cx="4067175" cy="981075"/>
          </a:xfrm>
          <a:prstGeom prst="roundRect">
            <a:avLst/>
          </a:prstGeom>
          <a:gradFill flip="none" rotWithShape="1">
            <a:gsLst>
              <a:gs pos="0">
                <a:schemeClr val="accent2">
                  <a:lumMod val="40000"/>
                  <a:lumOff val="60000"/>
                </a:schemeClr>
              </a:gs>
              <a:gs pos="46000">
                <a:schemeClr val="accent2">
                  <a:lumMod val="95000"/>
                  <a:lumOff val="5000"/>
                </a:schemeClr>
              </a:gs>
              <a:gs pos="100000">
                <a:schemeClr val="accent2">
                  <a:lumMod val="60000"/>
                </a:schemeClr>
              </a:gs>
            </a:gsLst>
            <a:path path="circle">
              <a:fillToRect l="50000" t="130000" r="50000" b="-30000"/>
            </a:path>
            <a:tileRect/>
          </a:gradFill>
          <a:ln w="60325">
            <a:solidFill>
              <a:schemeClr val="bg2"/>
            </a:solidFill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" name="TextBox 3">
            <a:extLst>
              <a:ext uri="{FF2B5EF4-FFF2-40B4-BE49-F238E27FC236}">
                <a16:creationId xmlns:a16="http://schemas.microsoft.com/office/drawing/2014/main" id="{00000000-0008-0000-0A00-000004000000}"/>
              </a:ext>
            </a:extLst>
          </xdr:cNvPr>
          <xdr:cNvSpPr txBox="1"/>
        </xdr:nvSpPr>
        <xdr:spPr>
          <a:xfrm>
            <a:off x="9099959" y="5022487"/>
            <a:ext cx="3563529" cy="635363"/>
          </a:xfrm>
          <a:prstGeom prst="rect">
            <a:avLst/>
          </a:prstGeom>
          <a:solidFill>
            <a:schemeClr val="lt1">
              <a:alpha val="32000"/>
            </a:schemeClr>
          </a:solidFill>
          <a:ln w="34925" cmpd="sng">
            <a:solidFill>
              <a:schemeClr val="bg2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100" b="0" i="0" u="none" strike="noStrike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rPr>
              <a:t> </a:t>
            </a:r>
            <a:endParaRPr lang="en-US" sz="1100"/>
          </a:p>
        </xdr:txBody>
      </xdr:sp>
    </xdr:grpSp>
    <xdr:clientData/>
  </xdr:twoCellAnchor>
  <xdr:twoCellAnchor>
    <xdr:from>
      <xdr:col>12</xdr:col>
      <xdr:colOff>142876</xdr:colOff>
      <xdr:row>11</xdr:row>
      <xdr:rowOff>0</xdr:rowOff>
    </xdr:from>
    <xdr:to>
      <xdr:col>18</xdr:col>
      <xdr:colOff>638176</xdr:colOff>
      <xdr:row>31</xdr:row>
      <xdr:rowOff>28575</xdr:rowOff>
    </xdr:to>
    <xdr:sp macro="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0A00-000005000000}"/>
            </a:ext>
          </a:extLst>
        </xdr:cNvPr>
        <xdr:cNvSpPr/>
      </xdr:nvSpPr>
      <xdr:spPr>
        <a:xfrm>
          <a:off x="8372476" y="2200275"/>
          <a:ext cx="4610100" cy="4029075"/>
        </a:xfrm>
        <a:prstGeom prst="roundRect">
          <a:avLst/>
        </a:prstGeom>
        <a:gradFill flip="none" rotWithShape="1">
          <a:gsLst>
            <a:gs pos="0">
              <a:schemeClr val="accent2">
                <a:lumMod val="40000"/>
                <a:lumOff val="60000"/>
              </a:schemeClr>
            </a:gs>
            <a:gs pos="46000">
              <a:schemeClr val="accent2">
                <a:lumMod val="95000"/>
                <a:lumOff val="5000"/>
              </a:schemeClr>
            </a:gs>
            <a:gs pos="100000">
              <a:schemeClr val="accent2">
                <a:lumMod val="60000"/>
              </a:schemeClr>
            </a:gs>
          </a:gsLst>
          <a:path path="circle">
            <a:fillToRect l="50000" t="130000" r="50000" b="-30000"/>
          </a:path>
          <a:tileRect/>
        </a:gradFill>
        <a:ln w="60325">
          <a:solidFill>
            <a:schemeClr val="bg2"/>
          </a:solidFill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20</xdr:col>
      <xdr:colOff>0</xdr:colOff>
      <xdr:row>14</xdr:row>
      <xdr:rowOff>0</xdr:rowOff>
    </xdr:from>
    <xdr:to>
      <xdr:col>26</xdr:col>
      <xdr:colOff>495300</xdr:colOff>
      <xdr:row>34</xdr:row>
      <xdr:rowOff>28575</xdr:rowOff>
    </xdr:to>
    <xdr:sp macro="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00000000-0008-0000-0A00-000006000000}"/>
            </a:ext>
          </a:extLst>
        </xdr:cNvPr>
        <xdr:cNvSpPr/>
      </xdr:nvSpPr>
      <xdr:spPr>
        <a:xfrm>
          <a:off x="13716000" y="2800350"/>
          <a:ext cx="4610100" cy="4029075"/>
        </a:xfrm>
        <a:prstGeom prst="roundRect">
          <a:avLst/>
        </a:prstGeom>
        <a:noFill/>
        <a:ln w="60325">
          <a:solidFill>
            <a:schemeClr val="bg2"/>
          </a:solidFill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Kevin Foley" id="{5BB518EE-8A48-42E1-A0C5-0977E592E60B}" userId="Kevin Foley" providerId="None"/>
</personList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WolfPack" refreshedDate="44743.459175810189" createdVersion="8" refreshedVersion="8" minRefreshableVersion="3" recordCount="549" xr:uid="{ACABB2D6-438C-4A4A-AA7F-993FFBA6DD01}">
  <cacheSource type="worksheet">
    <worksheetSource name="Table6"/>
  </cacheSource>
  <cacheFields count="3">
    <cacheField name="date" numFmtId="14">
      <sharedItems containsSemiMixedTypes="0" containsNonDate="0" containsDate="1" containsString="0" minDate="2020-04-09T00:00:00" maxDate="2022-05-26T00:00:00" count="549">
        <d v="2022-05-25T00:00:00"/>
        <d v="2022-05-24T00:00:00"/>
        <d v="2022-05-23T00:00:00"/>
        <d v="2022-05-20T00:00:00"/>
        <d v="2022-05-19T00:00:00"/>
        <d v="2022-05-18T00:00:00"/>
        <d v="2022-05-17T00:00:00"/>
        <d v="2022-05-16T00:00:00"/>
        <d v="2022-05-13T00:00:00"/>
        <d v="2022-05-12T00:00:00"/>
        <d v="2022-05-11T00:00:00"/>
        <d v="2022-05-10T00:00:00"/>
        <d v="2022-05-09T00:00:00"/>
        <d v="2022-05-06T00:00:00"/>
        <d v="2022-05-05T00:00:00"/>
        <d v="2022-05-04T00:00:00"/>
        <d v="2022-05-03T00:00:00"/>
        <d v="2022-05-02T00:00:00"/>
        <d v="2022-04-29T00:00:00"/>
        <d v="2022-04-28T00:00:00"/>
        <d v="2022-04-27T00:00:00"/>
        <d v="2022-04-26T00:00:00"/>
        <d v="2022-04-25T00:00:00"/>
        <d v="2022-04-22T00:00:00"/>
        <d v="2022-04-21T00:00:00"/>
        <d v="2022-04-20T00:00:00"/>
        <d v="2022-04-19T00:00:00"/>
        <d v="2022-04-18T00:00:00"/>
        <d v="2022-04-14T00:00:00"/>
        <d v="2022-04-13T00:00:00"/>
        <d v="2022-04-12T00:00:00"/>
        <d v="2022-04-11T00:00:00"/>
        <d v="2022-04-08T00:00:00"/>
        <d v="2022-04-07T00:00:00"/>
        <d v="2022-04-06T00:00:00"/>
        <d v="2022-04-05T00:00:00"/>
        <d v="2022-04-04T00:00:00"/>
        <d v="2022-04-01T00:00:00"/>
        <d v="2022-03-31T00:00:00"/>
        <d v="2022-03-30T00:00:00"/>
        <d v="2022-03-29T00:00:00"/>
        <d v="2022-03-28T00:00:00"/>
        <d v="2022-03-25T00:00:00"/>
        <d v="2022-03-24T00:00:00"/>
        <d v="2022-03-23T00:00:00"/>
        <d v="2022-03-22T00:00:00"/>
        <d v="2022-03-21T00:00:00"/>
        <d v="2022-03-18T00:00:00"/>
        <d v="2022-03-17T00:00:00"/>
        <d v="2022-03-16T00:00:00"/>
        <d v="2022-03-15T00:00:00"/>
        <d v="2022-03-14T00:00:00"/>
        <d v="2022-03-11T00:00:00"/>
        <d v="2022-03-10T00:00:00"/>
        <d v="2022-03-09T00:00:00"/>
        <d v="2022-03-08T00:00:00"/>
        <d v="2022-03-07T00:00:00"/>
        <d v="2022-03-04T00:00:00"/>
        <d v="2022-03-03T00:00:00"/>
        <d v="2022-03-02T00:00:00"/>
        <d v="2022-03-01T00:00:00"/>
        <d v="2022-02-28T00:00:00"/>
        <d v="2022-02-25T00:00:00"/>
        <d v="2022-02-24T00:00:00"/>
        <d v="2022-02-23T00:00:00"/>
        <d v="2022-02-22T00:00:00"/>
        <d v="2022-02-21T00:00:00"/>
        <d v="2022-02-18T00:00:00"/>
        <d v="2022-02-17T00:00:00"/>
        <d v="2022-02-16T00:00:00"/>
        <d v="2022-02-15T00:00:00"/>
        <d v="2022-02-14T00:00:00"/>
        <d v="2022-02-11T00:00:00"/>
        <d v="2022-02-10T00:00:00"/>
        <d v="2022-02-09T00:00:00"/>
        <d v="2022-02-08T00:00:00"/>
        <d v="2022-02-07T00:00:00"/>
        <d v="2022-02-04T00:00:00"/>
        <d v="2022-02-03T00:00:00"/>
        <d v="2022-02-02T00:00:00"/>
        <d v="2022-02-01T00:00:00"/>
        <d v="2022-01-31T00:00:00"/>
        <d v="2022-01-28T00:00:00"/>
        <d v="2022-01-27T00:00:00"/>
        <d v="2022-01-26T00:00:00"/>
        <d v="2022-01-25T00:00:00"/>
        <d v="2022-01-24T00:00:00"/>
        <d v="2022-01-21T00:00:00"/>
        <d v="2022-01-20T00:00:00"/>
        <d v="2022-01-19T00:00:00"/>
        <d v="2022-01-18T00:00:00"/>
        <d v="2022-01-17T00:00:00"/>
        <d v="2022-01-14T00:00:00"/>
        <d v="2022-01-13T00:00:00"/>
        <d v="2022-01-12T00:00:00"/>
        <d v="2022-01-11T00:00:00"/>
        <d v="2022-01-10T00:00:00"/>
        <d v="2022-01-07T00:00:00"/>
        <d v="2022-01-06T00:00:00"/>
        <d v="2022-01-05T00:00:00"/>
        <d v="2022-01-04T00:00:00"/>
        <d v="2022-01-03T00:00:00"/>
        <d v="2021-12-31T00:00:00"/>
        <d v="2021-12-30T00:00:00"/>
        <d v="2021-12-29T00:00:00"/>
        <d v="2021-12-28T00:00:00"/>
        <d v="2021-12-27T00:00:00"/>
        <d v="2021-12-24T00:00:00"/>
        <d v="2021-12-23T00:00:00"/>
        <d v="2021-12-22T00:00:00"/>
        <d v="2021-12-21T00:00:00"/>
        <d v="2021-12-20T00:00:00"/>
        <d v="2021-12-17T00:00:00"/>
        <d v="2021-12-16T00:00:00"/>
        <d v="2021-12-15T00:00:00"/>
        <d v="2021-12-14T00:00:00"/>
        <d v="2021-12-13T00:00:00"/>
        <d v="2021-12-10T00:00:00"/>
        <d v="2021-12-09T00:00:00"/>
        <d v="2021-12-08T00:00:00"/>
        <d v="2021-12-07T00:00:00"/>
        <d v="2021-12-06T00:00:00"/>
        <d v="2021-12-03T00:00:00"/>
        <d v="2021-12-02T00:00:00"/>
        <d v="2021-12-01T00:00:00"/>
        <d v="2021-11-30T00:00:00"/>
        <d v="2021-11-29T00:00:00"/>
        <d v="2021-11-26T00:00:00"/>
        <d v="2021-11-25T00:00:00"/>
        <d v="2021-11-24T00:00:00"/>
        <d v="2021-11-23T00:00:00"/>
        <d v="2021-11-22T00:00:00"/>
        <d v="2021-11-19T00:00:00"/>
        <d v="2021-11-18T00:00:00"/>
        <d v="2021-11-17T00:00:00"/>
        <d v="2021-11-16T00:00:00"/>
        <d v="2021-11-15T00:00:00"/>
        <d v="2021-11-12T00:00:00"/>
        <d v="2021-11-11T00:00:00"/>
        <d v="2021-11-10T00:00:00"/>
        <d v="2021-11-09T00:00:00"/>
        <d v="2021-11-08T00:00:00"/>
        <d v="2021-11-05T00:00:00"/>
        <d v="2021-11-04T00:00:00"/>
        <d v="2021-11-03T00:00:00"/>
        <d v="2021-11-02T00:00:00"/>
        <d v="2021-11-01T00:00:00"/>
        <d v="2021-10-29T00:00:00"/>
        <d v="2021-10-28T00:00:00"/>
        <d v="2021-10-27T00:00:00"/>
        <d v="2021-10-26T00:00:00"/>
        <d v="2021-10-25T00:00:00"/>
        <d v="2021-10-22T00:00:00"/>
        <d v="2021-10-21T00:00:00"/>
        <d v="2021-10-20T00:00:00"/>
        <d v="2021-10-19T00:00:00"/>
        <d v="2021-10-18T00:00:00"/>
        <d v="2021-10-15T00:00:00"/>
        <d v="2021-10-14T00:00:00"/>
        <d v="2021-10-13T00:00:00"/>
        <d v="2021-10-12T00:00:00"/>
        <d v="2021-10-11T00:00:00"/>
        <d v="2021-10-08T00:00:00"/>
        <d v="2021-10-07T00:00:00"/>
        <d v="2021-10-06T00:00:00"/>
        <d v="2021-10-05T00:00:00"/>
        <d v="2021-10-04T00:00:00"/>
        <d v="2021-10-01T00:00:00"/>
        <d v="2021-09-30T00:00:00"/>
        <d v="2021-09-29T00:00:00"/>
        <d v="2021-09-28T00:00:00"/>
        <d v="2021-09-27T00:00:00"/>
        <d v="2021-09-24T00:00:00"/>
        <d v="2021-09-23T00:00:00"/>
        <d v="2021-09-22T00:00:00"/>
        <d v="2021-09-21T00:00:00"/>
        <d v="2021-09-20T00:00:00"/>
        <d v="2021-09-17T00:00:00"/>
        <d v="2021-09-16T00:00:00"/>
        <d v="2021-09-15T00:00:00"/>
        <d v="2021-09-14T00:00:00"/>
        <d v="2021-09-13T00:00:00"/>
        <d v="2021-09-10T00:00:00"/>
        <d v="2021-09-09T00:00:00"/>
        <d v="2021-09-08T00:00:00"/>
        <d v="2021-09-07T00:00:00"/>
        <d v="2021-09-06T00:00:00"/>
        <d v="2021-09-03T00:00:00"/>
        <d v="2021-09-02T00:00:00"/>
        <d v="2021-09-01T00:00:00"/>
        <d v="2021-08-31T00:00:00"/>
        <d v="2021-08-30T00:00:00"/>
        <d v="2021-08-27T00:00:00"/>
        <d v="2021-08-26T00:00:00"/>
        <d v="2021-08-25T00:00:00"/>
        <d v="2021-08-24T00:00:00"/>
        <d v="2021-08-23T00:00:00"/>
        <d v="2021-08-20T00:00:00"/>
        <d v="2021-08-19T00:00:00"/>
        <d v="2021-08-18T00:00:00"/>
        <d v="2021-08-17T00:00:00"/>
        <d v="2021-08-16T00:00:00"/>
        <d v="2021-08-13T00:00:00"/>
        <d v="2021-08-12T00:00:00"/>
        <d v="2021-08-11T00:00:00"/>
        <d v="2021-08-10T00:00:00"/>
        <d v="2021-08-09T00:00:00"/>
        <d v="2021-08-06T00:00:00"/>
        <d v="2021-08-05T00:00:00"/>
        <d v="2021-08-04T00:00:00"/>
        <d v="2021-08-03T00:00:00"/>
        <d v="2021-08-02T00:00:00"/>
        <d v="2021-07-30T00:00:00"/>
        <d v="2021-07-29T00:00:00"/>
        <d v="2021-07-28T00:00:00"/>
        <d v="2021-07-27T00:00:00"/>
        <d v="2021-07-26T00:00:00"/>
        <d v="2021-07-23T00:00:00"/>
        <d v="2021-07-22T00:00:00"/>
        <d v="2021-07-21T00:00:00"/>
        <d v="2021-07-20T00:00:00"/>
        <d v="2021-07-19T00:00:00"/>
        <d v="2021-07-16T00:00:00"/>
        <d v="2021-07-15T00:00:00"/>
        <d v="2021-07-14T00:00:00"/>
        <d v="2021-07-13T00:00:00"/>
        <d v="2021-07-12T00:00:00"/>
        <d v="2021-07-09T00:00:00"/>
        <d v="2021-07-08T00:00:00"/>
        <d v="2021-07-07T00:00:00"/>
        <d v="2021-07-06T00:00:00"/>
        <d v="2021-07-05T00:00:00"/>
        <d v="2021-07-02T00:00:00"/>
        <d v="2021-07-01T00:00:00"/>
        <d v="2021-06-30T00:00:00"/>
        <d v="2021-06-29T00:00:00"/>
        <d v="2021-06-28T00:00:00"/>
        <d v="2021-06-25T00:00:00"/>
        <d v="2021-06-24T00:00:00"/>
        <d v="2021-06-23T00:00:00"/>
        <d v="2021-06-22T00:00:00"/>
        <d v="2021-06-21T00:00:00"/>
        <d v="2021-06-18T00:00:00"/>
        <d v="2021-06-17T00:00:00"/>
        <d v="2021-06-16T00:00:00"/>
        <d v="2021-06-15T00:00:00"/>
        <d v="2021-06-14T00:00:00"/>
        <d v="2021-06-11T00:00:00"/>
        <d v="2021-06-10T00:00:00"/>
        <d v="2021-06-09T00:00:00"/>
        <d v="2021-06-08T00:00:00"/>
        <d v="2021-06-07T00:00:00"/>
        <d v="2021-06-04T00:00:00"/>
        <d v="2021-06-03T00:00:00"/>
        <d v="2021-06-02T00:00:00"/>
        <d v="2021-06-01T00:00:00"/>
        <d v="2021-05-31T00:00:00"/>
        <d v="2021-05-28T00:00:00"/>
        <d v="2021-05-27T00:00:00"/>
        <d v="2021-05-26T00:00:00"/>
        <d v="2021-05-25T00:00:00"/>
        <d v="2021-05-24T00:00:00"/>
        <d v="2021-05-21T00:00:00"/>
        <d v="2021-05-20T00:00:00"/>
        <d v="2021-05-19T00:00:00"/>
        <d v="2021-05-18T00:00:00"/>
        <d v="2021-05-17T00:00:00"/>
        <d v="2021-05-14T00:00:00"/>
        <d v="2021-05-13T00:00:00"/>
        <d v="2021-05-12T00:00:00"/>
        <d v="2021-05-11T00:00:00"/>
        <d v="2021-05-10T00:00:00"/>
        <d v="2021-05-07T00:00:00"/>
        <d v="2021-05-06T00:00:00"/>
        <d v="2021-05-05T00:00:00"/>
        <d v="2021-05-04T00:00:00"/>
        <d v="2021-05-03T00:00:00"/>
        <d v="2021-04-30T00:00:00"/>
        <d v="2021-04-29T00:00:00"/>
        <d v="2021-04-28T00:00:00"/>
        <d v="2021-04-27T00:00:00"/>
        <d v="2021-04-26T00:00:00"/>
        <d v="2021-04-23T00:00:00"/>
        <d v="2021-04-22T00:00:00"/>
        <d v="2021-04-21T00:00:00"/>
        <d v="2021-04-20T00:00:00"/>
        <d v="2021-04-19T00:00:00"/>
        <d v="2021-04-16T00:00:00"/>
        <d v="2021-04-15T00:00:00"/>
        <d v="2021-04-14T00:00:00"/>
        <d v="2021-04-13T00:00:00"/>
        <d v="2021-04-12T00:00:00"/>
        <d v="2021-04-09T00:00:00"/>
        <d v="2021-04-08T00:00:00"/>
        <d v="2021-04-07T00:00:00"/>
        <d v="2021-04-06T00:00:00"/>
        <d v="2021-04-05T00:00:00"/>
        <d v="2021-04-01T00:00:00"/>
        <d v="2021-03-31T00:00:00"/>
        <d v="2021-03-30T00:00:00"/>
        <d v="2021-03-29T00:00:00"/>
        <d v="2021-03-26T00:00:00"/>
        <d v="2021-03-25T00:00:00"/>
        <d v="2021-03-24T00:00:00"/>
        <d v="2021-03-23T00:00:00"/>
        <d v="2021-03-22T00:00:00"/>
        <d v="2021-03-19T00:00:00"/>
        <d v="2021-03-18T00:00:00"/>
        <d v="2021-03-17T00:00:00"/>
        <d v="2021-03-16T00:00:00"/>
        <d v="2021-03-15T00:00:00"/>
        <d v="2021-03-12T00:00:00"/>
        <d v="2021-03-11T00:00:00"/>
        <d v="2021-03-10T00:00:00"/>
        <d v="2021-03-09T00:00:00"/>
        <d v="2021-03-08T00:00:00"/>
        <d v="2021-03-05T00:00:00"/>
        <d v="2021-03-04T00:00:00"/>
        <d v="2021-03-03T00:00:00"/>
        <d v="2021-03-02T00:00:00"/>
        <d v="2021-03-01T00:00:00"/>
        <d v="2021-02-26T00:00:00"/>
        <d v="2021-02-25T00:00:00"/>
        <d v="2021-02-24T00:00:00"/>
        <d v="2021-02-23T00:00:00"/>
        <d v="2021-02-22T00:00:00"/>
        <d v="2021-02-19T00:00:00"/>
        <d v="2021-02-18T00:00:00"/>
        <d v="2021-02-17T00:00:00"/>
        <d v="2021-02-16T00:00:00"/>
        <d v="2021-02-15T00:00:00"/>
        <d v="2021-02-12T00:00:00"/>
        <d v="2021-02-11T00:00:00"/>
        <d v="2021-02-10T00:00:00"/>
        <d v="2021-02-09T00:00:00"/>
        <d v="2021-02-08T00:00:00"/>
        <d v="2021-02-05T00:00:00"/>
        <d v="2021-02-04T00:00:00"/>
        <d v="2021-02-03T00:00:00"/>
        <d v="2021-02-02T00:00:00"/>
        <d v="2021-02-01T00:00:00"/>
        <d v="2021-01-29T00:00:00"/>
        <d v="2021-01-28T00:00:00"/>
        <d v="2021-01-27T00:00:00"/>
        <d v="2021-01-26T00:00:00"/>
        <d v="2021-01-25T00:00:00"/>
        <d v="2021-01-22T00:00:00"/>
        <d v="2021-01-21T00:00:00"/>
        <d v="2021-01-20T00:00:00"/>
        <d v="2021-01-19T00:00:00"/>
        <d v="2021-01-18T00:00:00"/>
        <d v="2021-01-15T00:00:00"/>
        <d v="2021-01-14T00:00:00"/>
        <d v="2021-01-13T00:00:00"/>
        <d v="2021-01-12T00:00:00"/>
        <d v="2021-01-11T00:00:00"/>
        <d v="2021-01-08T00:00:00"/>
        <d v="2021-01-07T00:00:00"/>
        <d v="2021-01-06T00:00:00"/>
        <d v="2021-01-05T00:00:00"/>
        <d v="2021-01-04T00:00:00"/>
        <d v="2020-12-31T00:00:00"/>
        <d v="2020-12-30T00:00:00"/>
        <d v="2020-12-29T00:00:00"/>
        <d v="2020-12-28T00:00:00"/>
        <d v="2020-12-24T00:00:00"/>
        <d v="2020-12-23T00:00:00"/>
        <d v="2020-12-22T00:00:00"/>
        <d v="2020-12-21T00:00:00"/>
        <d v="2020-12-18T00:00:00"/>
        <d v="2020-12-17T00:00:00"/>
        <d v="2020-12-16T00:00:00"/>
        <d v="2020-12-15T00:00:00"/>
        <d v="2020-12-14T00:00:00"/>
        <d v="2020-12-11T00:00:00"/>
        <d v="2020-12-10T00:00:00"/>
        <d v="2020-12-09T00:00:00"/>
        <d v="2020-12-08T00:00:00"/>
        <d v="2020-12-07T00:00:00"/>
        <d v="2020-12-04T00:00:00"/>
        <d v="2020-12-03T00:00:00"/>
        <d v="2020-12-02T00:00:00"/>
        <d v="2020-12-01T00:00:00"/>
        <d v="2020-11-30T00:00:00"/>
        <d v="2020-11-27T00:00:00"/>
        <d v="2020-11-26T00:00:00"/>
        <d v="2020-11-25T00:00:00"/>
        <d v="2020-11-24T00:00:00"/>
        <d v="2020-11-23T00:00:00"/>
        <d v="2020-11-20T00:00:00"/>
        <d v="2020-11-19T00:00:00"/>
        <d v="2020-11-18T00:00:00"/>
        <d v="2020-11-17T00:00:00"/>
        <d v="2020-11-16T00:00:00"/>
        <d v="2020-11-13T00:00:00"/>
        <d v="2020-11-12T00:00:00"/>
        <d v="2020-11-11T00:00:00"/>
        <d v="2020-11-10T00:00:00"/>
        <d v="2020-11-09T00:00:00"/>
        <d v="2020-11-06T00:00:00"/>
        <d v="2020-11-05T00:00:00"/>
        <d v="2020-11-04T00:00:00"/>
        <d v="2020-11-03T00:00:00"/>
        <d v="2020-11-02T00:00:00"/>
        <d v="2020-10-30T00:00:00"/>
        <d v="2020-10-29T00:00:00"/>
        <d v="2020-10-28T00:00:00"/>
        <d v="2020-10-27T00:00:00"/>
        <d v="2020-10-26T00:00:00"/>
        <d v="2020-10-23T00:00:00"/>
        <d v="2020-10-22T00:00:00"/>
        <d v="2020-10-21T00:00:00"/>
        <d v="2020-10-20T00:00:00"/>
        <d v="2020-10-19T00:00:00"/>
        <d v="2020-10-16T00:00:00"/>
        <d v="2020-10-15T00:00:00"/>
        <d v="2020-10-14T00:00:00"/>
        <d v="2020-10-13T00:00:00"/>
        <d v="2020-10-12T00:00:00"/>
        <d v="2020-10-09T00:00:00"/>
        <d v="2020-10-08T00:00:00"/>
        <d v="2020-10-07T00:00:00"/>
        <d v="2020-10-06T00:00:00"/>
        <d v="2020-10-05T00:00:00"/>
        <d v="2020-10-02T00:00:00"/>
        <d v="2020-10-01T00:00:00"/>
        <d v="2020-09-30T00:00:00"/>
        <d v="2020-09-29T00:00:00"/>
        <d v="2020-09-28T00:00:00"/>
        <d v="2020-09-25T00:00:00"/>
        <d v="2020-09-24T00:00:00"/>
        <d v="2020-09-23T00:00:00"/>
        <d v="2020-09-22T00:00:00"/>
        <d v="2020-09-21T00:00:00"/>
        <d v="2020-09-18T00:00:00"/>
        <d v="2020-09-17T00:00:00"/>
        <d v="2020-09-16T00:00:00"/>
        <d v="2020-09-15T00:00:00"/>
        <d v="2020-09-14T00:00:00"/>
        <d v="2020-09-11T00:00:00"/>
        <d v="2020-09-10T00:00:00"/>
        <d v="2020-09-09T00:00:00"/>
        <d v="2020-09-08T00:00:00"/>
        <d v="2020-09-07T00:00:00"/>
        <d v="2020-09-04T00:00:00"/>
        <d v="2020-09-03T00:00:00"/>
        <d v="2020-09-02T00:00:00"/>
        <d v="2020-09-01T00:00:00"/>
        <d v="2020-08-31T00:00:00"/>
        <d v="2020-08-28T00:00:00"/>
        <d v="2020-08-27T00:00:00"/>
        <d v="2020-08-26T00:00:00"/>
        <d v="2020-08-25T00:00:00"/>
        <d v="2020-08-24T00:00:00"/>
        <d v="2020-08-21T00:00:00"/>
        <d v="2020-08-20T00:00:00"/>
        <d v="2020-08-19T00:00:00"/>
        <d v="2020-08-18T00:00:00"/>
        <d v="2020-08-17T00:00:00"/>
        <d v="2020-08-14T00:00:00"/>
        <d v="2020-08-13T00:00:00"/>
        <d v="2020-08-12T00:00:00"/>
        <d v="2020-08-11T00:00:00"/>
        <d v="2020-08-10T00:00:00"/>
        <d v="2020-08-07T00:00:00"/>
        <d v="2020-08-06T00:00:00"/>
        <d v="2020-08-05T00:00:00"/>
        <d v="2020-08-04T00:00:00"/>
        <d v="2020-08-03T00:00:00"/>
        <d v="2020-07-31T00:00:00"/>
        <d v="2020-07-30T00:00:00"/>
        <d v="2020-07-29T00:00:00"/>
        <d v="2020-07-28T00:00:00"/>
        <d v="2020-07-27T00:00:00"/>
        <d v="2020-07-24T00:00:00"/>
        <d v="2020-07-23T00:00:00"/>
        <d v="2020-07-22T00:00:00"/>
        <d v="2020-07-21T00:00:00"/>
        <d v="2020-07-20T00:00:00"/>
        <d v="2020-07-17T00:00:00"/>
        <d v="2020-07-16T00:00:00"/>
        <d v="2020-07-15T00:00:00"/>
        <d v="2020-07-14T00:00:00"/>
        <d v="2020-07-13T00:00:00"/>
        <d v="2020-07-10T00:00:00"/>
        <d v="2020-07-09T00:00:00"/>
        <d v="2020-07-08T00:00:00"/>
        <d v="2020-07-07T00:00:00"/>
        <d v="2020-07-06T00:00:00"/>
        <d v="2020-07-03T00:00:00"/>
        <d v="2020-07-02T00:00:00"/>
        <d v="2020-07-01T00:00:00"/>
        <d v="2020-06-30T00:00:00"/>
        <d v="2020-06-29T00:00:00"/>
        <d v="2020-06-26T00:00:00"/>
        <d v="2020-06-25T00:00:00"/>
        <d v="2020-06-24T00:00:00"/>
        <d v="2020-06-23T00:00:00"/>
        <d v="2020-06-22T00:00:00"/>
        <d v="2020-06-19T00:00:00"/>
        <d v="2020-06-18T00:00:00"/>
        <d v="2020-06-17T00:00:00"/>
        <d v="2020-06-16T00:00:00"/>
        <d v="2020-06-15T00:00:00"/>
        <d v="2020-06-12T00:00:00"/>
        <d v="2020-06-11T00:00:00"/>
        <d v="2020-06-10T00:00:00"/>
        <d v="2020-06-09T00:00:00"/>
        <d v="2020-06-08T00:00:00"/>
        <d v="2020-06-05T00:00:00"/>
        <d v="2020-06-04T00:00:00"/>
        <d v="2020-06-03T00:00:00"/>
        <d v="2020-06-02T00:00:00"/>
        <d v="2020-06-01T00:00:00"/>
        <d v="2020-05-29T00:00:00"/>
        <d v="2020-05-28T00:00:00"/>
        <d v="2020-05-27T00:00:00"/>
        <d v="2020-05-26T00:00:00"/>
        <d v="2020-05-22T00:00:00"/>
        <d v="2020-05-21T00:00:00"/>
        <d v="2020-05-20T00:00:00"/>
        <d v="2020-05-19T00:00:00"/>
        <d v="2020-05-18T00:00:00"/>
        <d v="2020-05-15T00:00:00"/>
        <d v="2020-05-14T00:00:00"/>
        <d v="2020-05-13T00:00:00"/>
        <d v="2020-05-12T00:00:00"/>
        <d v="2020-05-11T00:00:00"/>
        <d v="2020-05-08T00:00:00"/>
        <d v="2020-05-07T00:00:00"/>
        <d v="2020-05-06T00:00:00"/>
        <d v="2020-05-05T00:00:00"/>
        <d v="2020-05-04T00:00:00"/>
        <d v="2020-05-01T00:00:00"/>
        <d v="2020-04-30T00:00:00"/>
        <d v="2020-04-29T00:00:00"/>
        <d v="2020-04-28T00:00:00"/>
        <d v="2020-04-27T00:00:00"/>
        <d v="2020-04-24T00:00:00"/>
        <d v="2020-04-23T00:00:00"/>
        <d v="2020-04-22T00:00:00"/>
        <d v="2020-04-21T00:00:00"/>
        <d v="2020-04-20T00:00:00"/>
        <d v="2020-04-17T00:00:00"/>
        <d v="2020-04-16T00:00:00"/>
        <d v="2020-04-15T00:00:00"/>
        <d v="2020-04-14T00:00:00"/>
        <d v="2020-04-13T00:00:00"/>
        <d v="2020-04-09T00:00:00"/>
      </sharedItems>
    </cacheField>
    <cacheField name="Crude oil Price" numFmtId="165">
      <sharedItems containsSemiMixedTypes="0" containsString="0" containsNumber="1" minValue="0.49469999999999997" maxValue="3.9578000000000002"/>
    </cacheField>
    <cacheField name="Gasoline Price" numFmtId="165">
      <sharedItems containsSemiMixedTypes="0" containsString="0" containsNumber="1" minValue="12.41" maxValue="120.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OnLoad="1" refreshedBy="WolfPack" refreshedDate="44743.459176157405" createdVersion="8" refreshedVersion="8" minRefreshableVersion="3" recordCount="684" xr:uid="{CB8E42E0-1788-4A60-98C7-8627B30AC9E0}">
  <cacheSource type="worksheet">
    <worksheetSource name="Table1"/>
  </cacheSource>
  <cacheFields count="11">
    <cacheField name="Date" numFmtId="14">
      <sharedItems containsSemiMixedTypes="0" containsNonDate="0" containsDate="1" containsString="0" minDate="2019-10-31T00:00:00" maxDate="2022-06-28T00:00:00" count="689">
        <d v="2022-06-27T00:00:00"/>
        <d v="2022-06-24T00:00:00"/>
        <d v="2022-06-23T00:00:00"/>
        <d v="2022-06-22T00:00:00"/>
        <d v="2022-06-21T00:00:00"/>
        <d v="2022-06-17T00:00:00"/>
        <d v="2022-06-16T00:00:00"/>
        <d v="2022-06-15T00:00:00"/>
        <d v="2022-06-14T00:00:00"/>
        <d v="2022-06-13T00:00:00"/>
        <d v="2022-06-10T00:00:00"/>
        <d v="2022-06-09T00:00:00"/>
        <d v="2022-06-08T00:00:00"/>
        <d v="2022-06-07T00:00:00"/>
        <d v="2022-06-06T00:00:00"/>
        <d v="2022-06-03T00:00:00"/>
        <d v="2022-06-02T00:00:00"/>
        <d v="2022-06-01T00:00:00"/>
        <d v="2022-05-31T00:00:00"/>
        <d v="2022-05-30T00:00:00"/>
        <d v="2022-05-27T00:00:00"/>
        <d v="2022-05-26T00:00:00"/>
        <d v="2022-05-25T00:00:00"/>
        <d v="2022-05-24T00:00:00"/>
        <d v="2022-05-23T00:00:00"/>
        <d v="2022-05-20T00:00:00"/>
        <d v="2022-05-19T00:00:00"/>
        <d v="2022-05-18T00:00:00"/>
        <d v="2022-05-17T00:00:00"/>
        <d v="2022-05-16T00:00:00"/>
        <d v="2022-05-13T00:00:00"/>
        <d v="2022-05-12T00:00:00"/>
        <d v="2022-05-11T00:00:00"/>
        <d v="2022-05-10T00:00:00"/>
        <d v="2022-05-09T00:00:00"/>
        <d v="2022-05-06T00:00:00"/>
        <d v="2022-05-05T00:00:00"/>
        <d v="2022-05-04T00:00:00"/>
        <d v="2022-05-03T00:00:00"/>
        <d v="2022-05-02T00:00:00"/>
        <d v="2022-04-29T00:00:00"/>
        <d v="2022-04-28T00:00:00"/>
        <d v="2022-04-27T00:00:00"/>
        <d v="2022-04-26T00:00:00"/>
        <d v="2022-04-25T00:00:00"/>
        <d v="2022-04-22T00:00:00"/>
        <d v="2022-04-21T00:00:00"/>
        <d v="2022-04-20T00:00:00"/>
        <d v="2022-04-19T00:00:00"/>
        <d v="2022-04-18T00:00:00"/>
        <d v="2022-04-14T00:00:00"/>
        <d v="2022-04-13T00:00:00"/>
        <d v="2022-04-12T00:00:00"/>
        <d v="2022-04-11T00:00:00"/>
        <d v="2022-04-08T00:00:00"/>
        <d v="2022-04-07T00:00:00"/>
        <d v="2022-04-06T00:00:00"/>
        <d v="2022-04-05T00:00:00"/>
        <d v="2022-04-04T00:00:00"/>
        <d v="2022-04-01T00:00:00"/>
        <d v="2022-03-31T00:00:00"/>
        <d v="2022-03-30T00:00:00"/>
        <d v="2022-03-29T00:00:00"/>
        <d v="2022-03-28T00:00:00"/>
        <d v="2022-03-25T00:00:00"/>
        <d v="2022-03-24T00:00:00"/>
        <d v="2022-03-23T00:00:00"/>
        <d v="2022-03-22T00:00:00"/>
        <d v="2022-03-21T00:00:00"/>
        <d v="2022-03-18T00:00:00"/>
        <d v="2022-03-17T00:00:00"/>
        <d v="2022-03-16T00:00:00"/>
        <d v="2022-03-15T00:00:00"/>
        <d v="2022-03-14T00:00:00"/>
        <d v="2022-03-11T00:00:00"/>
        <d v="2022-03-10T00:00:00"/>
        <d v="2022-03-09T00:00:00"/>
        <d v="2022-03-08T00:00:00"/>
        <d v="2022-03-07T00:00:00"/>
        <d v="2022-03-04T00:00:00"/>
        <d v="2022-03-03T00:00:00"/>
        <d v="2022-03-02T00:00:00"/>
        <d v="2022-03-01T00:00:00"/>
        <d v="2022-02-28T00:00:00"/>
        <d v="2022-02-25T00:00:00"/>
        <d v="2022-02-24T00:00:00"/>
        <d v="2022-02-23T00:00:00"/>
        <d v="2022-02-22T00:00:00"/>
        <d v="2022-02-21T00:00:00"/>
        <d v="2022-02-18T00:00:00"/>
        <d v="2022-02-17T00:00:00"/>
        <d v="2022-02-16T00:00:00"/>
        <d v="2022-02-15T00:00:00"/>
        <d v="2022-02-14T00:00:00"/>
        <d v="2022-02-11T00:00:00"/>
        <d v="2022-02-10T00:00:00"/>
        <d v="2022-02-09T00:00:00"/>
        <d v="2022-02-08T00:00:00"/>
        <d v="2022-02-07T00:00:00"/>
        <d v="2022-02-04T00:00:00"/>
        <d v="2022-02-03T00:00:00"/>
        <d v="2022-02-02T00:00:00"/>
        <d v="2022-02-01T00:00:00"/>
        <d v="2022-01-31T00:00:00"/>
        <d v="2022-01-28T00:00:00"/>
        <d v="2022-01-27T00:00:00"/>
        <d v="2022-01-26T00:00:00"/>
        <d v="2022-01-25T00:00:00"/>
        <d v="2022-01-24T00:00:00"/>
        <d v="2022-01-21T00:00:00"/>
        <d v="2022-01-20T00:00:00"/>
        <d v="2022-01-19T00:00:00"/>
        <d v="2022-01-18T00:00:00"/>
        <d v="2022-01-17T00:00:00"/>
        <d v="2022-01-14T00:00:00"/>
        <d v="2022-01-13T00:00:00"/>
        <d v="2022-01-12T00:00:00"/>
        <d v="2022-01-11T00:00:00"/>
        <d v="2022-01-10T00:00:00"/>
        <d v="2022-01-07T00:00:00"/>
        <d v="2022-01-06T00:00:00"/>
        <d v="2022-01-05T00:00:00"/>
        <d v="2022-01-04T00:00:00"/>
        <d v="2022-01-03T00:00:00"/>
        <d v="2021-12-31T00:00:00"/>
        <d v="2021-12-30T00:00:00"/>
        <d v="2021-12-29T00:00:00"/>
        <d v="2021-12-28T00:00:00"/>
        <d v="2021-12-27T00:00:00"/>
        <d v="2021-12-24T00:00:00"/>
        <d v="2021-12-23T00:00:00"/>
        <d v="2021-12-22T00:00:00"/>
        <d v="2021-12-21T00:00:00"/>
        <d v="2021-12-20T00:00:00"/>
        <d v="2021-12-17T00:00:00"/>
        <d v="2021-12-16T00:00:00"/>
        <d v="2021-12-15T00:00:00"/>
        <d v="2021-12-14T00:00:00"/>
        <d v="2021-12-13T00:00:00"/>
        <d v="2021-12-10T00:00:00"/>
        <d v="2021-12-09T00:00:00"/>
        <d v="2021-12-08T00:00:00"/>
        <d v="2021-12-07T00:00:00"/>
        <d v="2021-12-06T00:00:00"/>
        <d v="2021-12-03T00:00:00"/>
        <d v="2021-12-02T00:00:00"/>
        <d v="2021-12-01T00:00:00"/>
        <d v="2021-11-30T00:00:00"/>
        <d v="2021-11-29T00:00:00"/>
        <d v="2021-11-26T00:00:00"/>
        <d v="2021-11-25T00:00:00"/>
        <d v="2021-11-24T00:00:00"/>
        <d v="2021-11-23T00:00:00"/>
        <d v="2021-11-22T00:00:00"/>
        <d v="2021-11-19T00:00:00"/>
        <d v="2021-11-18T00:00:00"/>
        <d v="2021-11-17T00:00:00"/>
        <d v="2021-11-16T00:00:00"/>
        <d v="2021-11-15T00:00:00"/>
        <d v="2021-11-12T00:00:00"/>
        <d v="2021-11-11T00:00:00"/>
        <d v="2021-11-10T00:00:00"/>
        <d v="2021-11-09T00:00:00"/>
        <d v="2021-11-08T00:00:00"/>
        <d v="2021-11-05T00:00:00"/>
        <d v="2021-11-04T00:00:00"/>
        <d v="2021-11-03T00:00:00"/>
        <d v="2021-11-02T00:00:00"/>
        <d v="2021-11-01T00:00:00"/>
        <d v="2021-10-29T00:00:00"/>
        <d v="2021-10-28T00:00:00"/>
        <d v="2021-10-27T00:00:00"/>
        <d v="2021-10-26T00:00:00"/>
        <d v="2021-10-25T00:00:00"/>
        <d v="2021-10-22T00:00:00"/>
        <d v="2021-10-21T00:00:00"/>
        <d v="2021-10-20T00:00:00"/>
        <d v="2021-10-19T00:00:00"/>
        <d v="2021-10-18T00:00:00"/>
        <d v="2021-10-15T00:00:00"/>
        <d v="2021-10-14T00:00:00"/>
        <d v="2021-10-13T00:00:00"/>
        <d v="2021-10-12T00:00:00"/>
        <d v="2021-10-11T00:00:00"/>
        <d v="2021-10-08T00:00:00"/>
        <d v="2021-10-07T00:00:00"/>
        <d v="2021-10-06T00:00:00"/>
        <d v="2021-10-05T00:00:00"/>
        <d v="2021-10-04T00:00:00"/>
        <d v="2021-10-01T00:00:00"/>
        <d v="2021-09-30T00:00:00"/>
        <d v="2021-09-29T00:00:00"/>
        <d v="2021-09-28T00:00:00"/>
        <d v="2021-09-27T00:00:00"/>
        <d v="2021-09-24T00:00:00"/>
        <d v="2021-09-23T00:00:00"/>
        <d v="2021-09-22T00:00:00"/>
        <d v="2021-09-21T00:00:00"/>
        <d v="2021-09-20T00:00:00"/>
        <d v="2021-09-17T00:00:00"/>
        <d v="2021-09-16T00:00:00"/>
        <d v="2021-09-15T00:00:00"/>
        <d v="2021-09-14T00:00:00"/>
        <d v="2021-09-13T00:00:00"/>
        <d v="2021-09-10T00:00:00"/>
        <d v="2021-09-09T00:00:00"/>
        <d v="2021-09-08T00:00:00"/>
        <d v="2021-09-07T00:00:00"/>
        <d v="2021-09-06T00:00:00"/>
        <d v="2021-09-03T00:00:00"/>
        <d v="2021-09-02T00:00:00"/>
        <d v="2021-09-01T00:00:00"/>
        <d v="2021-08-31T00:00:00"/>
        <d v="2021-08-30T00:00:00"/>
        <d v="2021-08-27T00:00:00"/>
        <d v="2021-08-26T00:00:00"/>
        <d v="2021-08-25T00:00:00"/>
        <d v="2021-08-24T00:00:00"/>
        <d v="2021-08-23T00:00:00"/>
        <d v="2021-08-20T00:00:00"/>
        <d v="2021-08-19T00:00:00"/>
        <d v="2021-08-18T00:00:00"/>
        <d v="2021-08-17T00:00:00"/>
        <d v="2021-08-16T00:00:00"/>
        <d v="2021-08-13T00:00:00"/>
        <d v="2021-08-12T00:00:00"/>
        <d v="2021-08-11T00:00:00"/>
        <d v="2021-08-10T00:00:00"/>
        <d v="2021-08-09T00:00:00"/>
        <d v="2021-08-06T00:00:00"/>
        <d v="2021-08-05T00:00:00"/>
        <d v="2021-08-04T00:00:00"/>
        <d v="2021-08-03T00:00:00"/>
        <d v="2021-08-02T00:00:00"/>
        <d v="2021-07-30T00:00:00"/>
        <d v="2021-07-29T00:00:00"/>
        <d v="2021-07-28T00:00:00"/>
        <d v="2021-07-27T00:00:00"/>
        <d v="2021-07-26T00:00:00"/>
        <d v="2021-07-23T00:00:00"/>
        <d v="2021-07-22T00:00:00"/>
        <d v="2021-07-21T00:00:00"/>
        <d v="2021-07-20T00:00:00"/>
        <d v="2021-07-19T00:00:00"/>
        <d v="2021-07-16T00:00:00"/>
        <d v="2021-07-15T00:00:00"/>
        <d v="2021-07-14T00:00:00"/>
        <d v="2021-07-13T00:00:00"/>
        <d v="2021-07-12T00:00:00"/>
        <d v="2021-07-09T00:00:00"/>
        <d v="2021-07-08T00:00:00"/>
        <d v="2021-07-07T00:00:00"/>
        <d v="2021-07-06T00:00:00"/>
        <d v="2021-07-05T00:00:00"/>
        <d v="2021-07-02T00:00:00"/>
        <d v="2021-07-01T00:00:00"/>
        <d v="2021-06-30T00:00:00"/>
        <d v="2021-06-29T00:00:00"/>
        <d v="2021-06-28T00:00:00"/>
        <d v="2021-06-25T00:00:00"/>
        <d v="2021-06-24T00:00:00"/>
        <d v="2021-06-23T00:00:00"/>
        <d v="2021-06-22T00:00:00"/>
        <d v="2021-06-21T00:00:00"/>
        <d v="2021-06-18T00:00:00"/>
        <d v="2021-06-17T00:00:00"/>
        <d v="2021-06-16T00:00:00"/>
        <d v="2021-06-15T00:00:00"/>
        <d v="2021-06-14T00:00:00"/>
        <d v="2021-06-11T00:00:00"/>
        <d v="2021-06-10T00:00:00"/>
        <d v="2021-06-09T00:00:00"/>
        <d v="2021-06-08T00:00:00"/>
        <d v="2021-06-07T00:00:00"/>
        <d v="2021-06-04T00:00:00"/>
        <d v="2021-06-03T00:00:00"/>
        <d v="2021-06-02T00:00:00"/>
        <d v="2021-06-01T00:00:00"/>
        <d v="2021-05-31T00:00:00"/>
        <d v="2021-05-28T00:00:00"/>
        <d v="2021-05-27T00:00:00"/>
        <d v="2021-05-26T00:00:00"/>
        <d v="2021-05-25T00:00:00"/>
        <d v="2021-05-24T00:00:00"/>
        <d v="2021-05-21T00:00:00"/>
        <d v="2021-05-20T00:00:00"/>
        <d v="2021-05-19T00:00:00"/>
        <d v="2021-05-18T00:00:00"/>
        <d v="2021-05-17T00:00:00"/>
        <d v="2021-05-14T00:00:00"/>
        <d v="2021-05-13T00:00:00"/>
        <d v="2021-05-12T00:00:00"/>
        <d v="2021-05-11T00:00:00"/>
        <d v="2021-05-10T00:00:00"/>
        <d v="2021-05-07T00:00:00"/>
        <d v="2021-05-06T00:00:00"/>
        <d v="2021-05-05T00:00:00"/>
        <d v="2021-05-04T00:00:00"/>
        <d v="2021-05-03T00:00:00"/>
        <d v="2021-04-30T00:00:00"/>
        <d v="2021-04-29T00:00:00"/>
        <d v="2021-04-28T00:00:00"/>
        <d v="2021-04-27T00:00:00"/>
        <d v="2021-04-26T00:00:00"/>
        <d v="2021-04-23T00:00:00"/>
        <d v="2021-04-22T00:00:00"/>
        <d v="2021-04-21T00:00:00"/>
        <d v="2021-04-20T00:00:00"/>
        <d v="2021-04-19T00:00:00"/>
        <d v="2021-04-16T00:00:00"/>
        <d v="2021-04-15T00:00:00"/>
        <d v="2021-04-14T00:00:00"/>
        <d v="2021-04-13T00:00:00"/>
        <d v="2021-04-12T00:00:00"/>
        <d v="2021-04-09T00:00:00"/>
        <d v="2021-04-08T00:00:00"/>
        <d v="2021-04-07T00:00:00"/>
        <d v="2021-04-06T00:00:00"/>
        <d v="2021-04-05T00:00:00"/>
        <d v="2021-04-01T00:00:00"/>
        <d v="2021-03-31T00:00:00"/>
        <d v="2021-03-30T00:00:00"/>
        <d v="2021-03-29T00:00:00"/>
        <d v="2021-03-26T00:00:00"/>
        <d v="2021-03-25T00:00:00"/>
        <d v="2021-03-24T00:00:00"/>
        <d v="2021-03-23T00:00:00"/>
        <d v="2021-03-22T00:00:00"/>
        <d v="2021-03-19T00:00:00"/>
        <d v="2021-03-18T00:00:00"/>
        <d v="2021-03-17T00:00:00"/>
        <d v="2021-03-16T00:00:00"/>
        <d v="2021-03-15T00:00:00"/>
        <d v="2021-03-12T00:00:00"/>
        <d v="2021-03-11T00:00:00"/>
        <d v="2021-03-10T00:00:00"/>
        <d v="2021-03-09T00:00:00"/>
        <d v="2021-03-08T00:00:00"/>
        <d v="2021-03-05T00:00:00"/>
        <d v="2021-03-04T00:00:00"/>
        <d v="2021-03-03T00:00:00"/>
        <d v="2021-03-02T00:00:00"/>
        <d v="2021-03-01T00:00:00"/>
        <d v="2021-02-26T00:00:00"/>
        <d v="2021-02-25T00:00:00"/>
        <d v="2021-02-24T00:00:00"/>
        <d v="2021-02-23T00:00:00"/>
        <d v="2021-02-22T00:00:00"/>
        <d v="2021-02-19T00:00:00"/>
        <d v="2021-02-18T00:00:00"/>
        <d v="2021-02-17T00:00:00"/>
        <d v="2021-02-16T00:00:00"/>
        <d v="2021-02-15T00:00:00"/>
        <d v="2021-02-12T00:00:00"/>
        <d v="2021-02-11T00:00:00"/>
        <d v="2021-02-10T00:00:00"/>
        <d v="2021-02-09T00:00:00"/>
        <d v="2021-02-08T00:00:00"/>
        <d v="2021-02-05T00:00:00"/>
        <d v="2021-02-04T00:00:00"/>
        <d v="2021-02-03T00:00:00"/>
        <d v="2021-02-02T00:00:00"/>
        <d v="2021-02-01T00:00:00"/>
        <d v="2021-01-29T00:00:00"/>
        <d v="2021-01-28T00:00:00"/>
        <d v="2021-01-27T00:00:00"/>
        <d v="2021-01-26T00:00:00"/>
        <d v="2021-01-25T00:00:00"/>
        <d v="2021-01-22T00:00:00"/>
        <d v="2021-01-21T00:00:00"/>
        <d v="2021-01-20T00:00:00"/>
        <d v="2021-01-19T00:00:00"/>
        <d v="2021-01-18T00:00:00"/>
        <d v="2021-01-15T00:00:00"/>
        <d v="2021-01-14T00:00:00"/>
        <d v="2021-01-13T00:00:00"/>
        <d v="2021-01-12T00:00:00"/>
        <d v="2021-01-11T00:00:00"/>
        <d v="2021-01-08T00:00:00"/>
        <d v="2021-01-07T00:00:00"/>
        <d v="2021-01-06T00:00:00"/>
        <d v="2021-01-05T00:00:00"/>
        <d v="2021-01-04T00:00:00"/>
        <d v="2020-12-31T00:00:00"/>
        <d v="2020-12-30T00:00:00"/>
        <d v="2020-12-29T00:00:00"/>
        <d v="2020-12-28T00:00:00"/>
        <d v="2020-12-24T00:00:00"/>
        <d v="2020-12-23T00:00:00"/>
        <d v="2020-12-22T00:00:00"/>
        <d v="2020-12-21T00:00:00"/>
        <d v="2020-12-18T00:00:00"/>
        <d v="2020-12-17T00:00:00"/>
        <d v="2020-12-16T00:00:00"/>
        <d v="2020-12-15T00:00:00"/>
        <d v="2020-12-14T00:00:00"/>
        <d v="2020-12-11T00:00:00"/>
        <d v="2020-12-10T00:00:00"/>
        <d v="2020-12-09T00:00:00"/>
        <d v="2020-12-08T00:00:00"/>
        <d v="2020-12-07T00:00:00"/>
        <d v="2020-12-04T00:00:00"/>
        <d v="2020-12-03T00:00:00"/>
        <d v="2020-12-02T00:00:00"/>
        <d v="2020-12-01T00:00:00"/>
        <d v="2020-11-30T00:00:00"/>
        <d v="2020-11-27T00:00:00"/>
        <d v="2020-11-26T00:00:00"/>
        <d v="2020-11-25T00:00:00"/>
        <d v="2020-11-24T00:00:00"/>
        <d v="2020-11-23T00:00:00"/>
        <d v="2020-11-20T00:00:00"/>
        <d v="2020-11-19T00:00:00"/>
        <d v="2020-11-18T00:00:00"/>
        <d v="2020-11-17T00:00:00"/>
        <d v="2020-11-16T00:00:00"/>
        <d v="2020-11-13T00:00:00"/>
        <d v="2020-11-12T00:00:00"/>
        <d v="2020-11-11T00:00:00"/>
        <d v="2020-11-10T00:00:00"/>
        <d v="2020-11-09T00:00:00"/>
        <d v="2020-11-06T00:00:00"/>
        <d v="2020-11-05T00:00:00"/>
        <d v="2020-11-04T00:00:00"/>
        <d v="2020-11-03T00:00:00"/>
        <d v="2020-11-02T00:00:00"/>
        <d v="2020-10-30T00:00:00"/>
        <d v="2020-10-29T00:00:00"/>
        <d v="2020-10-28T00:00:00"/>
        <d v="2020-10-27T00:00:00"/>
        <d v="2020-10-26T00:00:00"/>
        <d v="2020-10-23T00:00:00"/>
        <d v="2020-10-22T00:00:00"/>
        <d v="2020-10-21T00:00:00"/>
        <d v="2020-10-20T00:00:00"/>
        <d v="2020-10-19T00:00:00"/>
        <d v="2020-10-16T00:00:00"/>
        <d v="2020-10-15T00:00:00"/>
        <d v="2020-10-14T00:00:00"/>
        <d v="2020-10-13T00:00:00"/>
        <d v="2020-10-12T00:00:00"/>
        <d v="2020-10-09T00:00:00"/>
        <d v="2020-10-08T00:00:00"/>
        <d v="2020-10-07T00:00:00"/>
        <d v="2020-10-06T00:00:00"/>
        <d v="2020-10-05T00:00:00"/>
        <d v="2020-10-02T00:00:00"/>
        <d v="2020-10-01T00:00:00"/>
        <d v="2020-09-30T00:00:00"/>
        <d v="2020-09-29T00:00:00"/>
        <d v="2020-09-28T00:00:00"/>
        <d v="2020-09-25T00:00:00"/>
        <d v="2020-09-24T00:00:00"/>
        <d v="2020-09-23T00:00:00"/>
        <d v="2020-09-22T00:00:00"/>
        <d v="2020-09-21T00:00:00"/>
        <d v="2020-09-18T00:00:00"/>
        <d v="2020-09-17T00:00:00"/>
        <d v="2020-09-16T00:00:00"/>
        <d v="2020-09-15T00:00:00"/>
        <d v="2020-09-14T00:00:00"/>
        <d v="2020-09-11T00:00:00"/>
        <d v="2020-09-10T00:00:00"/>
        <d v="2020-09-09T00:00:00"/>
        <d v="2020-09-08T00:00:00"/>
        <d v="2020-09-07T00:00:00"/>
        <d v="2020-09-04T00:00:00"/>
        <d v="2020-09-03T00:00:00"/>
        <d v="2020-09-02T00:00:00"/>
        <d v="2020-09-01T00:00:00"/>
        <d v="2020-08-31T00:00:00"/>
        <d v="2020-08-28T00:00:00"/>
        <d v="2020-08-27T00:00:00"/>
        <d v="2020-08-26T00:00:00"/>
        <d v="2020-08-25T00:00:00"/>
        <d v="2020-08-24T00:00:00"/>
        <d v="2020-08-21T00:00:00"/>
        <d v="2020-08-20T00:00:00"/>
        <d v="2020-08-19T00:00:00"/>
        <d v="2020-08-18T00:00:00"/>
        <d v="2020-08-17T00:00:00"/>
        <d v="2020-08-14T00:00:00"/>
        <d v="2020-08-13T00:00:00"/>
        <d v="2020-08-12T00:00:00"/>
        <d v="2020-08-11T00:00:00"/>
        <d v="2020-08-10T00:00:00"/>
        <d v="2020-08-07T00:00:00"/>
        <d v="2020-08-06T00:00:00"/>
        <d v="2020-08-05T00:00:00"/>
        <d v="2020-08-04T00:00:00"/>
        <d v="2020-08-03T00:00:00"/>
        <d v="2020-07-31T00:00:00"/>
        <d v="2020-07-30T00:00:00"/>
        <d v="2020-07-29T00:00:00"/>
        <d v="2020-07-28T00:00:00"/>
        <d v="2020-07-27T00:00:00"/>
        <d v="2020-07-24T00:00:00"/>
        <d v="2020-07-23T00:00:00"/>
        <d v="2020-07-22T00:00:00"/>
        <d v="2020-07-21T00:00:00"/>
        <d v="2020-07-20T00:00:00"/>
        <d v="2020-07-17T00:00:00"/>
        <d v="2020-07-16T00:00:00"/>
        <d v="2020-07-15T00:00:00"/>
        <d v="2020-07-14T00:00:00"/>
        <d v="2020-07-13T00:00:00"/>
        <d v="2020-07-10T00:00:00"/>
        <d v="2020-07-09T00:00:00"/>
        <d v="2020-07-08T00:00:00"/>
        <d v="2020-07-07T00:00:00"/>
        <d v="2020-07-06T00:00:00"/>
        <d v="2020-07-03T00:00:00"/>
        <d v="2020-07-02T00:00:00"/>
        <d v="2020-07-01T00:00:00"/>
        <d v="2020-06-30T00:00:00"/>
        <d v="2020-06-29T00:00:00"/>
        <d v="2020-06-26T00:00:00"/>
        <d v="2020-06-25T00:00:00"/>
        <d v="2020-06-24T00:00:00"/>
        <d v="2020-06-23T00:00:00"/>
        <d v="2020-06-22T00:00:00"/>
        <d v="2020-06-19T00:00:00"/>
        <d v="2020-06-18T00:00:00"/>
        <d v="2020-06-17T00:00:00"/>
        <d v="2020-06-16T00:00:00"/>
        <d v="2020-06-15T00:00:00"/>
        <d v="2020-06-12T00:00:00"/>
        <d v="2020-06-11T00:00:00"/>
        <d v="2020-06-10T00:00:00"/>
        <d v="2020-06-09T00:00:00"/>
        <d v="2020-06-08T00:00:00"/>
        <d v="2020-06-05T00:00:00"/>
        <d v="2020-06-04T00:00:00"/>
        <d v="2020-06-03T00:00:00"/>
        <d v="2020-06-02T00:00:00"/>
        <d v="2020-06-01T00:00:00"/>
        <d v="2020-05-29T00:00:00"/>
        <d v="2020-05-28T00:00:00"/>
        <d v="2020-05-27T00:00:00"/>
        <d v="2020-05-26T00:00:00"/>
        <d v="2020-05-22T00:00:00"/>
        <d v="2020-05-21T00:00:00"/>
        <d v="2020-05-20T00:00:00"/>
        <d v="2020-05-19T00:00:00"/>
        <d v="2020-05-18T00:00:00"/>
        <d v="2020-05-15T00:00:00"/>
        <d v="2020-05-14T00:00:00"/>
        <d v="2020-05-13T00:00:00"/>
        <d v="2020-05-12T00:00:00"/>
        <d v="2020-05-11T00:00:00"/>
        <d v="2020-05-08T00:00:00"/>
        <d v="2020-05-07T00:00:00"/>
        <d v="2020-05-06T00:00:00"/>
        <d v="2020-05-05T00:00:00"/>
        <d v="2020-05-04T00:00:00"/>
        <d v="2020-05-01T00:00:00"/>
        <d v="2020-04-30T00:00:00"/>
        <d v="2020-04-29T00:00:00"/>
        <d v="2020-04-28T00:00:00"/>
        <d v="2020-04-27T00:00:00"/>
        <d v="2020-04-24T00:00:00"/>
        <d v="2020-04-23T00:00:00"/>
        <d v="2020-04-22T00:00:00"/>
        <d v="2020-04-21T00:00:00"/>
        <d v="2020-04-20T00:00:00"/>
        <d v="2020-04-17T00:00:00"/>
        <d v="2020-04-16T00:00:00"/>
        <d v="2020-04-15T00:00:00"/>
        <d v="2020-04-14T00:00:00"/>
        <d v="2020-04-13T00:00:00"/>
        <d v="2020-04-09T00:00:00"/>
        <d v="2020-04-08T00:00:00"/>
        <d v="2020-04-07T00:00:00"/>
        <d v="2020-04-06T00:00:00"/>
        <d v="2020-04-03T00:00:00"/>
        <d v="2020-04-02T00:00:00"/>
        <d v="2020-04-01T00:00:00"/>
        <d v="2020-03-31T00:00:00"/>
        <d v="2020-03-30T00:00:00"/>
        <d v="2020-03-27T00:00:00"/>
        <d v="2020-03-26T00:00:00"/>
        <d v="2020-03-25T00:00:00"/>
        <d v="2020-03-24T00:00:00"/>
        <d v="2020-03-23T00:00:00"/>
        <d v="2020-03-20T00:00:00"/>
        <d v="2020-03-19T00:00:00"/>
        <d v="2020-03-18T00:00:00"/>
        <d v="2020-03-17T00:00:00"/>
        <d v="2020-03-16T00:00:00"/>
        <d v="2020-03-13T00:00:00"/>
        <d v="2020-03-12T00:00:00"/>
        <d v="2020-03-11T00:00:00"/>
        <d v="2020-03-10T00:00:00"/>
        <d v="2020-03-09T00:00:00"/>
        <d v="2020-03-06T00:00:00"/>
        <d v="2020-03-05T00:00:00"/>
        <d v="2020-03-04T00:00:00"/>
        <d v="2020-03-03T00:00:00"/>
        <d v="2020-03-02T00:00:00"/>
        <d v="2020-02-28T00:00:00"/>
        <d v="2020-02-27T00:00:00"/>
        <d v="2020-02-26T00:00:00"/>
        <d v="2020-02-25T00:00:00"/>
        <d v="2020-02-24T00:00:00"/>
        <d v="2020-02-21T00:00:00"/>
        <d v="2020-02-20T00:00:00"/>
        <d v="2020-02-19T00:00:00"/>
        <d v="2020-02-18T00:00:00"/>
        <d v="2020-02-17T00:00:00"/>
        <d v="2020-02-14T00:00:00"/>
        <d v="2020-02-13T00:00:00"/>
        <d v="2020-02-12T00:00:00"/>
        <d v="2020-02-11T00:00:00"/>
        <d v="2020-02-10T00:00:00"/>
        <d v="2020-02-07T00:00:00"/>
        <d v="2020-02-06T00:00:00"/>
        <d v="2020-02-05T00:00:00"/>
        <d v="2020-02-04T00:00:00"/>
        <d v="2020-02-03T00:00:00"/>
        <d v="2020-01-31T00:00:00"/>
        <d v="2020-01-30T00:00:00"/>
        <d v="2020-01-29T00:00:00"/>
        <d v="2020-01-28T00:00:00"/>
        <d v="2020-01-27T00:00:00"/>
        <d v="2020-01-24T00:00:00"/>
        <d v="2020-01-23T00:00:00"/>
        <d v="2020-01-22T00:00:00"/>
        <d v="2020-01-21T00:00:00"/>
        <d v="2020-01-20T00:00:00"/>
        <d v="2020-01-17T00:00:00"/>
        <d v="2020-01-16T00:00:00"/>
        <d v="2020-01-15T00:00:00"/>
        <d v="2020-01-14T00:00:00"/>
        <d v="2020-01-13T00:00:00"/>
        <d v="2020-01-10T00:00:00"/>
        <d v="2020-01-09T00:00:00"/>
        <d v="2020-01-08T00:00:00"/>
        <d v="2020-01-07T00:00:00"/>
        <d v="2020-01-06T00:00:00"/>
        <d v="2020-01-03T00:00:00"/>
        <d v="2020-01-02T00:00:00"/>
        <d v="2019-12-31T00:00:00"/>
        <d v="2019-12-30T00:00:00"/>
        <d v="2019-12-27T00:00:00"/>
        <d v="2019-12-26T00:00:00"/>
        <d v="2019-12-24T00:00:00"/>
        <d v="2019-12-23T00:00:00"/>
        <d v="2019-12-20T00:00:00"/>
        <d v="2019-12-19T00:00:00"/>
        <d v="2019-12-18T00:00:00"/>
        <d v="2019-12-17T00:00:00"/>
        <d v="2019-12-16T00:00:00"/>
        <d v="2019-12-13T00:00:00"/>
        <d v="2019-12-12T00:00:00"/>
        <d v="2019-12-11T00:00:00"/>
        <d v="2019-12-10T00:00:00"/>
        <d v="2019-12-09T00:00:00"/>
        <d v="2019-12-06T00:00:00"/>
        <d v="2019-12-05T00:00:00"/>
        <d v="2019-12-04T00:00:00"/>
        <d v="2019-12-03T00:00:00"/>
        <d v="2019-12-02T00:00:00"/>
        <d v="2019-11-29T00:00:00"/>
        <d v="2019-11-28T00:00:00"/>
        <d v="2019-11-27T00:00:00"/>
        <d v="2019-11-26T00:00:00"/>
        <d v="2019-11-25T00:00:00"/>
        <d v="2019-11-22T00:00:00"/>
        <d v="2019-11-21T00:00:00"/>
        <d v="2019-11-20T00:00:00"/>
        <d v="2019-11-19T00:00:00"/>
        <d v="2019-11-18T00:00:00"/>
        <d v="2019-11-15T00:00:00"/>
        <d v="2019-11-14T00:00:00"/>
        <d v="2019-11-13T00:00:00"/>
        <d v="2019-11-12T00:00:00"/>
        <d v="2019-11-11T00:00:00"/>
        <d v="2019-11-08T00:00:00"/>
        <d v="2019-11-07T00:00:00"/>
        <d v="2019-11-06T00:00:00"/>
        <d v="2019-11-05T00:00:00"/>
        <d v="2019-11-04T00:00:00"/>
        <d v="2019-11-01T00:00:00"/>
        <d v="2019-10-31T00:00:00"/>
        <d v="2022-06-18T00:00:00" u="1"/>
        <d v="2022-06-20T00:00:00" u="1"/>
        <d v="2022-06-26T00:00:00" u="1"/>
        <d v="2022-06-19T00:00:00" u="1"/>
        <d v="2022-06-25T00:00:00" u="1"/>
      </sharedItems>
    </cacheField>
    <cacheField name="WTI Crude" numFmtId="165">
      <sharedItems containsSemiMixedTypes="0" containsString="0" containsNumber="1" minValue="15.5" maxValue="120.3"/>
    </cacheField>
    <cacheField name="Opec Basket" numFmtId="165">
      <sharedItems containsSemiMixedTypes="0" containsString="0" containsNumber="1" minValue="12.22" maxValue="128.27000000000001"/>
    </cacheField>
    <cacheField name="Brent Crude" numFmtId="165">
      <sharedItems containsSemiMixedTypes="0" containsString="0" containsNumber="1" minValue="19.329999999999998" maxValue="127.98"/>
    </cacheField>
    <cacheField name="WCS" numFmtId="0">
      <sharedItems containsBlank="1" containsMixedTypes="1" containsNumber="1" minValue="45.13" maxValue="108.01"/>
    </cacheField>
    <cacheField name="Which is Cheaper_V1" numFmtId="0">
      <sharedItems containsSemiMixedTypes="0" containsString="0" containsNumber="1" containsInteger="1" minValue="1" maxValue="4"/>
    </cacheField>
    <cacheField name="Which is Cheaper?" numFmtId="0">
      <sharedItems/>
    </cacheField>
    <cacheField name="Price?" numFmtId="165">
      <sharedItems containsSemiMixedTypes="0" containsString="0" containsNumber="1" minValue="12.22" maxValue="119.78"/>
    </cacheField>
    <cacheField name="Gasoline" numFmtId="165">
      <sharedItems containsSemiMixedTypes="0" containsString="0" containsNumber="1" minValue="0.49469999999999997" maxValue="4.2762000000000002"/>
    </cacheField>
    <cacheField name="GasP" numFmtId="44">
      <sharedItems containsString="0" containsBlank="1" containsNumber="1" minValue="1.7336999999999998" maxValue="4.6900000000000004"/>
    </cacheField>
    <cacheField name="RBOB to Retail Diff" numFmtId="44">
      <sharedItems containsSemiMixedTypes="0" containsString="0" containsNumber="1" minValue="-3.8405" maxValue="1.1885000000000003"/>
    </cacheField>
  </cacheFields>
  <extLst>
    <ext xmlns:x14="http://schemas.microsoft.com/office/spreadsheetml/2009/9/main" uri="{725AE2AE-9491-48be-B2B4-4EB974FC3084}">
      <x14:pivotCacheDefinition pivotCacheId="627302700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49">
  <r>
    <x v="0"/>
    <n v="3.6897000000000002"/>
    <n v="119.24"/>
  </r>
  <r>
    <x v="1"/>
    <n v="3.6802000000000001"/>
    <n v="119.84"/>
  </r>
  <r>
    <x v="2"/>
    <n v="3.6897000000000002"/>
    <n v="120.3"/>
  </r>
  <r>
    <x v="3"/>
    <n v="3.6776"/>
    <n v="118.25"/>
  </r>
  <r>
    <x v="4"/>
    <n v="3.5912999999999999"/>
    <n v="117.47"/>
  </r>
  <r>
    <x v="5"/>
    <n v="3.7763"/>
    <n v="117.15"/>
  </r>
  <r>
    <x v="6"/>
    <n v="3.8405"/>
    <n v="114.62"/>
  </r>
  <r>
    <x v="7"/>
    <n v="3.9578000000000002"/>
    <n v="114.41"/>
  </r>
  <r>
    <x v="8"/>
    <n v="3.7917000000000001"/>
    <n v="109.26"/>
  </r>
  <r>
    <x v="9"/>
    <n v="3.6855000000000002"/>
    <n v="109.28"/>
  </r>
  <r>
    <x v="10"/>
    <n v="3.5415000000000001"/>
    <n v="109.19"/>
  </r>
  <r>
    <x v="11"/>
    <n v="3.6419000000000001"/>
    <n v="108.65"/>
  </r>
  <r>
    <x v="12"/>
    <n v="3.7589999999999999"/>
    <n v="108.54"/>
  </r>
  <r>
    <x v="13"/>
    <n v="3.6587000000000001"/>
    <n v="108.67"/>
  </r>
  <r>
    <x v="14"/>
    <n v="3.6522999999999999"/>
    <n v="108.66"/>
  </r>
  <r>
    <x v="15"/>
    <n v="3.5011999999999999"/>
    <n v="108.5"/>
  </r>
  <r>
    <x v="16"/>
    <n v="3.5101"/>
    <n v="107.44"/>
  </r>
  <r>
    <x v="17"/>
    <n v="3.4424000000000001"/>
    <n v="108.58"/>
  </r>
  <r>
    <x v="18"/>
    <n v="3.4759000000000002"/>
    <n v="109.55"/>
  </r>
  <r>
    <x v="19"/>
    <n v="3.4135"/>
    <n v="107.75"/>
  </r>
  <r>
    <x v="20"/>
    <n v="3.3109999999999999"/>
    <n v="105.3"/>
  </r>
  <r>
    <x v="21"/>
    <n v="3.2206000000000001"/>
    <n v="105.05"/>
  </r>
  <r>
    <x v="22"/>
    <n v="3.286"/>
    <n v="101.19"/>
  </r>
  <r>
    <x v="23"/>
    <n v="3.3174999999999999"/>
    <n v="103.57"/>
  </r>
  <r>
    <x v="24"/>
    <n v="3.2618"/>
    <n v="108.62"/>
  </r>
  <r>
    <x v="25"/>
    <n v="3.2288999999999999"/>
    <n v="107.38"/>
  </r>
  <r>
    <x v="26"/>
    <n v="3.3580000000000001"/>
    <n v="106.97"/>
  </r>
  <r>
    <x v="27"/>
    <n v="3.3814000000000002"/>
    <n v="102.11"/>
  </r>
  <r>
    <x v="28"/>
    <n v="3.2913000000000001"/>
    <n v="104.67"/>
  </r>
  <r>
    <x v="29"/>
    <n v="3.1537999999999999"/>
    <n v="101.64"/>
  </r>
  <r>
    <x v="30"/>
    <n v="3.0030999999999999"/>
    <n v="101.67"/>
  </r>
  <r>
    <x v="31"/>
    <n v="3.1316000000000002"/>
    <n v="101.34"/>
  </r>
  <r>
    <x v="32"/>
    <n v="3.0398000000000001"/>
    <n v="101.29"/>
  </r>
  <r>
    <x v="33"/>
    <n v="3.0461999999999998"/>
    <n v="100.66"/>
  </r>
  <r>
    <x v="34"/>
    <n v="3.1648999999999998"/>
    <n v="101.54"/>
  </r>
  <r>
    <x v="35"/>
    <n v="3.1981000000000002"/>
    <n v="102.06"/>
  </r>
  <r>
    <x v="36"/>
    <n v="3.1535000000000002"/>
    <n v="101.5"/>
  </r>
  <r>
    <x v="37"/>
    <n v="3.1509"/>
    <n v="101.44"/>
  </r>
  <r>
    <x v="38"/>
    <n v="3.2864"/>
    <n v="103.95"/>
  </r>
  <r>
    <x v="39"/>
    <n v="3.1766999999999999"/>
    <n v="103.33"/>
  </r>
  <r>
    <x v="40"/>
    <n v="3.1962000000000002"/>
    <n v="101.89"/>
  </r>
  <r>
    <x v="41"/>
    <n v="3.4363000000000001"/>
    <n v="99.7"/>
  </r>
  <r>
    <x v="42"/>
    <n v="3.3689"/>
    <n v="95.63"/>
  </r>
  <r>
    <x v="43"/>
    <n v="3.4195000000000002"/>
    <n v="98.35"/>
  </r>
  <r>
    <x v="44"/>
    <n v="3.3046000000000002"/>
    <n v="96.68"/>
  </r>
  <r>
    <x v="45"/>
    <n v="3.3378999999999999"/>
    <n v="96.73"/>
  </r>
  <r>
    <x v="46"/>
    <n v="3.2059000000000002"/>
    <n v="101.44"/>
  </r>
  <r>
    <x v="47"/>
    <n v="3.1821999999999999"/>
    <n v="102.58"/>
  </r>
  <r>
    <x v="48"/>
    <n v="2.952"/>
    <n v="89.06"/>
  </r>
  <r>
    <x v="49"/>
    <n v="2.9657"/>
    <n v="104.93"/>
  </r>
  <r>
    <x v="50"/>
    <n v="3.1339000000000001"/>
    <n v="107.74"/>
  </r>
  <r>
    <x v="51"/>
    <n v="3.3121"/>
    <n v="108.28"/>
  </r>
  <r>
    <x v="52"/>
    <n v="3.1566999999999998"/>
    <n v="108.5"/>
  </r>
  <r>
    <x v="53"/>
    <n v="3.2938000000000001"/>
    <n v="109.88"/>
  </r>
  <r>
    <x v="54"/>
    <n v="3.6825999999999999"/>
    <n v="109.54"/>
  </r>
  <r>
    <x v="55"/>
    <n v="3.5720999999999998"/>
    <n v="110.22"/>
  </r>
  <r>
    <x v="56"/>
    <n v="3.544"/>
    <n v="108.5"/>
  </r>
  <r>
    <x v="57"/>
    <n v="3.2844000000000002"/>
    <n v="108.73"/>
  </r>
  <r>
    <x v="58"/>
    <n v="3.3083"/>
    <n v="105.99"/>
  </r>
  <r>
    <x v="59"/>
    <n v="3.0886999999999998"/>
    <n v="105.32"/>
  </r>
  <r>
    <x v="60"/>
    <n v="2.9325000000000001"/>
    <n v="98.02"/>
  </r>
  <r>
    <x v="61"/>
    <n v="2.8740999999999999"/>
    <n v="99.91"/>
  </r>
  <r>
    <x v="62"/>
    <n v="2.9165000000000001"/>
    <n v="102.67"/>
  </r>
  <r>
    <x v="63"/>
    <n v="2.8759999999999999"/>
    <n v="109.3"/>
  </r>
  <r>
    <x v="64"/>
    <n v="2.8542999999999998"/>
    <n v="107.14"/>
  </r>
  <r>
    <x v="65"/>
    <n v="2.8119000000000001"/>
    <n v="108.82"/>
  </r>
  <r>
    <x v="66"/>
    <n v="2.7959999999999998"/>
    <n v="119.78"/>
  </r>
  <r>
    <x v="67"/>
    <n v="2.8283"/>
    <n v="116.55"/>
  </r>
  <r>
    <x v="68"/>
    <n v="2.8094999999999999"/>
    <n v="113.49"/>
  </r>
  <r>
    <x v="69"/>
    <n v="2.9068000000000001"/>
    <n v="106.68"/>
  </r>
  <r>
    <x v="70"/>
    <n v="2.7385999999999999"/>
    <n v="109.21"/>
  </r>
  <r>
    <x v="71"/>
    <n v="2.6654"/>
    <n v="94.57"/>
  </r>
  <r>
    <x v="72"/>
    <n v="2.6534"/>
    <n v="91.63"/>
  </r>
  <r>
    <x v="73"/>
    <n v="2.6251000000000002"/>
    <n v="91.41"/>
  </r>
  <r>
    <x v="74"/>
    <n v="2.6852999999999998"/>
    <n v="91.54"/>
  </r>
  <r>
    <x v="75"/>
    <n v="2.6785000000000001"/>
    <n v="91.43"/>
  </r>
  <r>
    <x v="76"/>
    <n v="2.6427"/>
    <n v="91.39"/>
  </r>
  <r>
    <x v="77"/>
    <n v="2.6070000000000002"/>
    <n v="90.96"/>
  </r>
  <r>
    <x v="78"/>
    <n v="2.5752000000000002"/>
    <n v="91"/>
  </r>
  <r>
    <x v="79"/>
    <n v="2.5543999999999998"/>
    <n v="91.68"/>
  </r>
  <r>
    <x v="80"/>
    <n v="2.5379"/>
    <n v="91"/>
  </r>
  <r>
    <x v="81"/>
    <n v="2.5209999999999999"/>
    <n v="92.59"/>
  </r>
  <r>
    <x v="82"/>
    <n v="2.5232000000000001"/>
    <n v="91.4"/>
  </r>
  <r>
    <x v="83"/>
    <n v="2.4626000000000001"/>
    <n v="89.61"/>
  </r>
  <r>
    <x v="84"/>
    <n v="2.4020999999999999"/>
    <n v="89.51"/>
  </r>
  <r>
    <x v="85"/>
    <n v="2.4464999999999999"/>
    <n v="89.24"/>
  </r>
  <r>
    <x v="86"/>
    <n v="2.4662000000000002"/>
    <n v="90.67"/>
  </r>
  <r>
    <x v="87"/>
    <n v="2.4615"/>
    <n v="91.36"/>
  </r>
  <r>
    <x v="88"/>
    <n v="2.4386999999999999"/>
    <n v="89.67"/>
  </r>
  <r>
    <x v="89"/>
    <n v="2.4237000000000002"/>
    <n v="87.93"/>
  </r>
  <r>
    <x v="90"/>
    <n v="2.3877000000000002"/>
    <n v="79.099999999999994"/>
  </r>
  <r>
    <x v="91"/>
    <n v="2.3908"/>
    <n v="82.98"/>
  </r>
  <r>
    <x v="92"/>
    <n v="2.3574000000000002"/>
    <n v="82.91"/>
  </r>
  <r>
    <x v="93"/>
    <n v="2.2753999999999999"/>
    <n v="82.89"/>
  </r>
  <r>
    <x v="94"/>
    <n v="2.2989000000000002"/>
    <n v="83"/>
  </r>
  <r>
    <x v="95"/>
    <n v="2.3043"/>
    <n v="82.65"/>
  </r>
  <r>
    <x v="96"/>
    <n v="2.2921"/>
    <n v="82.08"/>
  </r>
  <r>
    <x v="97"/>
    <n v="2.2763"/>
    <n v="82.63"/>
  </r>
  <r>
    <x v="98"/>
    <n v="2.2565"/>
    <n v="82.77"/>
  </r>
  <r>
    <x v="99"/>
    <n v="2.2246000000000001"/>
    <n v="82.86"/>
  </r>
  <r>
    <x v="100"/>
    <n v="2.2913999999999999"/>
    <n v="82.37"/>
  </r>
  <r>
    <x v="101"/>
    <n v="2.2665999999999999"/>
    <n v="81.59"/>
  </r>
  <r>
    <x v="102"/>
    <n v="2.246"/>
    <n v="80.67"/>
  </r>
  <r>
    <x v="103"/>
    <n v="2.2303999999999999"/>
    <n v="80.94"/>
  </r>
  <r>
    <x v="104"/>
    <n v="2.2033"/>
    <n v="80.040000000000006"/>
  </r>
  <r>
    <x v="105"/>
    <n v="2.165"/>
    <n v="77.95"/>
  </r>
  <r>
    <x v="106"/>
    <n v="2.1448"/>
    <n v="78.48"/>
  </r>
  <r>
    <x v="107"/>
    <n v="2.0785999999999998"/>
    <n v="78.88"/>
  </r>
  <r>
    <x v="108"/>
    <n v="2.1126"/>
    <n v="77.59"/>
  </r>
  <r>
    <x v="109"/>
    <n v="2.1644000000000001"/>
    <n v="76.86"/>
  </r>
  <r>
    <x v="110"/>
    <n v="2.1122999999999998"/>
    <n v="76"/>
  </r>
  <r>
    <x v="111"/>
    <n v="2.1107999999999998"/>
    <n v="71.69"/>
  </r>
  <r>
    <x v="112"/>
    <n v="2.1164999999999998"/>
    <n v="71.77"/>
  </r>
  <r>
    <x v="113"/>
    <n v="2.1372"/>
    <n v="65.25"/>
  </r>
  <r>
    <x v="114"/>
    <n v="2.1284000000000001"/>
    <n v="71.650000000000006"/>
  </r>
  <r>
    <x v="115"/>
    <n v="2.1484999999999999"/>
    <n v="71.58"/>
  </r>
  <r>
    <x v="116"/>
    <n v="2.1"/>
    <n v="71.17"/>
  </r>
  <r>
    <x v="117"/>
    <n v="2.0432999999999999"/>
    <n v="70.89"/>
  </r>
  <r>
    <x v="118"/>
    <n v="1.9529000000000001"/>
    <n v="70.37"/>
  </r>
  <r>
    <x v="119"/>
    <n v="1.9677"/>
    <n v="69.459999999999994"/>
  </r>
  <r>
    <x v="120"/>
    <n v="1.9511000000000001"/>
    <n v="70.349999999999994"/>
  </r>
  <r>
    <x v="121"/>
    <n v="1.9400999999999999"/>
    <n v="71"/>
  </r>
  <r>
    <x v="122"/>
    <n v="2.0329999999999999"/>
    <n v="70.260000000000005"/>
  </r>
  <r>
    <x v="123"/>
    <n v="1.9811000000000001"/>
    <n v="70.180000000000007"/>
  </r>
  <r>
    <x v="124"/>
    <n v="2.2658999999999998"/>
    <n v="70.5"/>
  </r>
  <r>
    <x v="125"/>
    <n v="2.2783000000000002"/>
    <n v="70.760000000000005"/>
  </r>
  <r>
    <x v="126"/>
    <n v="2.2033"/>
    <n v="70.28"/>
  </r>
  <r>
    <x v="127"/>
    <n v="2.1568999999999998"/>
    <n v="71.3"/>
  </r>
  <r>
    <x v="128"/>
    <n v="2.2427000000000001"/>
    <n v="71.05"/>
  </r>
  <r>
    <x v="129"/>
    <n v="2.2305000000000001"/>
    <n v="68.959999999999994"/>
  </r>
  <r>
    <x v="130"/>
    <n v="2.2936000000000001"/>
    <n v="66.180000000000007"/>
  </r>
  <r>
    <x v="131"/>
    <n v="2.2761999999999998"/>
    <n v="66.37"/>
  </r>
  <r>
    <x v="132"/>
    <n v="2.2685"/>
    <n v="65.5"/>
  </r>
  <r>
    <x v="133"/>
    <n v="2.2806000000000002"/>
    <n v="70.569999999999993"/>
  </r>
  <r>
    <x v="134"/>
    <n v="2.2646000000000002"/>
    <n v="71.650000000000006"/>
  </r>
  <r>
    <x v="135"/>
    <n v="2.3752"/>
    <n v="70.069999999999993"/>
  </r>
  <r>
    <x v="136"/>
    <n v="2.3222"/>
    <n v="53.1"/>
  </r>
  <r>
    <x v="137"/>
    <n v="2.3209"/>
    <n v="71.010000000000005"/>
  </r>
  <r>
    <x v="138"/>
    <n v="2.2926000000000002"/>
    <n v="74.2"/>
  </r>
  <r>
    <x v="139"/>
    <n v="2.3384999999999998"/>
    <n v="76.09"/>
  </r>
  <r>
    <x v="140"/>
    <n v="2.4500999999999999"/>
    <n v="80.34"/>
  </r>
  <r>
    <x v="141"/>
    <n v="2.4093"/>
    <n v="80.03"/>
  </r>
  <r>
    <x v="142"/>
    <n v="2.3696999999999999"/>
    <n v="79.400000000000006"/>
  </r>
  <r>
    <x v="143"/>
    <n v="2.3589000000000002"/>
    <n v="78.900000000000006"/>
  </r>
  <r>
    <x v="144"/>
    <n v="2.3792"/>
    <n v="80.319999999999993"/>
  </r>
  <r>
    <x v="145"/>
    <n v="2.4472"/>
    <n v="79.37"/>
  </r>
  <r>
    <x v="146"/>
    <n v="2.4426999999999999"/>
    <n v="81.099999999999994"/>
  </r>
  <r>
    <x v="147"/>
    <n v="2.4156"/>
    <n v="82.01"/>
  </r>
  <r>
    <x v="148"/>
    <n v="2.419"/>
    <n v="80.900000000000006"/>
  </r>
  <r>
    <x v="149"/>
    <n v="2.4468999999999999"/>
    <n v="81.069999999999993"/>
  </r>
  <r>
    <x v="150"/>
    <n v="2.4176000000000002"/>
    <n v="79.08"/>
  </r>
  <r>
    <x v="151"/>
    <n v="2.4222999999999999"/>
    <n v="80.790000000000006"/>
  </r>
  <r>
    <x v="152"/>
    <n v="2.4251"/>
    <n v="82.7"/>
  </r>
  <r>
    <x v="153"/>
    <n v="2.3824000000000001"/>
    <n v="82.39"/>
  </r>
  <r>
    <x v="154"/>
    <n v="2.4055"/>
    <n v="80.16"/>
  </r>
  <r>
    <x v="155"/>
    <n v="2.3828999999999998"/>
    <n v="81.19"/>
  </r>
  <r>
    <x v="156"/>
    <n v="2.3778999999999999"/>
    <n v="81.17"/>
  </r>
  <r>
    <x v="157"/>
    <n v="2.3662000000000001"/>
    <n v="81.459999999999994"/>
  </r>
  <r>
    <x v="158"/>
    <n v="2.3344"/>
    <n v="65.25"/>
  </r>
  <r>
    <x v="159"/>
    <n v="2.3081999999999998"/>
    <n v="81.290000000000006"/>
  </r>
  <r>
    <x v="160"/>
    <n v="2.3578999999999999"/>
    <n v="80.930000000000007"/>
  </r>
  <r>
    <x v="161"/>
    <n v="2.3085"/>
    <n v="81.23"/>
  </r>
  <r>
    <x v="162"/>
    <n v="2.25"/>
    <n v="80.86"/>
  </r>
  <r>
    <x v="163"/>
    <n v="2.194"/>
    <n v="80.56"/>
  </r>
  <r>
    <x v="164"/>
    <n v="2.1749999999999998"/>
    <n v="80.55"/>
  </r>
  <r>
    <x v="165"/>
    <n v="2.1475"/>
    <n v="80.05"/>
  </r>
  <r>
    <x v="166"/>
    <n v="2.17"/>
    <n v="79.53"/>
  </r>
  <r>
    <x v="167"/>
    <n v="2.1377000000000002"/>
    <n v="79.62"/>
  </r>
  <r>
    <x v="168"/>
    <n v="2.1261000000000001"/>
    <n v="79.58"/>
  </r>
  <r>
    <x v="169"/>
    <n v="2.0836999999999999"/>
    <n v="78.739999999999995"/>
  </r>
  <r>
    <x v="170"/>
    <n v="2.0598000000000001"/>
    <n v="78.03"/>
  </r>
  <r>
    <x v="171"/>
    <n v="2.0602999999999998"/>
    <n v="77.31"/>
  </r>
  <r>
    <x v="172"/>
    <n v="2.1156999999999999"/>
    <n v="78.599999999999994"/>
  </r>
  <r>
    <x v="173"/>
    <n v="2.1269"/>
    <n v="77.44"/>
  </r>
  <r>
    <x v="174"/>
    <n v="2.1438000000000001"/>
    <n v="75.78"/>
  </r>
  <r>
    <x v="175"/>
    <n v="2.1118999999999999"/>
    <n v="71.13"/>
  </r>
  <r>
    <x v="176"/>
    <n v="2.1608999999999998"/>
    <n v="71.540000000000006"/>
  </r>
  <r>
    <x v="177"/>
    <n v="2.1539999999999999"/>
    <n v="71.58"/>
  </r>
  <r>
    <x v="178"/>
    <n v="2.0996999999999999"/>
    <n v="71.599999999999994"/>
  </r>
  <r>
    <x v="179"/>
    <n v="2.1320999999999999"/>
    <n v="69.3"/>
  </r>
  <r>
    <x v="180"/>
    <n v="2.13"/>
    <n v="71.16"/>
  </r>
  <r>
    <x v="181"/>
    <n v="2.1539999999999999"/>
    <n v="70.849999999999994"/>
  </r>
  <r>
    <x v="182"/>
    <n v="2.1635"/>
    <n v="70.27"/>
  </r>
  <r>
    <x v="183"/>
    <n v="2.1109"/>
    <n v="70.14"/>
  </r>
  <r>
    <x v="184"/>
    <n v="2.1419000000000001"/>
    <n v="70.86"/>
  </r>
  <r>
    <x v="185"/>
    <n v="2.1537999999999999"/>
    <n v="71.14"/>
  </r>
  <r>
    <x v="186"/>
    <n v="2.1196000000000002"/>
    <n v="71.13"/>
  </r>
  <r>
    <x v="187"/>
    <n v="2.0922999999999998"/>
    <n v="69.91"/>
  </r>
  <r>
    <x v="188"/>
    <n v="2.145"/>
    <n v="69.900000000000006"/>
  </r>
  <r>
    <x v="189"/>
    <n v="2.0575999999999999"/>
    <n v="69.41"/>
  </r>
  <r>
    <x v="190"/>
    <n v="1.9865999999999999"/>
    <n v="68.3"/>
  </r>
  <r>
    <x v="191"/>
    <n v="1.8902000000000001"/>
    <n v="69.17"/>
  </r>
  <r>
    <x v="192"/>
    <n v="1.9524999999999999"/>
    <n v="68.41"/>
  </r>
  <r>
    <x v="193"/>
    <n v="2.0162"/>
    <n v="69.22"/>
  </r>
  <r>
    <x v="194"/>
    <n v="2.0396999999999998"/>
    <n v="69.84"/>
  </r>
  <r>
    <x v="195"/>
    <n v="2.0668000000000002"/>
    <n v="68.5"/>
  </r>
  <r>
    <x v="196"/>
    <n v="2.1128999999999998"/>
    <n v="67.709999999999994"/>
  </r>
  <r>
    <x v="197"/>
    <n v="2.13"/>
    <n v="67.739999999999995"/>
  </r>
  <r>
    <x v="198"/>
    <n v="2.3022"/>
    <n v="67.7"/>
  </r>
  <r>
    <x v="199"/>
    <n v="2.2679"/>
    <n v="67.52"/>
  </r>
  <r>
    <x v="200"/>
    <n v="2.2347999999999999"/>
    <n v="67.69"/>
  </r>
  <r>
    <x v="201"/>
    <n v="2.2568999999999999"/>
    <n v="58.02"/>
  </r>
  <r>
    <x v="202"/>
    <n v="2.294"/>
    <n v="66.989999999999995"/>
  </r>
  <r>
    <x v="203"/>
    <n v="2.25"/>
    <n v="65.180000000000007"/>
  </r>
  <r>
    <x v="204"/>
    <n v="2.2707999999999999"/>
    <n v="66.37"/>
  </r>
  <r>
    <x v="205"/>
    <n v="2.2747000000000002"/>
    <n v="67.069999999999993"/>
  </r>
  <r>
    <x v="206"/>
    <n v="2.3347000000000002"/>
    <n v="67.59"/>
  </r>
  <r>
    <x v="207"/>
    <n v="2.3250999999999999"/>
    <n v="67.94"/>
  </r>
  <r>
    <x v="208"/>
    <n v="2.282"/>
    <n v="67.33"/>
  </r>
  <r>
    <x v="209"/>
    <n v="2.2812999999999999"/>
    <n v="66.13"/>
  </r>
  <r>
    <x v="210"/>
    <n v="2.2753999999999999"/>
    <n v="66.08"/>
  </r>
  <r>
    <x v="211"/>
    <n v="2.2612000000000001"/>
    <n v="68.400000000000006"/>
  </r>
  <r>
    <x v="212"/>
    <n v="2.2473999999999998"/>
    <n v="67.099999999999994"/>
  </r>
  <r>
    <x v="213"/>
    <n v="2.1941000000000002"/>
    <n v="68.489999999999995"/>
  </r>
  <r>
    <x v="214"/>
    <n v="2.1103999999999998"/>
    <n v="69.099999999999994"/>
  </r>
  <r>
    <x v="215"/>
    <n v="2.0903"/>
    <n v="68.290000000000006"/>
  </r>
  <r>
    <x v="216"/>
    <n v="2.2345000000000002"/>
    <n v="70.42"/>
  </r>
  <r>
    <x v="217"/>
    <n v="2.2317999999999998"/>
    <n v="70.13"/>
  </r>
  <r>
    <x v="218"/>
    <n v="2.2722000000000002"/>
    <n v="70.66"/>
  </r>
  <r>
    <x v="219"/>
    <n v="2.3016999999999999"/>
    <n v="71.3"/>
  </r>
  <r>
    <x v="220"/>
    <n v="2.2772000000000001"/>
    <n v="70.34"/>
  </r>
  <r>
    <x v="221"/>
    <n v="2.2919999999999998"/>
    <n v="71.83"/>
  </r>
  <r>
    <x v="222"/>
    <n v="2.2551999999999999"/>
    <n v="72.239999999999995"/>
  </r>
  <r>
    <x v="223"/>
    <n v="2.206"/>
    <n v="54.47"/>
  </r>
  <r>
    <x v="224"/>
    <n v="2.2282000000000002"/>
    <n v="72.23"/>
  </r>
  <r>
    <x v="225"/>
    <n v="2.2997999999999998"/>
    <n v="71.7"/>
  </r>
  <r>
    <x v="226"/>
    <n v="2.2675999999999998"/>
    <n v="69.349999999999994"/>
  </r>
  <r>
    <x v="227"/>
    <n v="2.2418"/>
    <n v="68.62"/>
  </r>
  <r>
    <x v="228"/>
    <n v="2.2414999999999998"/>
    <n v="72.64"/>
  </r>
  <r>
    <x v="229"/>
    <n v="2.2176999999999998"/>
    <n v="72.55"/>
  </r>
  <r>
    <x v="230"/>
    <n v="2.2612000000000001"/>
    <n v="72.09"/>
  </r>
  <r>
    <x v="231"/>
    <n v="2.2799999999999998"/>
    <n v="69.930000000000007"/>
  </r>
  <r>
    <x v="232"/>
    <n v="2.2698999999999998"/>
    <n v="70.5"/>
  </r>
  <r>
    <x v="233"/>
    <n v="2.2301000000000002"/>
    <n v="70.540000000000006"/>
  </r>
  <r>
    <x v="234"/>
    <n v="2.2031000000000001"/>
    <n v="72.84"/>
  </r>
  <r>
    <x v="235"/>
    <n v="2.1739999999999999"/>
    <n v="72.27"/>
  </r>
  <r>
    <x v="236"/>
    <n v="2.1387999999999998"/>
    <n v="73.239999999999995"/>
  </r>
  <r>
    <x v="237"/>
    <n v="2.16"/>
    <n v="74.86"/>
  </r>
  <r>
    <x v="238"/>
    <n v="2.1728999999999998"/>
    <n v="74.33"/>
  </r>
  <r>
    <x v="239"/>
    <n v="2.173"/>
    <n v="71.349999999999994"/>
  </r>
  <r>
    <x v="240"/>
    <n v="2.1861000000000002"/>
    <n v="71.33"/>
  </r>
  <r>
    <x v="241"/>
    <n v="2.2122000000000002"/>
    <n v="71.319999999999993"/>
  </r>
  <r>
    <x v="242"/>
    <n v="2.2025000000000001"/>
    <n v="71.48"/>
  </r>
  <r>
    <x v="243"/>
    <n v="2.2189999999999999"/>
    <n v="71.34"/>
  </r>
  <r>
    <x v="244"/>
    <n v="2.1930999999999998"/>
    <n v="71.290000000000006"/>
  </r>
  <r>
    <x v="245"/>
    <n v="2.2115"/>
    <n v="58.46"/>
  </r>
  <r>
    <x v="246"/>
    <n v="2.2018"/>
    <n v="71.33"/>
  </r>
  <r>
    <x v="247"/>
    <n v="2.1941000000000002"/>
    <n v="70.650000000000006"/>
  </r>
  <r>
    <x v="248"/>
    <n v="2.1703999999999999"/>
    <n v="70.430000000000007"/>
  </r>
  <r>
    <x v="249"/>
    <n v="2.1368999999999998"/>
    <n v="70.95"/>
  </r>
  <r>
    <x v="250"/>
    <n v="2.1551999999999998"/>
    <n v="70.92"/>
  </r>
  <r>
    <x v="251"/>
    <n v="2.1511999999999998"/>
    <n v="70.239999999999995"/>
  </r>
  <r>
    <x v="252"/>
    <n v="2.1229"/>
    <n v="70.25"/>
  </r>
  <r>
    <x v="253"/>
    <n v="2.1217000000000001"/>
    <n v="69.88"/>
  </r>
  <r>
    <x v="254"/>
    <n v="2.0709"/>
    <n v="69.66"/>
  </r>
  <r>
    <x v="255"/>
    <n v="2.0461999999999998"/>
    <n v="69.73"/>
  </r>
  <r>
    <x v="256"/>
    <n v="2.0979000000000001"/>
    <n v="69.09"/>
  </r>
  <r>
    <x v="257"/>
    <n v="2.1554000000000002"/>
    <n v="69.400000000000006"/>
  </r>
  <r>
    <x v="258"/>
    <n v="2.1536"/>
    <n v="68.7"/>
  </r>
  <r>
    <x v="259"/>
    <n v="2.1223999999999998"/>
    <n v="68.73"/>
  </r>
  <r>
    <x v="260"/>
    <n v="2.093"/>
    <n v="67.67"/>
  </r>
  <r>
    <x v="261"/>
    <n v="2.161"/>
    <n v="65.16"/>
  </r>
  <r>
    <x v="262"/>
    <n v="2.1398999999999999"/>
    <n v="65.180000000000007"/>
  </r>
  <r>
    <x v="263"/>
    <n v="2.1334"/>
    <n v="65.12"/>
  </r>
  <r>
    <x v="264"/>
    <n v="2.1269"/>
    <n v="65.099999999999994"/>
  </r>
  <r>
    <x v="265"/>
    <n v="2.1137000000000001"/>
    <n v="65.09"/>
  </r>
  <r>
    <x v="266"/>
    <n v="2.1513"/>
    <n v="64.48"/>
  </r>
  <r>
    <x v="267"/>
    <n v="2.1511999999999998"/>
    <n v="58.46"/>
  </r>
  <r>
    <x v="268"/>
    <n v="2.1015000000000001"/>
    <n v="64.47"/>
  </r>
  <r>
    <x v="269"/>
    <n v="2.0762999999999998"/>
    <n v="65.33"/>
  </r>
  <r>
    <x v="270"/>
    <n v="2.0988000000000002"/>
    <n v="65.680000000000007"/>
  </r>
  <r>
    <x v="271"/>
    <n v="2.0743"/>
    <n v="65.23"/>
  </r>
  <r>
    <x v="272"/>
    <n v="2.0287999999999999"/>
    <n v="64.38"/>
  </r>
  <r>
    <x v="273"/>
    <n v="1.9902"/>
    <n v="65.739999999999995"/>
  </r>
  <r>
    <x v="274"/>
    <n v="2.0051000000000001"/>
    <n v="64.180000000000007"/>
  </r>
  <r>
    <x v="275"/>
    <n v="1.9811000000000001"/>
    <n v="64.959999999999994"/>
  </r>
  <r>
    <x v="276"/>
    <n v="1.9881"/>
    <n v="64.94"/>
  </r>
  <r>
    <x v="277"/>
    <n v="2.0209000000000001"/>
    <n v="64.78"/>
  </r>
  <r>
    <x v="278"/>
    <n v="2.0463"/>
    <n v="65.56"/>
  </r>
  <r>
    <x v="279"/>
    <n v="2.0426000000000002"/>
    <n v="65.61"/>
  </r>
  <r>
    <x v="280"/>
    <n v="2.0526"/>
    <n v="64.47"/>
  </r>
  <r>
    <x v="281"/>
    <n v="2.0409000000000002"/>
    <n v="61.7"/>
  </r>
  <r>
    <x v="282"/>
    <n v="1.9757"/>
    <n v="61.77"/>
  </r>
  <r>
    <x v="283"/>
    <n v="1.97"/>
    <n v="61.66"/>
  </r>
  <r>
    <x v="284"/>
    <n v="1.9621"/>
    <n v="61.53"/>
  </r>
  <r>
    <x v="285"/>
    <n v="1.9593"/>
    <n v="61.33"/>
  </r>
  <r>
    <x v="286"/>
    <n v="1.9518"/>
    <n v="61.39"/>
  </r>
  <r>
    <x v="287"/>
    <n v="1.9662999999999999"/>
    <n v="61.19"/>
  </r>
  <r>
    <x v="288"/>
    <n v="1.9611000000000001"/>
    <n v="54.78"/>
  </r>
  <r>
    <x v="289"/>
    <n v="2.0223"/>
    <n v="61.66"/>
  </r>
  <r>
    <x v="290"/>
    <n v="1.9597"/>
    <n v="62"/>
  </r>
  <r>
    <x v="291"/>
    <n v="1.9964"/>
    <n v="61.88"/>
  </r>
  <r>
    <x v="292"/>
    <n v="2.0009000000000001"/>
    <n v="62.05"/>
  </r>
  <r>
    <x v="293"/>
    <n v="1.9709000000000001"/>
    <n v="61.88"/>
  </r>
  <r>
    <x v="294"/>
    <n v="1.9196"/>
    <n v="60.04"/>
  </r>
  <r>
    <x v="295"/>
    <n v="1.9875"/>
    <n v="59.72"/>
  </r>
  <r>
    <x v="296"/>
    <n v="1.8958999999999999"/>
    <n v="59.44"/>
  </r>
  <r>
    <x v="297"/>
    <n v="1.9583999999999999"/>
    <n v="59.65"/>
  </r>
  <r>
    <x v="298"/>
    <n v="1.9437"/>
    <n v="59.79"/>
  </r>
  <r>
    <x v="299"/>
    <n v="1.9407000000000001"/>
    <n v="59.41"/>
  </r>
  <r>
    <x v="300"/>
    <n v="2.0474999999999999"/>
    <n v="58.79"/>
  </r>
  <r>
    <x v="301"/>
    <n v="2.0956999999999999"/>
    <n v="61.46"/>
  </r>
  <r>
    <x v="302"/>
    <n v="2.0994000000000002"/>
    <n v="61.85"/>
  </r>
  <r>
    <x v="303"/>
    <n v="2.1347999999999998"/>
    <n v="61.44"/>
  </r>
  <r>
    <x v="304"/>
    <n v="2.1273"/>
    <n v="61.12"/>
  </r>
  <r>
    <x v="305"/>
    <n v="2.0747"/>
    <n v="61.2"/>
  </r>
  <r>
    <x v="306"/>
    <n v="2.0501999999999998"/>
    <n v="60.67"/>
  </r>
  <r>
    <x v="307"/>
    <n v="2.0487000000000002"/>
    <n v="61.31"/>
  </r>
  <r>
    <x v="308"/>
    <n v="2.0647000000000002"/>
    <n v="60.79"/>
  </r>
  <r>
    <x v="309"/>
    <n v="1.9979"/>
    <n v="50.51"/>
  </r>
  <r>
    <x v="310"/>
    <n v="1.9518"/>
    <n v="62.8"/>
  </r>
  <r>
    <x v="311"/>
    <n v="1.9363999999999999"/>
    <n v="62.26"/>
  </r>
  <r>
    <x v="312"/>
    <n v="1.9429000000000001"/>
    <n v="62.86"/>
  </r>
  <r>
    <x v="313"/>
    <n v="1.9504999999999999"/>
    <n v="62.56"/>
  </r>
  <r>
    <x v="314"/>
    <n v="1.9763999999999999"/>
    <n v="61.63"/>
  </r>
  <r>
    <x v="315"/>
    <n v="1.9777"/>
    <n v="61.61"/>
  </r>
  <r>
    <x v="316"/>
    <n v="1.9424999999999999"/>
    <n v="62.27"/>
  </r>
  <r>
    <x v="317"/>
    <n v="1.9309000000000001"/>
    <n v="63.22"/>
  </r>
  <r>
    <x v="318"/>
    <n v="1.8889"/>
    <n v="62.47"/>
  </r>
  <r>
    <x v="319"/>
    <n v="1.8872"/>
    <n v="64.42"/>
  </r>
  <r>
    <x v="320"/>
    <n v="1.8937999999999999"/>
    <n v="65.22"/>
  </r>
  <r>
    <x v="321"/>
    <n v="1.8636999999999999"/>
    <n v="63.34"/>
  </r>
  <r>
    <x v="322"/>
    <n v="1.8139000000000001"/>
    <n v="61.13"/>
  </r>
  <r>
    <x v="323"/>
    <n v="1.7786"/>
    <n v="59.73"/>
  </r>
  <r>
    <x v="324"/>
    <n v="1.7841"/>
    <n v="60.57"/>
  </r>
  <r>
    <x v="325"/>
    <n v="1.6736"/>
    <n v="59.06"/>
  </r>
  <r>
    <x v="326"/>
    <n v="1.6748000000000001"/>
    <n v="59.17"/>
  </r>
  <r>
    <x v="327"/>
    <n v="1.6493"/>
    <n v="59.14"/>
  </r>
  <r>
    <x v="328"/>
    <n v="1.6448"/>
    <n v="58.89"/>
  </r>
  <r>
    <x v="329"/>
    <n v="1.6486000000000001"/>
    <n v="58.9"/>
  </r>
  <r>
    <x v="330"/>
    <n v="1.6160000000000001"/>
    <n v="58.26"/>
  </r>
  <r>
    <x v="331"/>
    <n v="1.5901000000000001"/>
    <n v="58.67"/>
  </r>
  <r>
    <x v="332"/>
    <n v="1.5527"/>
    <n v="50.94"/>
  </r>
  <r>
    <x v="333"/>
    <n v="1.5753999999999999"/>
    <n v="58.44"/>
  </r>
  <r>
    <x v="334"/>
    <n v="1.5716000000000001"/>
    <n v="58.14"/>
  </r>
  <r>
    <x v="335"/>
    <n v="1.5748"/>
    <n v="57.49"/>
  </r>
  <r>
    <x v="336"/>
    <n v="1.5579000000000001"/>
    <n v="57.74"/>
  </r>
  <r>
    <x v="337"/>
    <n v="1.5449999999999999"/>
    <n v="57.54"/>
  </r>
  <r>
    <x v="338"/>
    <n v="1.5471999999999999"/>
    <n v="57.27"/>
  </r>
  <r>
    <x v="339"/>
    <n v="1.5437000000000001"/>
    <n v="56.44"/>
  </r>
  <r>
    <x v="340"/>
    <n v="1.5379"/>
    <n v="55.95"/>
  </r>
  <r>
    <x v="341"/>
    <n v="1.5277000000000001"/>
    <n v="55.5"/>
  </r>
  <r>
    <x v="342"/>
    <n v="1.5538000000000001"/>
    <n v="54.67"/>
  </r>
  <r>
    <x v="343"/>
    <n v="1.5467"/>
    <n v="53.52"/>
  </r>
  <r>
    <x v="344"/>
    <n v="1.5518000000000001"/>
    <n v="52.1"/>
  </r>
  <r>
    <x v="345"/>
    <n v="1.5207999999999999"/>
    <n v="52.11"/>
  </r>
  <r>
    <x v="346"/>
    <n v="1.5423"/>
    <n v="52.16"/>
  </r>
  <r>
    <x v="347"/>
    <n v="1.4826999999999999"/>
    <n v="52.13"/>
  </r>
  <r>
    <x v="348"/>
    <n v="1.4750000000000001"/>
    <n v="52.16"/>
  </r>
  <r>
    <x v="349"/>
    <n v="1.4520999999999999"/>
    <n v="52.03"/>
  </r>
  <r>
    <x v="350"/>
    <n v="1.3729"/>
    <n v="52.3"/>
  </r>
  <r>
    <x v="351"/>
    <n v="1.4100999999999999"/>
    <n v="52.37"/>
  </r>
  <r>
    <x v="352"/>
    <n v="1.4013"/>
    <n v="45.13"/>
  </r>
  <r>
    <x v="353"/>
    <n v="1.3783000000000001"/>
    <n v="51.96"/>
  </r>
  <r>
    <x v="354"/>
    <n v="1.3607"/>
    <n v="52.59"/>
  </r>
  <r>
    <x v="355"/>
    <n v="1.3722000000000001"/>
    <n v="52.21"/>
  </r>
  <r>
    <x v="356"/>
    <n v="1.3762000000000001"/>
    <n v="52.39"/>
  </r>
  <r>
    <x v="357"/>
    <n v="1.3354999999999999"/>
    <n v="51.73"/>
  </r>
  <r>
    <x v="358"/>
    <n v="1.3548"/>
    <n v="51.72"/>
  </r>
  <r>
    <x v="359"/>
    <n v="1.391"/>
    <n v="50.62"/>
  </r>
  <r>
    <x v="360"/>
    <n v="1.3816999999999999"/>
    <n v="50.46"/>
  </r>
  <r>
    <x v="361"/>
    <n v="1.3514999999999999"/>
    <n v="49.84"/>
  </r>
  <r>
    <x v="362"/>
    <n v="1.3268"/>
    <n v="47.67"/>
  </r>
  <r>
    <x v="363"/>
    <n v="1.3190999999999999"/>
    <n v="47.07"/>
  </r>
  <r>
    <x v="364"/>
    <n v="1.3077000000000001"/>
    <n v="47.06"/>
  </r>
  <r>
    <x v="365"/>
    <n v="1.3166"/>
    <n v="47.03"/>
  </r>
  <r>
    <x v="366"/>
    <n v="1.2759"/>
    <n v="46.97"/>
  </r>
  <r>
    <x v="367"/>
    <n v="1.2559"/>
    <n v="47.09"/>
  </r>
  <r>
    <x v="368"/>
    <n v="1.2558"/>
    <n v="47.06"/>
  </r>
  <r>
    <x v="369"/>
    <n v="1.2685"/>
    <n v="46.76"/>
  </r>
  <r>
    <x v="370"/>
    <n v="1.2617"/>
    <n v="47.06"/>
  </r>
  <r>
    <x v="371"/>
    <n v="1.2399"/>
    <n v="47.53"/>
  </r>
  <r>
    <x v="372"/>
    <n v="1.2203999999999999"/>
    <n v="47.24"/>
  </r>
  <r>
    <x v="373"/>
    <n v="1.2416"/>
    <n v="46.99"/>
  </r>
  <r>
    <x v="374"/>
    <n v="1.266"/>
    <n v="46.89"/>
  </r>
  <r>
    <x v="375"/>
    <n v="1.2709999999999999"/>
    <n v="46.54"/>
  </r>
  <r>
    <x v="376"/>
    <n v="1.2509999999999999"/>
    <n v="46.3"/>
  </r>
  <r>
    <x v="377"/>
    <n v="1.1971000000000001"/>
    <n v="46.44"/>
  </r>
  <r>
    <x v="378"/>
    <n v="1.1702999999999999"/>
    <n v="45.58"/>
  </r>
  <r>
    <x v="379"/>
    <n v="1.1596"/>
    <n v="45.64"/>
  </r>
  <r>
    <x v="380"/>
    <n v="1.1626000000000001"/>
    <n v="45.76"/>
  </r>
  <r>
    <x v="381"/>
    <n v="1.1528"/>
    <n v="46.16"/>
  </r>
  <r>
    <x v="382"/>
    <n v="1.147"/>
    <n v="45.62"/>
  </r>
  <r>
    <x v="383"/>
    <n v="1.125"/>
    <n v="45.3"/>
  </r>
  <r>
    <x v="384"/>
    <n v="1.1557999999999999"/>
    <n v="44.61"/>
  </r>
  <r>
    <x v="385"/>
    <n v="1.1758999999999999"/>
    <n v="41.35"/>
  </r>
  <r>
    <x v="386"/>
    <n v="1.1940999999999999"/>
    <n v="41.36"/>
  </r>
  <r>
    <x v="387"/>
    <n v="1.1607000000000001"/>
    <n v="41.37"/>
  </r>
  <r>
    <x v="388"/>
    <n v="1.0844"/>
    <n v="41.25"/>
  </r>
  <r>
    <x v="389"/>
    <n v="1.1158999999999999"/>
    <n v="40.880000000000003"/>
  </r>
  <r>
    <x v="390"/>
    <n v="1.1081000000000001"/>
    <n v="40.72"/>
  </r>
  <r>
    <x v="391"/>
    <n v="1.0769"/>
    <n v="40.57"/>
  </r>
  <r>
    <x v="392"/>
    <n v="1.052"/>
    <n v="40.61"/>
  </r>
  <r>
    <x v="393"/>
    <n v="1.0322"/>
    <n v="40.46"/>
  </r>
  <r>
    <x v="394"/>
    <n v="1.028"/>
    <n v="40.42"/>
  </r>
  <r>
    <x v="395"/>
    <n v="1.0636000000000001"/>
    <n v="39.83"/>
  </r>
  <r>
    <x v="396"/>
    <n v="1.1288"/>
    <n v="40.380000000000003"/>
  </r>
  <r>
    <x v="397"/>
    <n v="1.0969"/>
    <n v="40.58"/>
  </r>
  <r>
    <x v="398"/>
    <n v="1.127"/>
    <n v="40.520000000000003"/>
  </r>
  <r>
    <x v="399"/>
    <n v="1.1452"/>
    <n v="39.78"/>
  </r>
  <r>
    <x v="400"/>
    <n v="1.1271"/>
    <n v="37.42"/>
  </r>
  <r>
    <x v="401"/>
    <n v="1.1725000000000001"/>
    <n v="38.729999999999997"/>
  </r>
  <r>
    <x v="402"/>
    <n v="1.1485000000000001"/>
    <n v="39.04"/>
  </r>
  <r>
    <x v="403"/>
    <n v="1.1535"/>
    <n v="37.700000000000003"/>
  </r>
  <r>
    <x v="404"/>
    <n v="1.1637"/>
    <n v="36.9"/>
  </r>
  <r>
    <x v="405"/>
    <n v="1.1795"/>
    <n v="37.46"/>
  </r>
  <r>
    <x v="406"/>
    <n v="1.1633"/>
    <n v="37.65"/>
  </r>
  <r>
    <x v="407"/>
    <n v="1.1757"/>
    <n v="39.119999999999997"/>
  </r>
  <r>
    <x v="408"/>
    <n v="1.2032"/>
    <n v="39.979999999999997"/>
  </r>
  <r>
    <x v="409"/>
    <n v="1.2316"/>
    <n v="39.799999999999997"/>
  </r>
  <r>
    <x v="410"/>
    <n v="1.2009000000000001"/>
    <n v="39.97"/>
  </r>
  <r>
    <x v="411"/>
    <n v="1.2351000000000001"/>
    <n v="39.22"/>
  </r>
  <r>
    <x v="412"/>
    <n v="1.1940999999999999"/>
    <n v="39.79"/>
  </r>
  <r>
    <x v="413"/>
    <n v="1.1234999999999999"/>
    <n v="39.090000000000003"/>
  </r>
  <r>
    <x v="414"/>
    <n v="1.1524000000000001"/>
    <n v="38.44"/>
  </r>
  <r>
    <x v="415"/>
    <n v="1.1816"/>
    <n v="35.89"/>
  </r>
  <r>
    <x v="416"/>
    <n v="1.1711"/>
    <n v="36.5"/>
  </r>
  <r>
    <x v="417"/>
    <n v="1.2132000000000001"/>
    <n v="37.119999999999997"/>
  </r>
  <r>
    <x v="418"/>
    <n v="1.1898"/>
    <n v="38.42"/>
  </r>
  <r>
    <x v="419"/>
    <n v="1.1732"/>
    <n v="39.53"/>
  </r>
  <r>
    <x v="420"/>
    <n v="1.1577999999999999"/>
    <n v="39.22"/>
  </r>
  <r>
    <x v="421"/>
    <n v="1.1437999999999999"/>
    <n v="40.82"/>
  </r>
  <r>
    <x v="422"/>
    <n v="1.1544000000000001"/>
    <n v="39.86"/>
  </r>
  <r>
    <x v="423"/>
    <n v="1.2097"/>
    <n v="40.450000000000003"/>
  </r>
  <r>
    <x v="424"/>
    <n v="1.2017"/>
    <n v="39.200000000000003"/>
  </r>
  <r>
    <x v="425"/>
    <n v="1.1694"/>
    <n v="37.229999999999997"/>
  </r>
  <r>
    <x v="426"/>
    <n v="1.1198999999999999"/>
    <n v="38.83"/>
  </r>
  <r>
    <x v="427"/>
    <n v="1.0922000000000001"/>
    <n v="39.630000000000003"/>
  </r>
  <r>
    <x v="428"/>
    <n v="1.0949"/>
    <n v="39.58"/>
  </r>
  <r>
    <x v="429"/>
    <n v="1.0976999999999999"/>
    <n v="39.71"/>
  </r>
  <r>
    <x v="430"/>
    <n v="1.1193"/>
    <n v="39.659999999999997"/>
  </r>
  <r>
    <x v="431"/>
    <n v="1.1028"/>
    <n v="39.67"/>
  </r>
  <r>
    <x v="432"/>
    <n v="1.1772"/>
    <n v="39.58"/>
  </r>
  <r>
    <x v="433"/>
    <n v="1.2049000000000001"/>
    <n v="39.54"/>
  </r>
  <r>
    <x v="434"/>
    <n v="1.202"/>
    <n v="39.450000000000003"/>
  </r>
  <r>
    <x v="435"/>
    <n v="1.2246999999999999"/>
    <n v="39.07"/>
  </r>
  <r>
    <x v="436"/>
    <n v="1.2137"/>
    <n v="38.090000000000003"/>
  </r>
  <r>
    <x v="437"/>
    <n v="1.2464999999999999"/>
    <n v="39.700000000000003"/>
  </r>
  <r>
    <x v="438"/>
    <n v="1.2181999999999999"/>
    <n v="38.72"/>
  </r>
  <r>
    <x v="439"/>
    <n v="1.2634000000000001"/>
    <n v="38.14"/>
  </r>
  <r>
    <x v="440"/>
    <n v="1.2685"/>
    <n v="38.19"/>
  </r>
  <r>
    <x v="441"/>
    <n v="1.2598"/>
    <n v="38.18"/>
  </r>
  <r>
    <x v="442"/>
    <n v="1.2130000000000001"/>
    <n v="38.72"/>
  </r>
  <r>
    <x v="443"/>
    <n v="1.2263999999999999"/>
    <n v="37.76"/>
  </r>
  <r>
    <x v="444"/>
    <n v="1.2284999999999999"/>
    <n v="40.18"/>
  </r>
  <r>
    <x v="445"/>
    <n v="1.2249000000000001"/>
    <n v="41.49"/>
  </r>
  <r>
    <x v="446"/>
    <n v="1.2134"/>
    <n v="41.67"/>
  </r>
  <r>
    <x v="447"/>
    <n v="1.1879999999999999"/>
    <n v="42.07"/>
  </r>
  <r>
    <x v="448"/>
    <n v="1.1789000000000001"/>
    <n v="41.29"/>
  </r>
  <r>
    <x v="449"/>
    <n v="1.1858"/>
    <n v="39.35"/>
  </r>
  <r>
    <x v="450"/>
    <n v="1.2044999999999999"/>
    <n v="38.96"/>
  </r>
  <r>
    <x v="451"/>
    <n v="1.2293000000000001"/>
    <n v="39.369999999999997"/>
  </r>
  <r>
    <x v="452"/>
    <n v="1.2076"/>
    <n v="39.83"/>
  </r>
  <r>
    <x v="453"/>
    <n v="1.2281"/>
    <n v="39.82"/>
  </r>
  <r>
    <x v="454"/>
    <n v="1.2228000000000001"/>
    <n v="40.29"/>
  </r>
  <r>
    <x v="455"/>
    <n v="1.2142999999999999"/>
    <n v="41.64"/>
  </r>
  <r>
    <x v="456"/>
    <n v="1.2131000000000001"/>
    <n v="42.47"/>
  </r>
  <r>
    <x v="457"/>
    <n v="1.1711"/>
    <n v="42.47"/>
  </r>
  <r>
    <x v="458"/>
    <n v="1.1908000000000001"/>
    <n v="42.49"/>
  </r>
  <r>
    <x v="459"/>
    <n v="1.2132000000000001"/>
    <n v="42.04"/>
  </r>
  <r>
    <x v="460"/>
    <n v="1.2352000000000001"/>
    <n v="42.16"/>
  </r>
  <r>
    <x v="461"/>
    <n v="1.2446999999999999"/>
    <n v="42.43"/>
  </r>
  <r>
    <x v="462"/>
    <n v="1.256"/>
    <n v="41.71"/>
  </r>
  <r>
    <x v="463"/>
    <n v="1.2363"/>
    <n v="41.94"/>
  </r>
  <r>
    <x v="464"/>
    <n v="1.2603"/>
    <n v="41.4"/>
  </r>
  <r>
    <x v="465"/>
    <n v="1.2604"/>
    <n v="41.99"/>
  </r>
  <r>
    <x v="466"/>
    <n v="1.2131000000000001"/>
    <n v="42.19"/>
  </r>
  <r>
    <x v="467"/>
    <n v="1.2061999999999999"/>
    <n v="41.74"/>
  </r>
  <r>
    <x v="468"/>
    <n v="1.2157"/>
    <n v="41.11"/>
  </r>
  <r>
    <x v="469"/>
    <n v="1.2427999999999999"/>
    <n v="40.770000000000003"/>
  </r>
  <r>
    <x v="470"/>
    <n v="1.2262"/>
    <n v="40.75"/>
  </r>
  <r>
    <x v="471"/>
    <n v="1.2471000000000001"/>
    <n v="40.869999999999997"/>
  </r>
  <r>
    <x v="472"/>
    <n v="1.2830999999999999"/>
    <n v="40.840000000000003"/>
  </r>
  <r>
    <x v="473"/>
    <n v="1.2504999999999999"/>
    <n v="40.94"/>
  </r>
  <r>
    <x v="474"/>
    <n v="1.2908999999999999"/>
    <n v="40.869999999999997"/>
  </r>
  <r>
    <x v="475"/>
    <n v="1.2749999999999999"/>
    <n v="40.81"/>
  </r>
  <r>
    <x v="476"/>
    <n v="1.2407999999999999"/>
    <n v="41.08"/>
  </r>
  <r>
    <x v="477"/>
    <n v="1.2592000000000001"/>
    <n v="41.08"/>
  </r>
  <r>
    <x v="478"/>
    <n v="1.2169000000000001"/>
    <n v="40.67"/>
  </r>
  <r>
    <x v="479"/>
    <n v="1.2015"/>
    <n v="40.590000000000003"/>
  </r>
  <r>
    <x v="480"/>
    <n v="1.1878"/>
    <n v="40.67"/>
  </r>
  <r>
    <x v="481"/>
    <n v="1.1569"/>
    <n v="40.93"/>
  </r>
  <r>
    <x v="482"/>
    <n v="1.1972"/>
    <n v="40.409999999999997"/>
  </r>
  <r>
    <x v="483"/>
    <n v="1.1992"/>
    <n v="40.28"/>
  </r>
  <r>
    <x v="484"/>
    <n v="1.2983"/>
    <n v="40.58"/>
  </r>
  <r>
    <x v="485"/>
    <n v="1.2904"/>
    <n v="39.9"/>
  </r>
  <r>
    <x v="486"/>
    <n v="1.2709999999999999"/>
    <n v="40.869999999999997"/>
  </r>
  <r>
    <x v="487"/>
    <n v="1.2575000000000001"/>
    <n v="40.61"/>
  </r>
  <r>
    <x v="488"/>
    <n v="1.2219"/>
    <n v="40.630000000000003"/>
  </r>
  <r>
    <x v="489"/>
    <n v="1.2149000000000001"/>
    <n v="40.65"/>
  </r>
  <r>
    <x v="490"/>
    <n v="1.1732"/>
    <n v="39.86"/>
  </r>
  <r>
    <x v="491"/>
    <n v="1.1367"/>
    <n v="38.31"/>
  </r>
  <r>
    <x v="492"/>
    <n v="1.1188"/>
    <n v="38.33"/>
  </r>
  <r>
    <x v="493"/>
    <n v="1.2099"/>
    <n v="38.22"/>
  </r>
  <r>
    <x v="494"/>
    <n v="1.2102999999999999"/>
    <n v="38.25"/>
  </r>
  <r>
    <x v="495"/>
    <n v="1.1950000000000001"/>
    <n v="38.130000000000003"/>
  </r>
  <r>
    <x v="496"/>
    <n v="1.2136"/>
    <n v="38.659999999999997"/>
  </r>
  <r>
    <x v="497"/>
    <n v="1.149"/>
    <n v="38.76"/>
  </r>
  <r>
    <x v="498"/>
    <n v="1.1193"/>
    <n v="38.479999999999997"/>
  </r>
  <r>
    <x v="499"/>
    <n v="1.1183000000000001"/>
    <n v="38.19"/>
  </r>
  <r>
    <x v="500"/>
    <n v="1.0667"/>
    <n v="37.840000000000003"/>
  </r>
  <r>
    <x v="501"/>
    <n v="1.0785"/>
    <n v="38.03"/>
  </r>
  <r>
    <x v="502"/>
    <n v="1.026"/>
    <n v="37.42"/>
  </r>
  <r>
    <x v="503"/>
    <n v="1.0177"/>
    <n v="36.93"/>
  </r>
  <r>
    <x v="504"/>
    <n v="1.0648"/>
    <n v="36.97"/>
  </r>
  <r>
    <x v="505"/>
    <n v="1.0518000000000001"/>
    <n v="37.340000000000003"/>
  </r>
  <r>
    <x v="506"/>
    <n v="1.0618000000000001"/>
    <n v="37.99"/>
  </r>
  <r>
    <x v="507"/>
    <n v="1.0438000000000001"/>
    <n v="37.18"/>
  </r>
  <r>
    <x v="508"/>
    <n v="1.0549999999999999"/>
    <n v="38.17"/>
  </r>
  <r>
    <x v="509"/>
    <n v="1.0426"/>
    <n v="37.369999999999997"/>
  </r>
  <r>
    <x v="510"/>
    <n v="0.98380000000000001"/>
    <n v="37.270000000000003"/>
  </r>
  <r>
    <x v="511"/>
    <n v="0.93689999999999996"/>
    <n v="36.82"/>
  </r>
  <r>
    <x v="512"/>
    <n v="0.88180000000000003"/>
    <n v="35.54"/>
  </r>
  <r>
    <x v="513"/>
    <n v="0.93630000000000002"/>
    <n v="28.53"/>
  </r>
  <r>
    <x v="514"/>
    <n v="0.92420000000000002"/>
    <n v="28.44"/>
  </r>
  <r>
    <x v="515"/>
    <n v="0.95220000000000005"/>
    <n v="28.35"/>
  </r>
  <r>
    <x v="516"/>
    <n v="0.93140000000000001"/>
    <n v="28.58"/>
  </r>
  <r>
    <x v="517"/>
    <n v="0.87690000000000001"/>
    <n v="28.36"/>
  </r>
  <r>
    <x v="518"/>
    <n v="0.90129999999999999"/>
    <n v="28.53"/>
  </r>
  <r>
    <x v="519"/>
    <n v="0.82150000000000001"/>
    <n v="28.4"/>
  </r>
  <r>
    <x v="520"/>
    <n v="0.76629999999999998"/>
    <n v="27.86"/>
  </r>
  <r>
    <x v="521"/>
    <n v="0.78369999999999995"/>
    <n v="27.72"/>
  </r>
  <r>
    <x v="522"/>
    <n v="0.72719999999999996"/>
    <n v="26.74"/>
  </r>
  <r>
    <x v="523"/>
    <n v="0.70399999999999996"/>
    <n v="25.88"/>
  </r>
  <r>
    <x v="524"/>
    <n v="0.68489999999999995"/>
    <n v="24.66"/>
  </r>
  <r>
    <x v="525"/>
    <n v="0.70009999999999994"/>
    <n v="25.01"/>
  </r>
  <r>
    <x v="526"/>
    <n v="0.68210000000000004"/>
    <n v="24.08"/>
  </r>
  <r>
    <x v="527"/>
    <n v="0.6875"/>
    <n v="24.67"/>
  </r>
  <r>
    <x v="528"/>
    <n v="0.62529999999999997"/>
    <n v="23.72"/>
  </r>
  <r>
    <x v="529"/>
    <n v="0.72550000000000003"/>
    <n v="24.2"/>
  </r>
  <r>
    <x v="530"/>
    <n v="0.76459999999999995"/>
    <n v="24.79"/>
  </r>
  <r>
    <x v="531"/>
    <n v="0.75690000000000002"/>
    <n v="21.2"/>
  </r>
  <r>
    <x v="532"/>
    <n v="0.72040000000000004"/>
    <n v="20.66"/>
  </r>
  <r>
    <x v="533"/>
    <n v="0.72"/>
    <n v="16.7"/>
  </r>
  <r>
    <x v="534"/>
    <n v="0.70330000000000004"/>
    <n v="16.52"/>
  </r>
  <r>
    <x v="535"/>
    <n v="0.67730000000000001"/>
    <n v="16.260000000000002"/>
  </r>
  <r>
    <x v="536"/>
    <n v="0.67800000000000005"/>
    <n v="16.32"/>
  </r>
  <r>
    <x v="537"/>
    <n v="0.6482"/>
    <n v="17.12"/>
  </r>
  <r>
    <x v="538"/>
    <n v="0.7016"/>
    <n v="17.010000000000002"/>
  </r>
  <r>
    <x v="539"/>
    <n v="0.69159999999999999"/>
    <n v="16.23"/>
  </r>
  <r>
    <x v="540"/>
    <n v="0.66279999999999994"/>
    <n v="15.5"/>
  </r>
  <r>
    <x v="541"/>
    <n v="0.54649999999999999"/>
    <n v="16.18"/>
  </r>
  <r>
    <x v="542"/>
    <n v="0.5927"/>
    <n v="22.4"/>
  </r>
  <r>
    <x v="543"/>
    <n v="0.61680000000000001"/>
    <n v="21.43"/>
  </r>
  <r>
    <x v="544"/>
    <n v="0.61360000000000003"/>
    <n v="18.36"/>
  </r>
  <r>
    <x v="545"/>
    <n v="0.59799999999999998"/>
    <n v="16.52"/>
  </r>
  <r>
    <x v="546"/>
    <n v="0.60540000000000005"/>
    <n v="18.05"/>
  </r>
  <r>
    <x v="547"/>
    <n v="0.51049999999999995"/>
    <n v="14.36"/>
  </r>
  <r>
    <x v="548"/>
    <n v="0.49469999999999997"/>
    <n v="12.41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84">
  <r>
    <x v="0"/>
    <n v="114.41"/>
    <n v="114.88"/>
    <n v="115.09"/>
    <n v="97.66"/>
    <n v="4"/>
    <s v="WCS"/>
    <n v="97.66"/>
    <n v="3.73"/>
    <n v="4.5199999999999996"/>
    <n v="0.78999999999999959"/>
  </r>
  <r>
    <x v="1"/>
    <n v="114.03"/>
    <n v="111"/>
    <n v="113.12"/>
    <n v="93.52"/>
    <n v="4"/>
    <s v="WCS"/>
    <n v="93.52"/>
    <n v="3.72"/>
    <n v="4.54"/>
    <n v="0.81999999999999984"/>
  </r>
  <r>
    <x v="2"/>
    <n v="113.24"/>
    <n v="115.07"/>
    <n v="110.05"/>
    <n v="90.17"/>
    <n v="4"/>
    <s v="WCS"/>
    <n v="90.17"/>
    <n v="3.661"/>
    <n v="4.54"/>
    <n v="0.879"/>
  </r>
  <r>
    <x v="3"/>
    <n v="113.79"/>
    <n v="113.39"/>
    <n v="111.74"/>
    <n v="92.09"/>
    <n v="4"/>
    <s v="WCS"/>
    <n v="92.09"/>
    <n v="3.7298"/>
    <n v="4.5599999999999996"/>
    <n v="0.8301999999999996"/>
  </r>
  <r>
    <x v="4"/>
    <n v="114.9"/>
    <n v="115.97"/>
    <n v="114.65"/>
    <n v="95.42"/>
    <n v="4"/>
    <s v="WCS"/>
    <n v="95.42"/>
    <n v="3.69"/>
    <n v="4.59"/>
    <n v="0.89999999999999991"/>
  </r>
  <r>
    <x v="5"/>
    <n v="114.33"/>
    <n v="118.97"/>
    <n v="113.12"/>
    <n v="96"/>
    <n v="4"/>
    <s v="WCS"/>
    <n v="96"/>
    <n v="3.7930000000000001"/>
    <n v="4.63"/>
    <n v="0.83699999999999974"/>
  </r>
  <r>
    <x v="6"/>
    <n v="117.52"/>
    <n v="119.24"/>
    <n v="119.81"/>
    <n v="97.66"/>
    <n v="4"/>
    <s v="WCS"/>
    <n v="97.66"/>
    <n v="3.9558"/>
    <n v="4.63"/>
    <n v="0.67419999999999991"/>
  </r>
  <r>
    <x v="7"/>
    <n v="116.47"/>
    <n v="121.07"/>
    <n v="118.51"/>
    <n v="101.21"/>
    <n v="4"/>
    <s v="WCS"/>
    <n v="101.21"/>
    <n v="3.8942000000000001"/>
    <n v="4.6399999999999997"/>
    <n v="0.74579999999999957"/>
  </r>
  <r>
    <x v="8"/>
    <n v="118.22"/>
    <n v="123.73"/>
    <n v="121.17"/>
    <n v="104.83"/>
    <n v="4"/>
    <s v="WCS"/>
    <n v="104.83"/>
    <n v="3.9937999999999998"/>
    <n v="4.66"/>
    <n v="0.66620000000000035"/>
  </r>
  <r>
    <x v="9"/>
    <n v="119.36"/>
    <n v="120.66"/>
    <n v="122.27"/>
    <n v="106.83"/>
    <n v="4"/>
    <s v="WCS"/>
    <n v="106.83"/>
    <n v="4.0353000000000003"/>
    <n v="4.67"/>
    <n v="0.6346999999999996"/>
  </r>
  <r>
    <x v="10"/>
    <n v="119.24"/>
    <n v="123.19"/>
    <n v="122.01"/>
    <n v="106.57"/>
    <n v="4"/>
    <s v="WCS"/>
    <n v="106.57"/>
    <n v="4.1722000000000001"/>
    <n v="4.67"/>
    <n v="0.4977999999999998"/>
  </r>
  <r>
    <x v="11"/>
    <n v="119.84"/>
    <n v="123.21"/>
    <n v="123.07"/>
    <n v="107.41"/>
    <n v="4"/>
    <s v="WCS"/>
    <n v="107.41"/>
    <n v="4.2762000000000002"/>
    <n v="4.6500000000000004"/>
    <n v="0.37380000000000013"/>
  </r>
  <r>
    <x v="12"/>
    <n v="120.3"/>
    <n v="121.54"/>
    <n v="123.58"/>
    <n v="108.01"/>
    <n v="4"/>
    <s v="WCS"/>
    <n v="108.01"/>
    <n v="4.2218999999999998"/>
    <n v="4.67"/>
    <n v="0.44810000000000016"/>
  </r>
  <r>
    <x v="13"/>
    <n v="118.25"/>
    <n v="120.16"/>
    <n v="120.57"/>
    <n v="105.31"/>
    <n v="4"/>
    <s v="WCS"/>
    <n v="105.31"/>
    <n v="4.1577000000000002"/>
    <n v="4.68"/>
    <n v="0.52229999999999954"/>
  </r>
  <r>
    <x v="14"/>
    <n v="117.47"/>
    <n v="119.85"/>
    <n v="119.51"/>
    <n v="104.4"/>
    <n v="4"/>
    <s v="WCS"/>
    <n v="104.4"/>
    <n v="4.1929999999999996"/>
    <n v="4.6900000000000004"/>
    <n v="0.49700000000000077"/>
  </r>
  <r>
    <x v="15"/>
    <n v="117.72"/>
    <n v="117.15"/>
    <n v="119.72"/>
    <n v="104.77"/>
    <n v="4"/>
    <s v="WCS"/>
    <n v="104.77"/>
    <n v="4.2522000000000002"/>
    <n v="4.68"/>
    <n v="0.42779999999999951"/>
  </r>
  <r>
    <x v="16"/>
    <n v="115.94"/>
    <n v="114.62"/>
    <n v="117.61"/>
    <n v="102.77"/>
    <n v="4"/>
    <s v="WCS"/>
    <n v="102.77"/>
    <n v="4.1909000000000001"/>
    <n v="4.68"/>
    <n v="0.48909999999999965"/>
  </r>
  <r>
    <x v="17"/>
    <n v="114.41"/>
    <n v="117.07"/>
    <n v="116.29"/>
    <n v="101.16"/>
    <n v="4"/>
    <s v="WCS"/>
    <n v="101.16"/>
    <n v="4.0716000000000001"/>
    <n v="4.6500000000000004"/>
    <n v="0.57840000000000025"/>
  </r>
  <r>
    <x v="18"/>
    <n v="109.26"/>
    <n v="122.94"/>
    <n v="122.84"/>
    <n v="100.57"/>
    <n v="4"/>
    <s v="WCS"/>
    <n v="100.57"/>
    <n v="3.9161999999999999"/>
    <n v="4.57"/>
    <n v="0.65380000000000038"/>
  </r>
  <r>
    <x v="19"/>
    <n v="109.28"/>
    <n v="120.01"/>
    <n v="119.43"/>
    <n v="100.97"/>
    <n v="4"/>
    <s v="WCS"/>
    <n v="100.97"/>
    <n v="3.9119000000000002"/>
    <n v="4.5199999999999996"/>
    <n v="0.60809999999999942"/>
  </r>
  <r>
    <x v="20"/>
    <n v="109.19"/>
    <n v="118.84"/>
    <n v="117.4"/>
    <s v="n/a"/>
    <n v="1"/>
    <s v="WTI Crude"/>
    <n v="109.19"/>
    <n v="3.7924000000000002"/>
    <n v="4.5199999999999996"/>
    <n v="0.72759999999999936"/>
  </r>
  <r>
    <x v="21"/>
    <n v="108.65"/>
    <n v="116.5"/>
    <n v="114.03"/>
    <s v="n/a"/>
    <n v="1"/>
    <s v="WTI Crude"/>
    <n v="108.65"/>
    <n v="3.7252999999999998"/>
    <n v="4.51"/>
    <n v="0.78469999999999995"/>
  </r>
  <r>
    <x v="22"/>
    <n v="108.54"/>
    <n v="115.83"/>
    <n v="113.56"/>
    <s v="n/a"/>
    <n v="1"/>
    <s v="WTI Crude"/>
    <n v="108.54"/>
    <n v="3.6897000000000002"/>
    <n v="4.4400000000000004"/>
    <n v="0.75030000000000019"/>
  </r>
  <r>
    <x v="23"/>
    <n v="108.67"/>
    <n v="114.96"/>
    <n v="113.42"/>
    <s v="n/a"/>
    <n v="1"/>
    <s v="WTI Crude"/>
    <n v="108.67"/>
    <n v="3.6802000000000001"/>
    <n v="4.3899999999999997"/>
    <n v="0.70979999999999954"/>
  </r>
  <r>
    <x v="24"/>
    <n v="108.66"/>
    <n v="115.95"/>
    <n v="112.55"/>
    <s v="n/a"/>
    <n v="1"/>
    <s v="WTI Crude"/>
    <n v="108.66"/>
    <n v="3.6897000000000002"/>
    <n v="4.3600000000000003"/>
    <n v="0.67030000000000012"/>
  </r>
  <r>
    <x v="25"/>
    <n v="108.5"/>
    <n v="114.69"/>
    <n v="112.04"/>
    <s v="n/a"/>
    <n v="1"/>
    <s v="WTI Crude"/>
    <n v="108.5"/>
    <n v="3.6776"/>
    <m/>
    <n v="-3.6776"/>
  </r>
  <r>
    <x v="26"/>
    <n v="107.44"/>
    <n v="111.94"/>
    <n v="109.11"/>
    <s v="n/a"/>
    <n v="1"/>
    <s v="WTI Crude"/>
    <n v="107.44"/>
    <n v="3.5912999999999999"/>
    <n v="4.3499999999999996"/>
    <n v="0.75869999999999971"/>
  </r>
  <r>
    <x v="27"/>
    <n v="108.58"/>
    <n v="114.84"/>
    <n v="111.93"/>
    <s v="n/a"/>
    <n v="1"/>
    <s v="WTI Crude"/>
    <n v="108.58"/>
    <n v="3.7763"/>
    <m/>
    <n v="-3.7763"/>
  </r>
  <r>
    <x v="28"/>
    <n v="109.55"/>
    <n v="117.1"/>
    <n v="114.24"/>
    <s v="n/a"/>
    <n v="1"/>
    <s v="WTI Crude"/>
    <n v="109.55"/>
    <n v="3.8405"/>
    <m/>
    <n v="-3.8405"/>
  </r>
  <r>
    <x v="29"/>
    <n v="107.75"/>
    <n v="112.98"/>
    <n v="111.55"/>
    <s v="n/a"/>
    <n v="1"/>
    <s v="WTI Crude"/>
    <n v="107.75"/>
    <n v="3.9578000000000002"/>
    <n v="4.37"/>
    <n v="0.4121999999999999"/>
  </r>
  <r>
    <x v="30"/>
    <n v="105.3"/>
    <n v="112.27"/>
    <n v="107.45"/>
    <s v="n/a"/>
    <n v="1"/>
    <s v="WTI Crude"/>
    <n v="105.3"/>
    <n v="3.7917000000000001"/>
    <m/>
    <n v="-3.7917000000000001"/>
  </r>
  <r>
    <x v="31"/>
    <n v="105.05"/>
    <n v="109.2"/>
    <n v="107.51"/>
    <s v="n/a"/>
    <n v="1"/>
    <s v="WTI Crude"/>
    <n v="105.05"/>
    <n v="3.6855000000000002"/>
    <m/>
    <n v="-3.6855000000000002"/>
  </r>
  <r>
    <x v="32"/>
    <n v="101.19"/>
    <n v="108.92"/>
    <n v="102.46"/>
    <s v="n/a"/>
    <n v="1"/>
    <s v="WTI Crude"/>
    <n v="101.19"/>
    <n v="3.5415000000000001"/>
    <m/>
    <n v="-3.5415000000000001"/>
  </r>
  <r>
    <x v="33"/>
    <n v="103.57"/>
    <n v="108.08"/>
    <n v="105.94"/>
    <s v="n/a"/>
    <n v="1"/>
    <s v="WTI Crude"/>
    <n v="103.57"/>
    <n v="3.6419000000000001"/>
    <n v="4.37"/>
    <n v="0.72809999999999997"/>
  </r>
  <r>
    <x v="34"/>
    <n v="108.62"/>
    <n v="112.38"/>
    <n v="112.39"/>
    <s v="n/a"/>
    <n v="1"/>
    <s v="WTI Crude"/>
    <n v="108.62"/>
    <n v="3.7589999999999999"/>
    <m/>
    <n v="-3.7589999999999999"/>
  </r>
  <r>
    <x v="35"/>
    <n v="107.38"/>
    <n v="114.27"/>
    <n v="110.9"/>
    <s v="n/a"/>
    <n v="1"/>
    <s v="WTI Crude"/>
    <n v="107.38"/>
    <n v="3.6587000000000001"/>
    <m/>
    <n v="-3.6587000000000001"/>
  </r>
  <r>
    <x v="36"/>
    <n v="106.97"/>
    <n v="112.94"/>
    <n v="110.14"/>
    <s v="n/a"/>
    <n v="1"/>
    <s v="WTI Crude"/>
    <n v="106.97"/>
    <n v="3.6522999999999999"/>
    <m/>
    <n v="-3.6522999999999999"/>
  </r>
  <r>
    <x v="37"/>
    <n v="102.11"/>
    <n v="110.73"/>
    <n v="104.97"/>
    <s v="n/a"/>
    <n v="1"/>
    <s v="WTI Crude"/>
    <n v="102.11"/>
    <n v="3.5011999999999999"/>
    <n v="4.25"/>
    <n v="0.74880000000000013"/>
  </r>
  <r>
    <x v="38"/>
    <n v="104.67"/>
    <n v="109.7"/>
    <n v="107.58"/>
    <s v="n/a"/>
    <n v="1"/>
    <s v="WTI Crude"/>
    <n v="104.67"/>
    <n v="3.5101"/>
    <m/>
    <n v="-3.5101"/>
  </r>
  <r>
    <x v="39"/>
    <n v="101.64"/>
    <n v="110.09"/>
    <n v="109.34"/>
    <s v="n/a"/>
    <n v="1"/>
    <s v="WTI Crude"/>
    <n v="101.64"/>
    <n v="3.4424000000000001"/>
    <n v="4.24"/>
    <n v="0.79760000000000009"/>
  </r>
  <r>
    <x v="40"/>
    <n v="101.67"/>
    <n v="107.99"/>
    <n v="107.59"/>
    <s v="n/a"/>
    <n v="1"/>
    <s v="WTI Crude"/>
    <n v="101.67"/>
    <n v="3.4759000000000002"/>
    <n v="3.99"/>
    <n v="0.5141"/>
  </r>
  <r>
    <x v="41"/>
    <n v="101.34"/>
    <n v="105.3"/>
    <n v="105.32"/>
    <s v="n/a"/>
    <n v="1"/>
    <s v="WTI Crude"/>
    <n v="101.34"/>
    <n v="3.4135"/>
    <m/>
    <n v="-3.4135"/>
  </r>
  <r>
    <x v="42"/>
    <n v="101.29"/>
    <n v="105.33"/>
    <n v="104.99"/>
    <s v="n/a"/>
    <n v="1"/>
    <s v="WTI Crude"/>
    <n v="101.29"/>
    <n v="3.3109999999999999"/>
    <n v="4.2300000000000004"/>
    <n v="0.91900000000000048"/>
  </r>
  <r>
    <x v="43"/>
    <n v="100.66"/>
    <n v="102.94"/>
    <n v="102.32"/>
    <s v="n/a"/>
    <n v="1"/>
    <s v="WTI Crude"/>
    <n v="100.66"/>
    <n v="3.2206000000000001"/>
    <m/>
    <n v="-3.2206000000000001"/>
  </r>
  <r>
    <x v="44"/>
    <n v="101.54"/>
    <n v="101.93"/>
    <n v="106.65"/>
    <s v="n/a"/>
    <n v="1"/>
    <s v="WTI Crude"/>
    <n v="101.54"/>
    <n v="3.286"/>
    <m/>
    <n v="-3.286"/>
  </r>
  <r>
    <x v="45"/>
    <n v="102.06"/>
    <n v="107.66"/>
    <n v="108.33"/>
    <s v="n/a"/>
    <n v="1"/>
    <s v="WTI Crude"/>
    <n v="102.06"/>
    <n v="3.3174999999999999"/>
    <n v="4.17"/>
    <n v="0.85250000000000004"/>
  </r>
  <r>
    <x v="46"/>
    <n v="101.5"/>
    <n v="108.81"/>
    <n v="106.8"/>
    <s v="n/a"/>
    <n v="1"/>
    <s v="WTI Crude"/>
    <n v="101.5"/>
    <n v="3.2618"/>
    <m/>
    <n v="-3.2618"/>
  </r>
  <r>
    <x v="47"/>
    <n v="101.44"/>
    <n v="107.97"/>
    <n v="107.25"/>
    <s v="n/a"/>
    <n v="1"/>
    <s v="WTI Crude"/>
    <n v="101.44"/>
    <n v="3.2288999999999999"/>
    <m/>
    <n v="-3.2288999999999999"/>
  </r>
  <r>
    <x v="48"/>
    <n v="103.95"/>
    <n v="110.52"/>
    <n v="113.16"/>
    <s v="n/a"/>
    <n v="1"/>
    <s v="WTI Crude"/>
    <n v="103.95"/>
    <n v="3.3580000000000001"/>
    <n v="4.05"/>
    <n v="0.69199999999999973"/>
  </r>
  <r>
    <x v="49"/>
    <n v="103.33"/>
    <n v="110.54"/>
    <n v="111.7"/>
    <s v="n/a"/>
    <n v="1"/>
    <s v="WTI Crude"/>
    <n v="103.33"/>
    <n v="3.3814000000000002"/>
    <m/>
    <n v="-3.3814000000000002"/>
  </r>
  <r>
    <x v="50"/>
    <n v="101.89"/>
    <n v="108.52"/>
    <n v="108.78"/>
    <s v="n/a"/>
    <n v="1"/>
    <s v="WTI Crude"/>
    <n v="101.89"/>
    <n v="3.2913000000000001"/>
    <m/>
    <n v="-3.2913000000000001"/>
  </r>
  <r>
    <x v="51"/>
    <n v="99.7"/>
    <n v="106.07"/>
    <n v="104.64"/>
    <s v="n/a"/>
    <n v="1"/>
    <s v="WTI Crude"/>
    <n v="99.7"/>
    <n v="3.1537999999999999"/>
    <m/>
    <n v="-3.1537999999999999"/>
  </r>
  <r>
    <x v="52"/>
    <n v="95.63"/>
    <n v="102.41"/>
    <n v="98.48"/>
    <s v="n/a"/>
    <n v="1"/>
    <s v="WTI Crude"/>
    <n v="95.63"/>
    <n v="3.0030999999999999"/>
    <n v="3.96"/>
    <n v="0.95690000000000008"/>
  </r>
  <r>
    <x v="53"/>
    <n v="98.35"/>
    <n v="100.08"/>
    <n v="102.78"/>
    <s v="n/a"/>
    <n v="1"/>
    <s v="WTI Crude"/>
    <n v="98.35"/>
    <n v="3.1316000000000002"/>
    <m/>
    <n v="-3.1316000000000002"/>
  </r>
  <r>
    <x v="54"/>
    <n v="96.68"/>
    <n v="101.06"/>
    <n v="100.58"/>
    <s v="n/a"/>
    <n v="1"/>
    <s v="WTI Crude"/>
    <n v="96.68"/>
    <n v="3.0398000000000001"/>
    <m/>
    <n v="-3.0398000000000001"/>
  </r>
  <r>
    <x v="55"/>
    <n v="96.73"/>
    <n v="100.16"/>
    <n v="101.07"/>
    <s v="n/a"/>
    <n v="1"/>
    <s v="WTI Crude"/>
    <n v="96.73"/>
    <n v="3.0461999999999998"/>
    <n v="3.92"/>
    <n v="0.87380000000000013"/>
  </r>
  <r>
    <x v="56"/>
    <n v="101.44"/>
    <n v="106.17"/>
    <n v="106.64"/>
    <s v="n/a"/>
    <n v="1"/>
    <s v="WTI Crude"/>
    <n v="101.44"/>
    <n v="3.1648999999999998"/>
    <m/>
    <n v="-3.1648999999999998"/>
  </r>
  <r>
    <x v="57"/>
    <n v="102.58"/>
    <n v="108.08"/>
    <n v="107.53"/>
    <s v="n/a"/>
    <n v="1"/>
    <s v="WTI Crude"/>
    <n v="102.58"/>
    <n v="3.1981000000000002"/>
    <m/>
    <n v="-3.1981000000000002"/>
  </r>
  <r>
    <x v="58"/>
    <n v="98.79"/>
    <n v="106.26"/>
    <n v="104.39"/>
    <n v="89.06"/>
    <n v="4"/>
    <s v="WCS"/>
    <n v="89.06"/>
    <n v="3.1535000000000002"/>
    <n v="3.78"/>
    <n v="0.62649999999999961"/>
  </r>
  <r>
    <x v="59"/>
    <n v="108.26"/>
    <n v="104.93"/>
    <n v="107.91"/>
    <s v="n/a"/>
    <n v="2"/>
    <s v="Opec Basket"/>
    <n v="104.93"/>
    <n v="3.1509"/>
    <m/>
    <n v="-3.1509"/>
  </r>
  <r>
    <x v="60"/>
    <n v="108.59"/>
    <n v="107.74"/>
    <n v="113.45"/>
    <s v="n/a"/>
    <n v="2"/>
    <s v="Opec Basket"/>
    <n v="107.74"/>
    <n v="3.2864"/>
    <m/>
    <n v="-3.2864"/>
  </r>
  <r>
    <x v="61"/>
    <n v="108.28"/>
    <n v="110.46"/>
    <n v="110.23"/>
    <s v="n/a"/>
    <n v="1"/>
    <s v="WTI Crude"/>
    <n v="108.28"/>
    <n v="3.1766999999999999"/>
    <n v="3.82"/>
    <n v="0.64329999999999998"/>
  </r>
  <r>
    <x v="62"/>
    <n v="108.5"/>
    <n v="110.05"/>
    <n v="112.48"/>
    <s v="n/a"/>
    <n v="1"/>
    <s v="WTI Crude"/>
    <n v="108.5"/>
    <n v="3.1962000000000002"/>
    <m/>
    <n v="-3.1962000000000002"/>
  </r>
  <r>
    <x v="63"/>
    <n v="109.88"/>
    <n v="113.39"/>
    <n v="120.65"/>
    <s v="n/a"/>
    <n v="1"/>
    <s v="WTI Crude"/>
    <n v="109.88"/>
    <n v="3.4363000000000001"/>
    <m/>
    <n v="-3.4363000000000001"/>
  </r>
  <r>
    <x v="64"/>
    <n v="109.54"/>
    <n v="115.99"/>
    <n v="119.03"/>
    <s v="n/a"/>
    <n v="1"/>
    <s v="WTI Crude"/>
    <n v="109.54"/>
    <n v="3.3689"/>
    <n v="3.83"/>
    <n v="0.46110000000000007"/>
  </r>
  <r>
    <x v="65"/>
    <n v="110.22"/>
    <n v="118.72"/>
    <n v="121.6"/>
    <s v="n/a"/>
    <n v="1"/>
    <s v="WTI Crude"/>
    <n v="110.22"/>
    <n v="3.4195000000000002"/>
    <m/>
    <n v="-3.4195000000000002"/>
  </r>
  <r>
    <x v="66"/>
    <n v="108.5"/>
    <n v="116.79"/>
    <n v="115.48"/>
    <s v="n/a"/>
    <n v="1"/>
    <s v="WTI Crude"/>
    <n v="108.5"/>
    <n v="3.3046000000000002"/>
    <m/>
    <n v="-3.3046000000000002"/>
  </r>
  <r>
    <x v="67"/>
    <n v="108.73"/>
    <n v="114.44"/>
    <n v="115.62"/>
    <s v="n/a"/>
    <n v="1"/>
    <s v="WTI Crude"/>
    <n v="108.73"/>
    <n v="3.3378999999999999"/>
    <n v="3.82"/>
    <n v="0.48209999999999997"/>
  </r>
  <r>
    <x v="68"/>
    <n v="105.99"/>
    <n v="113.65"/>
    <n v="107.93"/>
    <s v="n/a"/>
    <n v="1"/>
    <s v="WTI Crude"/>
    <n v="105.99"/>
    <n v="3.2059000000000002"/>
    <m/>
    <n v="-3.2059000000000002"/>
  </r>
  <r>
    <x v="69"/>
    <n v="105.32"/>
    <n v="108.93"/>
    <n v="106.64"/>
    <s v="n/a"/>
    <n v="1"/>
    <s v="WTI Crude"/>
    <n v="105.32"/>
    <n v="3.1821999999999999"/>
    <m/>
    <n v="-3.1821999999999999"/>
  </r>
  <r>
    <x v="70"/>
    <n v="101.49"/>
    <n v="104.77"/>
    <n v="98.02"/>
    <s v="n/a"/>
    <n v="3"/>
    <s v="Brent Crude"/>
    <n v="98.02"/>
    <n v="2.952"/>
    <m/>
    <n v="-2.952"/>
  </r>
  <r>
    <x v="71"/>
    <n v="102.16"/>
    <n v="103.87"/>
    <n v="99.91"/>
    <s v="n/a"/>
    <n v="3"/>
    <s v="Brent Crude"/>
    <n v="99.91"/>
    <n v="2.9657"/>
    <n v="3.8"/>
    <n v="0.83429999999999982"/>
  </r>
  <r>
    <x v="72"/>
    <n v="105.82"/>
    <n v="102.67"/>
    <n v="106.9"/>
    <s v="n/a"/>
    <n v="2"/>
    <s v="Opec Basket"/>
    <n v="102.67"/>
    <n v="3.1339000000000001"/>
    <n v="4.1900000000000004"/>
    <n v="1.0561000000000003"/>
  </r>
  <r>
    <x v="73"/>
    <n v="109.3"/>
    <n v="110.48"/>
    <n v="112.67"/>
    <s v="n/a"/>
    <n v="1"/>
    <s v="WTI Crude"/>
    <n v="109.3"/>
    <n v="3.3121"/>
    <m/>
    <n v="-3.3121"/>
  </r>
  <r>
    <x v="74"/>
    <n v="107.14"/>
    <n v="113.1"/>
    <n v="109.33"/>
    <s v="n/a"/>
    <n v="1"/>
    <s v="WTI Crude"/>
    <n v="107.14"/>
    <n v="3.1566999999999998"/>
    <n v="3.82"/>
    <n v="0.6633"/>
  </r>
  <r>
    <x v="75"/>
    <n v="108.82"/>
    <n v="117.04"/>
    <n v="111.14"/>
    <s v="n/a"/>
    <n v="1"/>
    <s v="WTI Crude"/>
    <n v="108.82"/>
    <n v="3.2938000000000001"/>
    <m/>
    <n v="-3.2938000000000001"/>
  </r>
  <r>
    <x v="76"/>
    <n v="119.78"/>
    <n v="128.27000000000001"/>
    <n v="127.98"/>
    <s v="n/a"/>
    <n v="1"/>
    <s v="WTI Crude"/>
    <n v="119.78"/>
    <n v="3.6825999999999999"/>
    <m/>
    <n v="-3.6825999999999999"/>
  </r>
  <r>
    <x v="77"/>
    <n v="116.55"/>
    <n v="127.74"/>
    <n v="123.21"/>
    <s v="n/a"/>
    <n v="1"/>
    <s v="WTI Crude"/>
    <n v="116.55"/>
    <n v="3.5720999999999998"/>
    <n v="3.85"/>
    <n v="0.27790000000000026"/>
  </r>
  <r>
    <x v="78"/>
    <n v="113.49"/>
    <n v="126.32"/>
    <n v="118.11"/>
    <s v="n/a"/>
    <n v="1"/>
    <s v="WTI Crude"/>
    <n v="113.49"/>
    <n v="3.544"/>
    <m/>
    <n v="-3.544"/>
  </r>
  <r>
    <x v="79"/>
    <n v="106.68"/>
    <n v="112.96"/>
    <n v="110.46"/>
    <s v="n/a"/>
    <n v="1"/>
    <s v="WTI Crude"/>
    <n v="106.68"/>
    <n v="3.2844000000000002"/>
    <m/>
    <n v="-3.2844000000000002"/>
  </r>
  <r>
    <x v="80"/>
    <n v="109.21"/>
    <n v="116.87"/>
    <n v="112.93"/>
    <s v="n/a"/>
    <n v="1"/>
    <s v="WTI Crude"/>
    <n v="109.21"/>
    <n v="3.3083"/>
    <n v="3.9"/>
    <n v="0.59169999999999989"/>
  </r>
  <r>
    <x v="81"/>
    <n v="102.44"/>
    <n v="112.01"/>
    <n v="104.97"/>
    <n v="94.57"/>
    <n v="4"/>
    <s v="WCS"/>
    <n v="94.57"/>
    <n v="3.0886999999999998"/>
    <m/>
    <n v="-3.0886999999999998"/>
  </r>
  <r>
    <x v="82"/>
    <n v="91.63"/>
    <n v="103.7"/>
    <n v="100.99"/>
    <s v="Nn/a"/>
    <n v="1"/>
    <s v="WTI Crude"/>
    <n v="91.63"/>
    <n v="2.9325000000000001"/>
    <m/>
    <n v="-2.9325000000000001"/>
  </r>
  <r>
    <x v="83"/>
    <n v="91.41"/>
    <n v="98.96"/>
    <n v="97.93"/>
    <s v="n/a"/>
    <n v="1"/>
    <s v="WTI Crude"/>
    <n v="91.41"/>
    <n v="2.8740999999999999"/>
    <n v="3.92"/>
    <n v="1.0459000000000001"/>
  </r>
  <r>
    <x v="84"/>
    <n v="91.54"/>
    <n v="96.41"/>
    <n v="99.08"/>
    <s v="n/a"/>
    <n v="1"/>
    <s v="WTI Crude"/>
    <n v="91.54"/>
    <n v="2.9165000000000001"/>
    <m/>
    <n v="-2.9165000000000001"/>
  </r>
  <r>
    <x v="85"/>
    <n v="91.43"/>
    <n v="100.95"/>
    <n v="97.13"/>
    <s v="n/a"/>
    <n v="1"/>
    <s v="WTI Crude"/>
    <n v="91.43"/>
    <n v="2.8759999999999999"/>
    <m/>
    <n v="-2.8759999999999999"/>
  </r>
  <r>
    <x v="86"/>
    <n v="91.39"/>
    <n v="95.84"/>
    <n v="96.84"/>
    <s v="n/a"/>
    <n v="1"/>
    <s v="WTI Crude"/>
    <n v="91.39"/>
    <n v="2.8542999999999998"/>
    <m/>
    <n v="-2.8542999999999998"/>
  </r>
  <r>
    <x v="87"/>
    <n v="90.96"/>
    <n v="97.68"/>
    <n v="93.54"/>
    <s v="n/a"/>
    <n v="1"/>
    <s v="WTI Crude"/>
    <n v="90.96"/>
    <n v="2.8119000000000001"/>
    <n v="3.96"/>
    <n v="1.1480999999999999"/>
  </r>
  <r>
    <x v="88"/>
    <n v="91"/>
    <n v="94.04"/>
    <n v="92.97"/>
    <s v="n/a"/>
    <n v="1"/>
    <s v="WTI Crude"/>
    <n v="91"/>
    <n v="2.7959999999999998"/>
    <n v="3.4990000000000001"/>
    <n v="0.70300000000000029"/>
  </r>
  <r>
    <x v="89"/>
    <n v="91.68"/>
    <n v="92.55"/>
    <n v="94.81"/>
    <s v="n/a"/>
    <n v="1"/>
    <s v="WTI Crude"/>
    <n v="91.68"/>
    <n v="2.8283"/>
    <m/>
    <n v="-2.8283"/>
  </r>
  <r>
    <x v="90"/>
    <n v="91"/>
    <n v="93.78"/>
    <n v="93.28"/>
    <s v="n/a"/>
    <n v="1"/>
    <s v="WTI Crude"/>
    <n v="91"/>
    <n v="2.8094999999999999"/>
    <m/>
    <n v="-2.8094999999999999"/>
  </r>
  <r>
    <x v="91"/>
    <n v="92.59"/>
    <n v="95.07"/>
    <n v="96.48"/>
    <s v="n/a"/>
    <n v="1"/>
    <s v="WTI Crude"/>
    <n v="92.59"/>
    <n v="2.9068000000000001"/>
    <m/>
    <n v="-2.9068000000000001"/>
  </r>
  <r>
    <x v="92"/>
    <n v="91.4"/>
    <n v="94.48"/>
    <n v="94.44"/>
    <s v="n/a"/>
    <n v="1"/>
    <s v="WTI Crude"/>
    <n v="91.4"/>
    <n v="2.7385999999999999"/>
    <m/>
    <n v="-2.7385999999999999"/>
  </r>
  <r>
    <x v="93"/>
    <n v="89.61"/>
    <n v="94.92"/>
    <n v="91.41"/>
    <s v="n/a"/>
    <n v="1"/>
    <s v="WTI Crude"/>
    <n v="89.61"/>
    <n v="2.6654"/>
    <m/>
    <n v="-2.6654"/>
  </r>
  <r>
    <x v="94"/>
    <n v="89.51"/>
    <n v="92.61"/>
    <n v="91.55"/>
    <s v="n/a"/>
    <n v="1"/>
    <s v="WTI Crude"/>
    <n v="89.51"/>
    <n v="2.6534"/>
    <m/>
    <n v="-2.6534"/>
  </r>
  <r>
    <x v="95"/>
    <n v="89.24"/>
    <n v="92.62"/>
    <n v="90.78"/>
    <s v="n/a"/>
    <n v="1"/>
    <s v="WTI Crude"/>
    <n v="89.24"/>
    <n v="2.6251000000000002"/>
    <m/>
    <n v="-2.6251000000000002"/>
  </r>
  <r>
    <x v="96"/>
    <n v="90.67"/>
    <n v="91.59"/>
    <n v="92.69"/>
    <s v="n/a"/>
    <n v="1"/>
    <s v="WTI Crude"/>
    <n v="90.67"/>
    <n v="2.6852999999999998"/>
    <m/>
    <n v="-2.6852999999999998"/>
  </r>
  <r>
    <x v="97"/>
    <n v="91.36"/>
    <n v="91.92"/>
    <n v="93.27"/>
    <s v="n/a"/>
    <n v="1"/>
    <s v="WTI Crude"/>
    <n v="91.36"/>
    <n v="2.6785000000000001"/>
    <m/>
    <n v="-2.6785000000000001"/>
  </r>
  <r>
    <x v="98"/>
    <n v="89.67"/>
    <n v="93.18"/>
    <n v="91.11"/>
    <s v="n/a"/>
    <n v="1"/>
    <s v="WTI Crude"/>
    <n v="89.67"/>
    <n v="2.6427"/>
    <m/>
    <n v="-2.6427"/>
  </r>
  <r>
    <x v="99"/>
    <n v="87.93"/>
    <n v="92.59"/>
    <n v="89.47"/>
    <s v="n/a"/>
    <n v="1"/>
    <s v="WTI Crude"/>
    <n v="87.93"/>
    <n v="2.6070000000000002"/>
    <m/>
    <n v="-2.6070000000000002"/>
  </r>
  <r>
    <x v="100"/>
    <n v="87.83"/>
    <n v="89.73"/>
    <n v="89.16"/>
    <n v="79.099999999999994"/>
    <n v="4"/>
    <s v="WCS"/>
    <n v="79.099999999999994"/>
    <n v="2.5752000000000002"/>
    <n v="3.1989999999999998"/>
    <n v="0.62379999999999969"/>
  </r>
  <r>
    <x v="101"/>
    <n v="82.98"/>
    <n v="89.94"/>
    <n v="91.21"/>
    <s v="n/a"/>
    <n v="1"/>
    <s v="WTI Crude"/>
    <n v="82.98"/>
    <n v="2.5543999999999998"/>
    <m/>
    <n v="-2.5543999999999998"/>
  </r>
  <r>
    <x v="102"/>
    <n v="82.91"/>
    <n v="90.22"/>
    <n v="90.03"/>
    <s v="n/a"/>
    <n v="1"/>
    <s v="WTI Crude"/>
    <n v="82.91"/>
    <n v="2.5379"/>
    <m/>
    <n v="-2.5379"/>
  </r>
  <r>
    <x v="103"/>
    <n v="82.89"/>
    <n v="90.73"/>
    <n v="89.34"/>
    <s v="n/a"/>
    <n v="1"/>
    <s v="WTI Crude"/>
    <n v="82.89"/>
    <n v="2.5209999999999999"/>
    <m/>
    <n v="-2.5209999999999999"/>
  </r>
  <r>
    <x v="104"/>
    <n v="83"/>
    <n v="89.97"/>
    <n v="89.96"/>
    <s v="n/a"/>
    <n v="1"/>
    <s v="WTI Crude"/>
    <n v="83"/>
    <n v="2.5232000000000001"/>
    <m/>
    <n v="-2.5232000000000001"/>
  </r>
  <r>
    <x v="105"/>
    <n v="82.65"/>
    <n v="90.04"/>
    <n v="88.2"/>
    <s v="n/a"/>
    <n v="1"/>
    <s v="WTI Crude"/>
    <n v="82.65"/>
    <n v="2.4626000000000001"/>
    <m/>
    <n v="-2.4626000000000001"/>
  </r>
  <r>
    <x v="106"/>
    <n v="82.08"/>
    <n v="89.18"/>
    <n v="86.27"/>
    <s v="n/a"/>
    <n v="1"/>
    <s v="WTI Crude"/>
    <n v="82.08"/>
    <n v="2.4020999999999999"/>
    <m/>
    <n v="-2.4020999999999999"/>
  </r>
  <r>
    <x v="107"/>
    <n v="82.63"/>
    <n v="87.19"/>
    <n v="87.89"/>
    <s v="n/a"/>
    <n v="1"/>
    <s v="WTI Crude"/>
    <n v="82.63"/>
    <n v="2.4464999999999999"/>
    <m/>
    <n v="-2.4464999999999999"/>
  </r>
  <r>
    <x v="108"/>
    <n v="82.77"/>
    <n v="87.83"/>
    <n v="88.38"/>
    <s v="n/a"/>
    <n v="1"/>
    <s v="WTI Crude"/>
    <n v="82.77"/>
    <n v="2.4662000000000002"/>
    <m/>
    <n v="-2.4662000000000002"/>
  </r>
  <r>
    <x v="109"/>
    <n v="82.86"/>
    <n v="87.3"/>
    <n v="88.44"/>
    <s v="n/a"/>
    <n v="1"/>
    <s v="WTI Crude"/>
    <n v="82.86"/>
    <n v="2.4615"/>
    <m/>
    <n v="-2.4615"/>
  </r>
  <r>
    <x v="110"/>
    <n v="82.37"/>
    <n v="88.39"/>
    <n v="87.51"/>
    <s v="n/a"/>
    <n v="1"/>
    <s v="WTI Crude"/>
    <n v="82.37"/>
    <n v="2.4386999999999999"/>
    <m/>
    <n v="-2.4386999999999999"/>
  </r>
  <r>
    <x v="111"/>
    <n v="81.59"/>
    <n v="88.33"/>
    <n v="86.06"/>
    <s v="n/a"/>
    <n v="1"/>
    <s v="WTI Crude"/>
    <n v="81.59"/>
    <n v="2.4237000000000002"/>
    <m/>
    <n v="-2.4237000000000002"/>
  </r>
  <r>
    <x v="112"/>
    <n v="80.67"/>
    <n v="87.93"/>
    <n v="84.47"/>
    <s v="n/a"/>
    <n v="1"/>
    <s v="WTI Crude"/>
    <n v="80.67"/>
    <n v="2.3877000000000002"/>
    <m/>
    <n v="-2.3877000000000002"/>
  </r>
  <r>
    <x v="113"/>
    <n v="80.94"/>
    <n v="86.38"/>
    <n v="84.67"/>
    <s v="n/a"/>
    <n v="1"/>
    <s v="WTI Crude"/>
    <n v="80.94"/>
    <n v="2.3908"/>
    <m/>
    <n v="-2.3908"/>
  </r>
  <r>
    <x v="114"/>
    <n v="80.040000000000006"/>
    <n v="85.3"/>
    <n v="83.72"/>
    <s v="n/a"/>
    <n v="1"/>
    <s v="WTI Crude"/>
    <n v="80.040000000000006"/>
    <n v="2.3574000000000002"/>
    <m/>
    <n v="-2.3574000000000002"/>
  </r>
  <r>
    <x v="115"/>
    <n v="77.95"/>
    <n v="84.56"/>
    <n v="80.87"/>
    <s v="n/a"/>
    <n v="1"/>
    <s v="WTI Crude"/>
    <n v="77.95"/>
    <n v="2.2753999999999999"/>
    <m/>
    <n v="-2.2753999999999999"/>
  </r>
  <r>
    <x v="116"/>
    <n v="78.48"/>
    <n v="84.19"/>
    <n v="81.75"/>
    <s v="n/a"/>
    <n v="1"/>
    <s v="WTI Crude"/>
    <n v="78.48"/>
    <n v="2.2989000000000002"/>
    <m/>
    <n v="-2.2989000000000002"/>
  </r>
  <r>
    <x v="117"/>
    <n v="78.88"/>
    <n v="81.97"/>
    <n v="81.99"/>
    <s v="n/a"/>
    <n v="1"/>
    <s v="WTI Crude"/>
    <n v="78.88"/>
    <n v="2.3043"/>
    <m/>
    <n v="-2.3043"/>
  </r>
  <r>
    <x v="118"/>
    <n v="77.59"/>
    <n v="81.599999999999994"/>
    <n v="80.8"/>
    <s v="n/a"/>
    <n v="1"/>
    <s v="WTI Crude"/>
    <n v="77.59"/>
    <n v="2.2921"/>
    <m/>
    <n v="-2.2921"/>
  </r>
  <r>
    <x v="119"/>
    <n v="76.86"/>
    <n v="82"/>
    <n v="80"/>
    <s v="n/a"/>
    <n v="1"/>
    <s v="WTI Crude"/>
    <n v="76.86"/>
    <n v="2.2763"/>
    <m/>
    <n v="-2.2763"/>
  </r>
  <r>
    <x v="120"/>
    <n v="76"/>
    <n v="80.650000000000006"/>
    <n v="78.98"/>
    <s v="n/a"/>
    <n v="1"/>
    <s v="WTI Crude"/>
    <n v="76"/>
    <n v="2.2565"/>
    <n v="3.4450000000000003"/>
    <n v="1.1885000000000003"/>
  </r>
  <r>
    <x v="121"/>
    <n v="71.69"/>
    <n v="79.92"/>
    <n v="77.78"/>
    <s v="n/a"/>
    <n v="1"/>
    <s v="WTI Crude"/>
    <n v="71.69"/>
    <n v="2.2246000000000001"/>
    <m/>
    <n v="-2.2246000000000001"/>
  </r>
  <r>
    <x v="122"/>
    <n v="71.77"/>
    <n v="78.78"/>
    <n v="79.319999999999993"/>
    <s v="n/a"/>
    <n v="1"/>
    <s v="WTI Crude"/>
    <n v="71.77"/>
    <n v="2.2913999999999999"/>
    <m/>
    <n v="-2.2913999999999999"/>
  </r>
  <r>
    <x v="123"/>
    <n v="71.73"/>
    <n v="77.86"/>
    <n v="79.23"/>
    <n v="65.25"/>
    <n v="4"/>
    <s v="WCS"/>
    <n v="65.25"/>
    <n v="2.2665999999999999"/>
    <m/>
    <n v="-2.2665999999999999"/>
  </r>
  <r>
    <x v="124"/>
    <n v="71.650000000000006"/>
    <n v="77.97"/>
    <n v="78.94"/>
    <s v="n/a"/>
    <n v="1"/>
    <s v="WTI Crude"/>
    <n v="71.650000000000006"/>
    <n v="2.246"/>
    <m/>
    <n v="-2.246"/>
  </r>
  <r>
    <x v="125"/>
    <n v="71.58"/>
    <n v="78.33"/>
    <n v="78.599999999999994"/>
    <s v="n/a"/>
    <n v="1"/>
    <s v="WTI Crude"/>
    <n v="71.58"/>
    <n v="2.2303999999999999"/>
    <m/>
    <n v="-2.2303999999999999"/>
  </r>
  <r>
    <x v="126"/>
    <n v="71.17"/>
    <n v="78.17"/>
    <n v="76.849999999999994"/>
    <s v="n/a"/>
    <n v="1"/>
    <s v="WTI Crude"/>
    <n v="71.17"/>
    <n v="2.2033"/>
    <m/>
    <n v="-2.2033"/>
  </r>
  <r>
    <x v="127"/>
    <n v="70.89"/>
    <n v="77.39"/>
    <n v="75.290000000000006"/>
    <s v="n/a"/>
    <n v="1"/>
    <s v="WTI Crude"/>
    <n v="70.89"/>
    <n v="2.165"/>
    <m/>
    <n v="-2.165"/>
  </r>
  <r>
    <x v="128"/>
    <n v="70.37"/>
    <n v="75.63"/>
    <n v="73.98"/>
    <s v="n/a"/>
    <n v="1"/>
    <s v="WTI Crude"/>
    <n v="70.37"/>
    <n v="2.1448"/>
    <m/>
    <n v="-2.1448"/>
  </r>
  <r>
    <x v="129"/>
    <n v="69.459999999999994"/>
    <n v="75.5"/>
    <n v="71.52"/>
    <s v="n/a"/>
    <n v="1"/>
    <s v="WTI Crude"/>
    <n v="69.459999999999994"/>
    <n v="2.0785999999999998"/>
    <m/>
    <n v="-2.0785999999999998"/>
  </r>
  <r>
    <x v="130"/>
    <n v="70.349999999999994"/>
    <n v="75.16"/>
    <n v="73.52"/>
    <s v="n/a"/>
    <n v="1"/>
    <s v="WTI Crude"/>
    <n v="70.349999999999994"/>
    <n v="2.1126"/>
    <m/>
    <n v="-2.1126"/>
  </r>
  <r>
    <x v="131"/>
    <n v="71"/>
    <n v="73.989999999999995"/>
    <n v="75.02"/>
    <s v="n/a"/>
    <n v="1"/>
    <s v="WTI Crude"/>
    <n v="71"/>
    <n v="2.1644000000000001"/>
    <m/>
    <n v="-2.1644000000000001"/>
  </r>
  <r>
    <x v="132"/>
    <n v="70.260000000000005"/>
    <n v="72.180000000000007"/>
    <n v="73.88"/>
    <s v="n/a"/>
    <n v="1"/>
    <s v="WTI Crude"/>
    <n v="70.260000000000005"/>
    <n v="2.1122999999999998"/>
    <m/>
    <n v="-2.1122999999999998"/>
  </r>
  <r>
    <x v="133"/>
    <n v="70.180000000000007"/>
    <n v="70.94"/>
    <n v="73.7"/>
    <s v="n/a"/>
    <n v="1"/>
    <s v="WTI Crude"/>
    <n v="70.180000000000007"/>
    <n v="2.1107999999999998"/>
    <m/>
    <n v="-2.1107999999999998"/>
  </r>
  <r>
    <x v="134"/>
    <n v="70.5"/>
    <n v="74.23"/>
    <n v="74.39"/>
    <s v="n/a"/>
    <n v="1"/>
    <s v="WTI Crude"/>
    <n v="70.5"/>
    <n v="2.1164999999999998"/>
    <m/>
    <n v="-2.1164999999999998"/>
  </r>
  <r>
    <x v="135"/>
    <n v="70.760000000000005"/>
    <n v="74.66"/>
    <n v="75.150000000000006"/>
    <s v="n/a"/>
    <n v="1"/>
    <s v="WTI Crude"/>
    <n v="70.760000000000005"/>
    <n v="2.1372"/>
    <m/>
    <n v="-2.1372"/>
  </r>
  <r>
    <x v="136"/>
    <n v="70.28"/>
    <n v="73.12"/>
    <n v="74.42"/>
    <s v="n/a"/>
    <n v="1"/>
    <s v="WTI Crude"/>
    <n v="70.28"/>
    <n v="2.1284000000000001"/>
    <m/>
    <n v="-2.1284000000000001"/>
  </r>
  <r>
    <x v="137"/>
    <n v="71.3"/>
    <n v="74.28"/>
    <n v="75.819999999999993"/>
    <s v="n/a"/>
    <n v="1"/>
    <s v="WTI Crude"/>
    <n v="71.3"/>
    <n v="2.1484999999999999"/>
    <m/>
    <n v="-2.1484999999999999"/>
  </r>
  <r>
    <x v="138"/>
    <n v="71.05"/>
    <n v="75.040000000000006"/>
    <n v="75.44"/>
    <s v="n/a"/>
    <n v="1"/>
    <s v="WTI Crude"/>
    <n v="71.05"/>
    <n v="2.1"/>
    <m/>
    <n v="-2.1"/>
  </r>
  <r>
    <x v="139"/>
    <n v="68.959999999999994"/>
    <n v="74.069999999999993"/>
    <n v="73.08"/>
    <s v="n/a"/>
    <n v="1"/>
    <s v="WTI Crude"/>
    <n v="68.959999999999994"/>
    <n v="2.0432999999999999"/>
    <m/>
    <n v="-2.0432999999999999"/>
  </r>
  <r>
    <x v="140"/>
    <n v="66.180000000000007"/>
    <n v="75.41"/>
    <n v="69.88"/>
    <s v="n/a"/>
    <n v="1"/>
    <s v="WTI Crude"/>
    <n v="66.180000000000007"/>
    <n v="1.9529000000000001"/>
    <m/>
    <n v="-1.9529000000000001"/>
  </r>
  <r>
    <x v="141"/>
    <n v="66.37"/>
    <n v="75.13"/>
    <n v="69.67"/>
    <s v="n/a"/>
    <n v="1"/>
    <s v="WTI Crude"/>
    <n v="66.37"/>
    <n v="1.9677"/>
    <m/>
    <n v="-1.9677"/>
  </r>
  <r>
    <x v="142"/>
    <n v="65.5"/>
    <n v="74.650000000000006"/>
    <n v="68.87"/>
    <s v="n/a"/>
    <n v="1"/>
    <s v="WTI Crude"/>
    <n v="65.5"/>
    <n v="1.9511000000000001"/>
    <m/>
    <n v="-1.9511000000000001"/>
  </r>
  <r>
    <x v="143"/>
    <n v="78.650000000000006"/>
    <n v="71.45"/>
    <n v="70.569999999999993"/>
    <s v="n/a"/>
    <n v="3"/>
    <s v="Brent Crude"/>
    <n v="70.569999999999993"/>
    <n v="1.9400999999999999"/>
    <m/>
    <n v="-1.9400999999999999"/>
  </r>
  <r>
    <x v="144"/>
    <n v="78.83"/>
    <n v="71.650000000000006"/>
    <n v="73.44"/>
    <s v="n/a"/>
    <n v="2"/>
    <s v="Opec Basket"/>
    <n v="71.650000000000006"/>
    <n v="2.0329999999999999"/>
    <m/>
    <n v="-2.0329999999999999"/>
  </r>
  <r>
    <x v="145"/>
    <n v="78.66"/>
    <n v="70.069999999999993"/>
    <n v="72.72"/>
    <s v="n/a"/>
    <n v="2"/>
    <s v="Opec Basket"/>
    <n v="70.069999999999993"/>
    <n v="1.9811000000000001"/>
    <m/>
    <n v="-1.9811000000000001"/>
  </r>
  <r>
    <x v="146"/>
    <n v="80.12"/>
    <n v="71.67"/>
    <n v="82.25"/>
    <n v="53.1"/>
    <n v="4"/>
    <s v="WCS"/>
    <n v="53.1"/>
    <n v="2.2658999999999998"/>
    <n v="3.1"/>
    <n v="0.83410000000000029"/>
  </r>
  <r>
    <x v="147"/>
    <n v="80.150000000000006"/>
    <n v="71.010000000000005"/>
    <n v="82.31"/>
    <s v="n/a"/>
    <n v="2"/>
    <s v="Opec Basket"/>
    <n v="71.010000000000005"/>
    <n v="2.2783000000000002"/>
    <m/>
    <n v="-2.2783000000000002"/>
  </r>
  <r>
    <x v="148"/>
    <n v="79.73"/>
    <n v="74.2"/>
    <n v="79.7"/>
    <s v="n/a"/>
    <n v="2"/>
    <s v="Opec Basket"/>
    <n v="74.2"/>
    <n v="2.2033"/>
    <m/>
    <n v="-2.2033"/>
  </r>
  <r>
    <x v="149"/>
    <n v="79.5"/>
    <n v="76.09"/>
    <n v="78.89"/>
    <s v="n/a"/>
    <n v="2"/>
    <s v="Opec Basket"/>
    <n v="76.09"/>
    <n v="2.1568999999999998"/>
    <m/>
    <n v="-2.1568999999999998"/>
  </r>
  <r>
    <x v="150"/>
    <n v="80.34"/>
    <n v="81.31"/>
    <n v="81.239999999999995"/>
    <s v="n/a"/>
    <n v="1"/>
    <s v="WTI Crude"/>
    <n v="80.34"/>
    <n v="2.2427000000000001"/>
    <m/>
    <n v="-2.2427000000000001"/>
  </r>
  <r>
    <x v="151"/>
    <n v="80.03"/>
    <n v="81.75"/>
    <n v="80.28"/>
    <s v="n/a"/>
    <n v="1"/>
    <s v="WTI Crude"/>
    <n v="80.03"/>
    <n v="2.2305000000000001"/>
    <m/>
    <n v="-2.2305000000000001"/>
  </r>
  <r>
    <x v="152"/>
    <n v="81"/>
    <n v="79.400000000000006"/>
    <n v="82.43"/>
    <s v="n/a"/>
    <n v="2"/>
    <s v="Opec Basket"/>
    <n v="79.400000000000006"/>
    <n v="2.2936000000000001"/>
    <m/>
    <n v="-2.2936000000000001"/>
  </r>
  <r>
    <x v="153"/>
    <n v="81.03"/>
    <n v="78.900000000000006"/>
    <n v="82.05"/>
    <s v="n/a"/>
    <n v="2"/>
    <s v="Opec Basket"/>
    <n v="78.900000000000006"/>
    <n v="2.2761999999999998"/>
    <m/>
    <n v="-2.2761999999999998"/>
  </r>
  <r>
    <x v="154"/>
    <n v="80.989999999999995"/>
    <n v="80.319999999999993"/>
    <n v="82.17"/>
    <s v="n/a"/>
    <n v="2"/>
    <s v="Opec Basket"/>
    <n v="80.319999999999993"/>
    <n v="2.2685"/>
    <m/>
    <n v="-2.2685"/>
  </r>
  <r>
    <x v="155"/>
    <n v="81.430000000000007"/>
    <n v="79.37"/>
    <n v="82.87"/>
    <s v="n/a"/>
    <n v="2"/>
    <s v="Opec Basket"/>
    <n v="79.37"/>
    <n v="2.2806000000000002"/>
    <m/>
    <n v="-2.2806000000000002"/>
  </r>
  <r>
    <x v="156"/>
    <n v="81.239999999999995"/>
    <n v="81.099999999999994"/>
    <n v="82.64"/>
    <s v="n/a"/>
    <n v="2"/>
    <s v="Opec Basket"/>
    <n v="81.099999999999994"/>
    <n v="2.2646000000000002"/>
    <m/>
    <n v="-2.2646000000000002"/>
  </r>
  <r>
    <x v="157"/>
    <n v="83.03"/>
    <n v="82.01"/>
    <n v="84.78"/>
    <s v="n/a"/>
    <n v="2"/>
    <s v="Opec Basket"/>
    <n v="82.01"/>
    <n v="2.3752"/>
    <m/>
    <n v="-2.3752"/>
  </r>
  <r>
    <x v="158"/>
    <n v="81.55"/>
    <n v="80.900000000000006"/>
    <n v="83.43"/>
    <s v="n/a"/>
    <n v="2"/>
    <s v="Opec Basket"/>
    <n v="80.900000000000006"/>
    <n v="2.3222"/>
    <m/>
    <n v="-2.3222"/>
  </r>
  <r>
    <x v="159"/>
    <n v="81.069999999999993"/>
    <n v="81.7"/>
    <n v="82.74"/>
    <s v="n/a"/>
    <n v="1"/>
    <s v="WTI Crude"/>
    <n v="81.069999999999993"/>
    <n v="2.3209"/>
    <m/>
    <n v="-2.3209"/>
  </r>
  <r>
    <x v="160"/>
    <n v="79.08"/>
    <n v="81.99"/>
    <n v="80.540000000000006"/>
    <s v="n/a"/>
    <n v="1"/>
    <s v="WTI Crude"/>
    <n v="79.08"/>
    <n v="2.2926000000000002"/>
    <m/>
    <n v="-2.2926000000000002"/>
  </r>
  <r>
    <x v="161"/>
    <n v="80.790000000000006"/>
    <n v="83.75"/>
    <n v="81.99"/>
    <s v="n/a"/>
    <n v="1"/>
    <s v="WTI Crude"/>
    <n v="80.790000000000006"/>
    <n v="2.3384999999999998"/>
    <m/>
    <n v="-2.3384999999999998"/>
  </r>
  <r>
    <x v="162"/>
    <n v="83.5"/>
    <n v="82.7"/>
    <n v="84.72"/>
    <s v="n/a"/>
    <n v="2"/>
    <s v="Opec Basket"/>
    <n v="82.7"/>
    <n v="2.4500999999999999"/>
    <m/>
    <n v="-2.4500999999999999"/>
  </r>
  <r>
    <x v="163"/>
    <n v="83.59"/>
    <n v="82.39"/>
    <n v="84.71"/>
    <s v="n/a"/>
    <n v="2"/>
    <s v="Opec Basket"/>
    <n v="82.39"/>
    <n v="2.4093"/>
    <m/>
    <n v="-2.4093"/>
  </r>
  <r>
    <x v="164"/>
    <n v="81.22"/>
    <n v="80.16"/>
    <n v="84.38"/>
    <s v="n/a"/>
    <n v="2"/>
    <s v="Opec Basket"/>
    <n v="80.16"/>
    <n v="2.3696999999999999"/>
    <m/>
    <n v="-2.3696999999999999"/>
  </r>
  <r>
    <x v="165"/>
    <n v="81.19"/>
    <n v="81.48"/>
    <n v="84.32"/>
    <s v="n/a"/>
    <n v="1"/>
    <s v="WTI Crude"/>
    <n v="81.19"/>
    <n v="2.3589000000000002"/>
    <m/>
    <n v="-2.3589000000000002"/>
  </r>
  <r>
    <x v="166"/>
    <n v="81.17"/>
    <n v="81.64"/>
    <n v="84.58"/>
    <s v="n/a"/>
    <n v="1"/>
    <s v="WTI Crude"/>
    <n v="81.17"/>
    <n v="2.3792"/>
    <m/>
    <n v="-2.3792"/>
  </r>
  <r>
    <x v="167"/>
    <n v="81.459999999999994"/>
    <n v="83.43"/>
    <n v="86.4"/>
    <s v="n/a"/>
    <n v="1"/>
    <s v="WTI Crude"/>
    <n v="81.459999999999994"/>
    <n v="2.4472"/>
    <m/>
    <n v="-2.4472"/>
  </r>
  <r>
    <x v="168"/>
    <n v="72.17"/>
    <n v="82.55"/>
    <n v="85.99"/>
    <n v="65.25"/>
    <n v="4"/>
    <s v="WCS"/>
    <n v="65.25"/>
    <n v="2.4426999999999999"/>
    <m/>
    <n v="-2.4426999999999999"/>
  </r>
  <r>
    <x v="169"/>
    <n v="81.290000000000006"/>
    <n v="82.87"/>
    <n v="85.53"/>
    <s v="n/a"/>
    <n v="1"/>
    <s v="WTI Crude"/>
    <n v="81.290000000000006"/>
    <n v="2.4156"/>
    <m/>
    <n v="-2.4156"/>
  </r>
  <r>
    <x v="170"/>
    <n v="80.930000000000007"/>
    <n v="82.41"/>
    <n v="84.61"/>
    <s v="n/a"/>
    <n v="1"/>
    <s v="WTI Crude"/>
    <n v="80.930000000000007"/>
    <n v="2.419"/>
    <m/>
    <n v="-2.419"/>
  </r>
  <r>
    <x v="171"/>
    <n v="81.23"/>
    <n v="83.72"/>
    <n v="85.82"/>
    <s v="n/a"/>
    <n v="1"/>
    <s v="WTI Crude"/>
    <n v="81.23"/>
    <n v="2.4468999999999999"/>
    <n v="3.05"/>
    <n v="0.60309999999999997"/>
  </r>
  <r>
    <x v="172"/>
    <n v="80.86"/>
    <n v="84.52"/>
    <n v="85.08"/>
    <s v="n/a"/>
    <n v="1"/>
    <s v="WTI Crude"/>
    <n v="80.86"/>
    <n v="2.4176000000000002"/>
    <m/>
    <n v="-2.4176000000000002"/>
  </r>
  <r>
    <x v="173"/>
    <n v="80.56"/>
    <n v="84.66"/>
    <n v="84.33"/>
    <s v="n/a"/>
    <n v="1"/>
    <s v="WTI Crude"/>
    <n v="80.56"/>
    <n v="2.4222999999999999"/>
    <m/>
    <n v="-2.4222999999999999"/>
  </r>
  <r>
    <x v="174"/>
    <n v="80.55"/>
    <n v="83.4"/>
    <n v="84.86"/>
    <s v="n/a"/>
    <n v="1"/>
    <s v="WTI Crude"/>
    <n v="80.55"/>
    <n v="2.4251"/>
    <m/>
    <n v="-2.4251"/>
  </r>
  <r>
    <x v="175"/>
    <n v="80.05"/>
    <n v="83.36"/>
    <n v="84"/>
    <s v="n/a"/>
    <n v="1"/>
    <s v="WTI Crude"/>
    <n v="80.05"/>
    <n v="2.3824000000000001"/>
    <m/>
    <n v="-2.3824000000000001"/>
  </r>
  <r>
    <x v="176"/>
    <n v="79.53"/>
    <n v="83.3"/>
    <n v="83.18"/>
    <s v="n/a"/>
    <n v="1"/>
    <s v="WTI Crude"/>
    <n v="79.53"/>
    <n v="2.4055"/>
    <m/>
    <n v="-2.4055"/>
  </r>
  <r>
    <x v="177"/>
    <n v="79.62"/>
    <n v="83.48"/>
    <n v="83.42"/>
    <s v="n/a"/>
    <n v="1"/>
    <s v="WTI Crude"/>
    <n v="79.62"/>
    <n v="2.3828999999999998"/>
    <m/>
    <n v="-2.3828999999999998"/>
  </r>
  <r>
    <x v="178"/>
    <n v="79.58"/>
    <n v="84.04"/>
    <n v="83.65"/>
    <s v="n/a"/>
    <n v="1"/>
    <s v="WTI Crude"/>
    <n v="79.58"/>
    <n v="2.3778999999999999"/>
    <m/>
    <n v="-2.3778999999999999"/>
  </r>
  <r>
    <x v="179"/>
    <n v="78.739999999999995"/>
    <n v="83.54"/>
    <n v="82.39"/>
    <s v="n/a"/>
    <n v="1"/>
    <s v="WTI Crude"/>
    <n v="78.739999999999995"/>
    <n v="2.3662000000000001"/>
    <m/>
    <n v="-2.3662000000000001"/>
  </r>
  <r>
    <x v="180"/>
    <n v="78.03"/>
    <n v="82.5"/>
    <n v="81.95"/>
    <s v="n/a"/>
    <n v="1"/>
    <s v="WTI Crude"/>
    <n v="78.03"/>
    <n v="2.3344"/>
    <m/>
    <n v="-2.3344"/>
  </r>
  <r>
    <x v="181"/>
    <n v="77.31"/>
    <n v="81.790000000000006"/>
    <n v="81.08"/>
    <s v="n/a"/>
    <n v="1"/>
    <s v="WTI Crude"/>
    <n v="77.31"/>
    <n v="2.3081999999999998"/>
    <m/>
    <n v="-2.3081999999999998"/>
  </r>
  <r>
    <x v="182"/>
    <n v="78.599999999999994"/>
    <n v="82.37"/>
    <n v="82.56"/>
    <s v="n/a"/>
    <n v="1"/>
    <s v="WTI Crude"/>
    <n v="78.599999999999994"/>
    <n v="2.3578999999999999"/>
    <m/>
    <n v="-2.3578999999999999"/>
  </r>
  <r>
    <x v="183"/>
    <n v="77.44"/>
    <n v="82.53"/>
    <n v="81.260000000000005"/>
    <s v="n/a"/>
    <n v="1"/>
    <s v="WTI Crude"/>
    <n v="77.44"/>
    <n v="2.3085"/>
    <m/>
    <n v="-2.3085"/>
  </r>
  <r>
    <x v="184"/>
    <n v="75.78"/>
    <n v="81.540000000000006"/>
    <n v="79.28"/>
    <s v="n/a"/>
    <n v="1"/>
    <s v="WTI Crude"/>
    <n v="75.78"/>
    <n v="2.25"/>
    <m/>
    <n v="-2.25"/>
  </r>
  <r>
    <x v="185"/>
    <n v="71.13"/>
    <n v="78.58"/>
    <n v="78.52"/>
    <s v="n/a"/>
    <n v="1"/>
    <s v="WTI Crude"/>
    <n v="71.13"/>
    <n v="2.194"/>
    <m/>
    <n v="-2.194"/>
  </r>
  <r>
    <x v="186"/>
    <n v="71.540000000000006"/>
    <n v="80.63"/>
    <n v="78.64"/>
    <s v="n/a"/>
    <n v="1"/>
    <s v="WTI Crude"/>
    <n v="71.540000000000006"/>
    <n v="2.1749999999999998"/>
    <n v="3.2890000000000001"/>
    <n v="1.1140000000000003"/>
  </r>
  <r>
    <x v="187"/>
    <n v="71.58"/>
    <n v="80.44"/>
    <n v="79.09"/>
    <s v="n/a"/>
    <n v="1"/>
    <s v="WTI Crude"/>
    <n v="71.58"/>
    <n v="2.1475"/>
    <m/>
    <n v="-2.1475"/>
  </r>
  <r>
    <x v="188"/>
    <n v="71.599999999999994"/>
    <n v="78.260000000000005"/>
    <n v="79.53"/>
    <s v="n/a"/>
    <n v="1"/>
    <s v="WTI Crude"/>
    <n v="71.599999999999994"/>
    <n v="2.17"/>
    <m/>
    <n v="-2.17"/>
  </r>
  <r>
    <x v="189"/>
    <n v="71.319999999999993"/>
    <n v="76.36"/>
    <n v="78.09"/>
    <n v="69.3"/>
    <n v="4"/>
    <s v="WCS"/>
    <n v="69.3"/>
    <n v="2.1377000000000002"/>
    <m/>
    <n v="-2.1377000000000002"/>
  </r>
  <r>
    <x v="190"/>
    <n v="71.16"/>
    <n v="77.72"/>
    <n v="77.25"/>
    <s v="n/a"/>
    <n v="1"/>
    <s v="WTI Crude"/>
    <n v="71.16"/>
    <n v="2.1261000000000001"/>
    <m/>
    <n v="-2.1261000000000001"/>
  </r>
  <r>
    <x v="191"/>
    <n v="70.849999999999994"/>
    <n v="77.13"/>
    <n v="76.19"/>
    <s v="n/a"/>
    <n v="1"/>
    <s v="WTI Crude"/>
    <n v="70.849999999999994"/>
    <n v="2.0836999999999999"/>
    <m/>
    <n v="-2.0836999999999999"/>
  </r>
  <r>
    <x v="192"/>
    <n v="70.27"/>
    <n v="78.37"/>
    <n v="74.36"/>
    <s v="n/a"/>
    <n v="1"/>
    <s v="WTI Crude"/>
    <n v="70.27"/>
    <n v="2.0598000000000001"/>
    <m/>
    <n v="-2.0598000000000001"/>
  </r>
  <r>
    <x v="193"/>
    <n v="70.14"/>
    <n v="77.73"/>
    <n v="73.92"/>
    <s v="n/a"/>
    <n v="1"/>
    <s v="WTI Crude"/>
    <n v="70.14"/>
    <n v="2.0602999999999998"/>
    <m/>
    <n v="-2.0602999999999998"/>
  </r>
  <r>
    <x v="194"/>
    <n v="70.86"/>
    <n v="76.209999999999994"/>
    <n v="75.34"/>
    <s v="n/a"/>
    <n v="1"/>
    <s v="WTI Crude"/>
    <n v="70.86"/>
    <n v="2.1156999999999999"/>
    <m/>
    <n v="-2.1156999999999999"/>
  </r>
  <r>
    <x v="195"/>
    <n v="71.14"/>
    <n v="75.44"/>
    <n v="75.67"/>
    <s v="n/a"/>
    <n v="1"/>
    <s v="WTI Crude"/>
    <n v="71.14"/>
    <n v="2.1269"/>
    <m/>
    <n v="-2.1269"/>
  </r>
  <r>
    <x v="196"/>
    <n v="71.13"/>
    <n v="74.459999999999994"/>
    <n v="75.459999999999994"/>
    <s v="n/a"/>
    <n v="1"/>
    <s v="WTI Crude"/>
    <n v="71.13"/>
    <n v="2.1438000000000001"/>
    <n v="3.0646499999999999"/>
    <n v="0.92084999999999972"/>
  </r>
  <r>
    <x v="197"/>
    <n v="69.91"/>
    <n v="73.680000000000007"/>
    <n v="73.599999999999994"/>
    <s v="n/a"/>
    <n v="1"/>
    <s v="WTI Crude"/>
    <n v="69.91"/>
    <n v="2.1118999999999999"/>
    <m/>
    <n v="-2.1118999999999999"/>
  </r>
  <r>
    <x v="198"/>
    <n v="69.900000000000006"/>
    <n v="73.47"/>
    <n v="73.510000000000005"/>
    <s v="n/a"/>
    <n v="1"/>
    <s v="WTI Crude"/>
    <n v="69.900000000000006"/>
    <n v="2.1608999999999998"/>
    <m/>
    <n v="-2.1608999999999998"/>
  </r>
  <r>
    <x v="199"/>
    <n v="69.41"/>
    <n v="74.14"/>
    <n v="72.92"/>
    <s v="n/a"/>
    <n v="1"/>
    <s v="WTI Crude"/>
    <n v="69.41"/>
    <n v="2.1539999999999999"/>
    <m/>
    <n v="-2.1539999999999999"/>
  </r>
  <r>
    <x v="200"/>
    <n v="68.3"/>
    <n v="74.17"/>
    <n v="71.45"/>
    <s v="n/a"/>
    <n v="1"/>
    <s v="WTI Crude"/>
    <n v="68.3"/>
    <n v="2.0996999999999999"/>
    <m/>
    <n v="-2.0996999999999999"/>
  </r>
  <r>
    <x v="201"/>
    <n v="69.17"/>
    <n v="73.78"/>
    <n v="72.599999999999994"/>
    <s v="n/a"/>
    <n v="1"/>
    <s v="WTI Crude"/>
    <n v="69.17"/>
    <n v="2.1320999999999999"/>
    <m/>
    <n v="-2.1320999999999999"/>
  </r>
  <r>
    <x v="202"/>
    <n v="68.41"/>
    <n v="73.290000000000006"/>
    <n v="71.69"/>
    <s v="n/a"/>
    <n v="1"/>
    <s v="WTI Crude"/>
    <n v="68.41"/>
    <n v="2.13"/>
    <m/>
    <n v="-2.13"/>
  </r>
  <r>
    <x v="203"/>
    <n v="69.22"/>
    <n v="72.77"/>
    <n v="72.61"/>
    <s v="n/a"/>
    <n v="1"/>
    <s v="WTI Crude"/>
    <n v="69.22"/>
    <n v="2.1539999999999999"/>
    <m/>
    <n v="-2.1539999999999999"/>
  </r>
  <r>
    <x v="204"/>
    <n v="69.84"/>
    <n v="71.98"/>
    <n v="73.03"/>
    <s v="n/a"/>
    <n v="1"/>
    <s v="WTI Crude"/>
    <n v="69.84"/>
    <n v="2.1635"/>
    <m/>
    <n v="-2.1635"/>
  </r>
  <r>
    <x v="205"/>
    <n v="68.5"/>
    <n v="71.819999999999993"/>
    <n v="71.59"/>
    <s v="n/a"/>
    <n v="1"/>
    <s v="WTI Crude"/>
    <n v="68.5"/>
    <n v="2.1109"/>
    <m/>
    <n v="-2.1109"/>
  </r>
  <r>
    <x v="206"/>
    <n v="67.709999999999994"/>
    <n v="71.17"/>
    <n v="72.989999999999995"/>
    <s v="n/a"/>
    <n v="1"/>
    <s v="WTI Crude"/>
    <n v="67.709999999999994"/>
    <n v="2.1419000000000001"/>
    <m/>
    <n v="-2.1419000000000001"/>
  </r>
  <r>
    <x v="207"/>
    <n v="67.739999999999995"/>
    <n v="71.34"/>
    <n v="73.41"/>
    <s v="n/a"/>
    <n v="1"/>
    <s v="WTI Crude"/>
    <n v="67.739999999999995"/>
    <n v="2.1537999999999999"/>
    <m/>
    <n v="-2.1537999999999999"/>
  </r>
  <r>
    <x v="208"/>
    <n v="67.7"/>
    <n v="71.290000000000006"/>
    <n v="72.7"/>
    <s v="n/a"/>
    <n v="1"/>
    <s v="WTI Crude"/>
    <n v="67.7"/>
    <n v="2.1196000000000002"/>
    <m/>
    <n v="-2.1196000000000002"/>
  </r>
  <r>
    <x v="209"/>
    <n v="67.52"/>
    <n v="72.56"/>
    <n v="71.069999999999993"/>
    <s v="n/a"/>
    <n v="1"/>
    <s v="WTI Crude"/>
    <n v="67.52"/>
    <n v="2.0922999999999998"/>
    <m/>
    <n v="-2.0922999999999998"/>
  </r>
  <r>
    <x v="210"/>
    <n v="67.69"/>
    <n v="71.63"/>
    <n v="72.25"/>
    <s v="n/a"/>
    <n v="1"/>
    <s v="WTI Crude"/>
    <n v="67.69"/>
    <n v="2.145"/>
    <m/>
    <n v="-2.145"/>
  </r>
  <r>
    <x v="211"/>
    <n v="67.510000000000005"/>
    <n v="71.25"/>
    <n v="71.05"/>
    <n v="58.02"/>
    <n v="4"/>
    <s v="WCS"/>
    <n v="58.02"/>
    <n v="2.0575999999999999"/>
    <m/>
    <n v="-2.0575999999999999"/>
  </r>
  <r>
    <x v="212"/>
    <n v="66.989999999999995"/>
    <n v="71.430000000000007"/>
    <n v="68.75"/>
    <s v="n/a"/>
    <n v="1"/>
    <s v="WTI Crude"/>
    <n v="66.989999999999995"/>
    <n v="1.9865999999999999"/>
    <m/>
    <n v="-1.9865999999999999"/>
  </r>
  <r>
    <x v="213"/>
    <n v="65.87"/>
    <n v="71.88"/>
    <n v="65.180000000000007"/>
    <s v="n/a"/>
    <n v="3"/>
    <s v="Brent Crude"/>
    <n v="65.180000000000007"/>
    <n v="1.8902000000000001"/>
    <m/>
    <n v="-1.8902000000000001"/>
  </r>
  <r>
    <x v="214"/>
    <n v="66.37"/>
    <n v="71.48"/>
    <n v="66.45"/>
    <s v="n/a"/>
    <n v="1"/>
    <s v="WTI Crude"/>
    <n v="66.37"/>
    <n v="1.9524999999999999"/>
    <m/>
    <n v="-1.9524999999999999"/>
  </r>
  <r>
    <x v="215"/>
    <n v="67.069999999999993"/>
    <n v="70.75"/>
    <n v="68.23"/>
    <s v="n/a"/>
    <n v="1"/>
    <s v="WTI Crude"/>
    <n v="67.069999999999993"/>
    <n v="2.0162"/>
    <m/>
    <n v="-2.0162"/>
  </r>
  <r>
    <x v="216"/>
    <n v="67.59"/>
    <n v="70.59"/>
    <n v="69.03"/>
    <s v="n/a"/>
    <n v="1"/>
    <s v="WTI Crude"/>
    <n v="67.59"/>
    <n v="2.0396999999999998"/>
    <m/>
    <n v="-2.0396999999999998"/>
  </r>
  <r>
    <x v="217"/>
    <n v="67.94"/>
    <n v="69.709999999999994"/>
    <n v="69.510000000000005"/>
    <s v="n/a"/>
    <n v="1"/>
    <s v="WTI Crude"/>
    <n v="67.94"/>
    <n v="2.0668000000000002"/>
    <m/>
    <n v="-2.0668000000000002"/>
  </r>
  <r>
    <x v="218"/>
    <n v="68.569999999999993"/>
    <n v="67.33"/>
    <n v="70.59"/>
    <s v="n/a"/>
    <n v="2"/>
    <s v="Opec Basket"/>
    <n v="67.33"/>
    <n v="2.1128999999999998"/>
    <m/>
    <n v="-2.1128999999999998"/>
  </r>
  <r>
    <x v="219"/>
    <n v="68.97"/>
    <n v="66.13"/>
    <n v="71.31"/>
    <s v="n/a"/>
    <n v="2"/>
    <s v="Opec Basket"/>
    <n v="66.13"/>
    <n v="2.13"/>
    <m/>
    <n v="-2.13"/>
  </r>
  <r>
    <x v="220"/>
    <n v="69.06"/>
    <n v="66.08"/>
    <n v="71.44"/>
    <s v="n/a"/>
    <n v="2"/>
    <s v="Opec Basket"/>
    <n v="66.08"/>
    <n v="2.3022"/>
    <m/>
    <n v="-2.3022"/>
  </r>
  <r>
    <x v="221"/>
    <n v="68.400000000000006"/>
    <n v="69.319999999999993"/>
    <n v="70.63"/>
    <s v="n/a"/>
    <n v="1"/>
    <s v="WTI Crude"/>
    <n v="68.400000000000006"/>
    <n v="2.2679"/>
    <n v="3.3"/>
    <n v="1.0320999999999998"/>
  </r>
  <r>
    <x v="222"/>
    <n v="67.099999999999994"/>
    <n v="69.400000000000006"/>
    <n v="69.040000000000006"/>
    <s v="n/a"/>
    <n v="1"/>
    <s v="WTI Crude"/>
    <n v="67.099999999999994"/>
    <n v="2.2347999999999999"/>
    <m/>
    <n v="-2.2347999999999999"/>
  </r>
  <r>
    <x v="223"/>
    <n v="68.489999999999995"/>
    <n v="69.650000000000006"/>
    <n v="70.7"/>
    <s v="n/a"/>
    <n v="1"/>
    <s v="WTI Crude"/>
    <n v="68.489999999999995"/>
    <n v="2.2568999999999999"/>
    <m/>
    <n v="-2.2568999999999999"/>
  </r>
  <r>
    <x v="224"/>
    <n v="69.099999999999994"/>
    <n v="70.900000000000006"/>
    <n v="71.290000000000006"/>
    <s v="n/a"/>
    <n v="1"/>
    <s v="WTI Crude"/>
    <n v="69.099999999999994"/>
    <n v="2.294"/>
    <m/>
    <n v="-2.294"/>
  </r>
  <r>
    <x v="225"/>
    <n v="68.290000000000006"/>
    <n v="71.319999999999993"/>
    <n v="70.38"/>
    <s v="n/a"/>
    <n v="1"/>
    <s v="WTI Crude"/>
    <n v="68.290000000000006"/>
    <n v="2.25"/>
    <m/>
    <n v="-2.25"/>
  </r>
  <r>
    <x v="226"/>
    <n v="70.42"/>
    <n v="70.52"/>
    <n v="72.41"/>
    <s v="n/a"/>
    <n v="1"/>
    <s v="WTI Crude"/>
    <n v="70.42"/>
    <n v="2.2707999999999999"/>
    <m/>
    <n v="-2.2707999999999999"/>
  </r>
  <r>
    <x v="227"/>
    <n v="71.05"/>
    <n v="70.13"/>
    <n v="72.89"/>
    <s v="n/a"/>
    <n v="2"/>
    <s v="Opec Basket"/>
    <n v="70.13"/>
    <n v="2.2747000000000002"/>
    <m/>
    <n v="-2.2747000000000002"/>
  </r>
  <r>
    <x v="228"/>
    <n v="72.430000000000007"/>
    <n v="70.66"/>
    <n v="76.33"/>
    <s v="n/a"/>
    <n v="2"/>
    <s v="Opec Basket"/>
    <n v="70.66"/>
    <n v="2.3347000000000002"/>
    <m/>
    <n v="-2.3347000000000002"/>
  </r>
  <r>
    <x v="229"/>
    <n v="72.41"/>
    <n v="71.3"/>
    <n v="76.05"/>
    <s v="n/a"/>
    <n v="2"/>
    <s v="Opec Basket"/>
    <n v="71.3"/>
    <n v="2.3250999999999999"/>
    <m/>
    <n v="-2.3250999999999999"/>
  </r>
  <r>
    <x v="230"/>
    <n v="72.3"/>
    <n v="70.34"/>
    <n v="74.739999999999995"/>
    <s v="n/a"/>
    <n v="2"/>
    <s v="Opec Basket"/>
    <n v="70.34"/>
    <n v="2.282"/>
    <m/>
    <n v="-2.282"/>
  </r>
  <r>
    <x v="231"/>
    <n v="72.19"/>
    <n v="71.83"/>
    <n v="74.48"/>
    <s v="n/a"/>
    <n v="2"/>
    <s v="Opec Basket"/>
    <n v="71.83"/>
    <n v="2.2812999999999999"/>
    <m/>
    <n v="-2.2812999999999999"/>
  </r>
  <r>
    <x v="232"/>
    <n v="72.239999999999995"/>
    <n v="72.709999999999994"/>
    <n v="74.5"/>
    <s v="n/a"/>
    <n v="1"/>
    <s v="WTI Crude"/>
    <n v="72.239999999999995"/>
    <n v="2.2753999999999999"/>
    <m/>
    <n v="-2.2753999999999999"/>
  </r>
  <r>
    <x v="233"/>
    <n v="72.28"/>
    <n v="73.89"/>
    <n v="74.099999999999994"/>
    <n v="54.47"/>
    <n v="4"/>
    <s v="WCS"/>
    <n v="54.47"/>
    <n v="2.2612000000000001"/>
    <m/>
    <n v="-2.2612000000000001"/>
  </r>
  <r>
    <x v="234"/>
    <n v="72.23"/>
    <n v="74.98"/>
    <n v="73.790000000000006"/>
    <s v="n/a"/>
    <n v="1"/>
    <s v="WTI Crude"/>
    <n v="72.23"/>
    <n v="2.2473999999999998"/>
    <m/>
    <n v="-2.2473999999999998"/>
  </r>
  <r>
    <x v="235"/>
    <n v="71.7"/>
    <n v="74.42"/>
    <n v="72.23"/>
    <s v="n/a"/>
    <n v="1"/>
    <s v="WTI Crude"/>
    <n v="71.7"/>
    <n v="2.1941000000000002"/>
    <m/>
    <n v="-2.1941000000000002"/>
  </r>
  <r>
    <x v="236"/>
    <n v="70.52"/>
    <n v="73.569999999999993"/>
    <n v="69.349999999999994"/>
    <s v="n/a"/>
    <n v="3"/>
    <s v="Brent Crude"/>
    <n v="69.349999999999994"/>
    <n v="2.1103999999999998"/>
    <m/>
    <n v="-2.1103999999999998"/>
  </r>
  <r>
    <x v="237"/>
    <n v="70.14"/>
    <n v="73.62"/>
    <n v="68.62"/>
    <s v="n/a"/>
    <n v="3"/>
    <s v="Brent Crude"/>
    <n v="68.62"/>
    <n v="2.0903"/>
    <m/>
    <n v="-2.0903"/>
  </r>
  <r>
    <x v="238"/>
    <n v="72.64"/>
    <n v="72.680000000000007"/>
    <n v="73.59"/>
    <s v="n/a"/>
    <n v="1"/>
    <s v="WTI Crude"/>
    <n v="72.64"/>
    <n v="2.2345000000000002"/>
    <m/>
    <n v="-2.2345000000000002"/>
  </r>
  <r>
    <x v="239"/>
    <n v="72.55"/>
    <n v="73.03"/>
    <n v="73.47"/>
    <s v="n/a"/>
    <n v="1"/>
    <s v="WTI Crude"/>
    <n v="72.55"/>
    <n v="2.2317999999999998"/>
    <m/>
    <n v="-2.2317999999999998"/>
  </r>
  <r>
    <x v="240"/>
    <n v="73.31"/>
    <n v="72.09"/>
    <n v="74.760000000000005"/>
    <s v="n/a"/>
    <n v="2"/>
    <s v="Opec Basket"/>
    <n v="72.09"/>
    <n v="2.2722000000000002"/>
    <m/>
    <n v="-2.2722000000000002"/>
  </r>
  <r>
    <x v="241"/>
    <n v="74.599999999999994"/>
    <n v="69.930000000000007"/>
    <n v="76.489999999999995"/>
    <s v="n/a"/>
    <n v="2"/>
    <s v="Opec Basket"/>
    <n v="69.930000000000007"/>
    <n v="2.3016999999999999"/>
    <m/>
    <n v="-2.3016999999999999"/>
  </r>
  <r>
    <x v="242"/>
    <n v="73.790000000000006"/>
    <n v="70.5"/>
    <n v="75.16"/>
    <s v="n/a"/>
    <n v="2"/>
    <s v="Opec Basket"/>
    <n v="70.5"/>
    <n v="2.2772000000000001"/>
    <m/>
    <n v="-2.2772000000000001"/>
  </r>
  <r>
    <x v="243"/>
    <n v="74.09"/>
    <n v="70.540000000000006"/>
    <n v="75.55"/>
    <s v="n/a"/>
    <n v="2"/>
    <s v="Opec Basket"/>
    <n v="70.540000000000006"/>
    <n v="2.2919999999999998"/>
    <m/>
    <n v="-2.2919999999999998"/>
  </r>
  <r>
    <x v="244"/>
    <n v="72.87"/>
    <n v="72.84"/>
    <n v="74.12"/>
    <s v="n/a"/>
    <n v="2"/>
    <s v="Opec Basket"/>
    <n v="72.84"/>
    <n v="2.2551999999999999"/>
    <m/>
    <n v="-2.2551999999999999"/>
  </r>
  <r>
    <x v="245"/>
    <n v="72.27"/>
    <n v="73.150000000000006"/>
    <n v="73.430000000000007"/>
    <s v="n/a"/>
    <n v="1"/>
    <s v="WTI Crude"/>
    <n v="72.27"/>
    <n v="2.206"/>
    <m/>
    <n v="-2.206"/>
  </r>
  <r>
    <x v="246"/>
    <n v="73.239999999999995"/>
    <n v="75.290000000000006"/>
    <n v="74.53"/>
    <s v="n/a"/>
    <n v="1"/>
    <s v="WTI Crude"/>
    <n v="73.239999999999995"/>
    <n v="2.2282000000000002"/>
    <n v="3.3"/>
    <n v="1.0717999999999996"/>
  </r>
  <r>
    <x v="247"/>
    <n v="74.86"/>
    <n v="75.13"/>
    <n v="76.17"/>
    <s v="n/a"/>
    <n v="1"/>
    <s v="WTI Crude"/>
    <n v="74.86"/>
    <n v="2.2997999999999998"/>
    <m/>
    <n v="-2.2997999999999998"/>
  </r>
  <r>
    <x v="248"/>
    <n v="74.89"/>
    <n v="74.33"/>
    <n v="75.84"/>
    <s v="n/a"/>
    <n v="2"/>
    <s v="Opec Basket"/>
    <n v="74.33"/>
    <n v="2.2675999999999998"/>
    <m/>
    <n v="-2.2675999999999998"/>
  </r>
  <r>
    <x v="249"/>
    <n v="71.349999999999994"/>
    <n v="74.180000000000007"/>
    <n v="75.13"/>
    <s v="n/a"/>
    <n v="1"/>
    <s v="WTI Crude"/>
    <n v="71.349999999999994"/>
    <n v="2.2418"/>
    <m/>
    <n v="-2.2418"/>
  </r>
  <r>
    <x v="250"/>
    <n v="71.33"/>
    <n v="71.97"/>
    <n v="74.760000000000005"/>
    <s v="n/a"/>
    <n v="1"/>
    <s v="WTI Crude"/>
    <n v="71.33"/>
    <n v="2.2414999999999998"/>
    <m/>
    <n v="-2.2414999999999998"/>
  </r>
  <r>
    <x v="251"/>
    <n v="71.319999999999993"/>
    <n v="73.58"/>
    <n v="74.680000000000007"/>
    <s v="n/a"/>
    <n v="1"/>
    <s v="WTI Crude"/>
    <n v="71.319999999999993"/>
    <n v="2.2176999999999998"/>
    <m/>
    <n v="-2.2176999999999998"/>
  </r>
  <r>
    <x v="252"/>
    <n v="71.48"/>
    <n v="75.94"/>
    <n v="76.180000000000007"/>
    <s v="n/a"/>
    <n v="1"/>
    <s v="WTI Crude"/>
    <n v="71.48"/>
    <n v="2.2612000000000001"/>
    <m/>
    <n v="-2.2612000000000001"/>
  </r>
  <r>
    <x v="253"/>
    <n v="71.34"/>
    <n v="75.709999999999994"/>
    <n v="75.56"/>
    <s v="n/a"/>
    <n v="1"/>
    <s v="WTI Crude"/>
    <n v="71.34"/>
    <n v="2.2799999999999998"/>
    <m/>
    <n v="-2.2799999999999998"/>
  </r>
  <r>
    <x v="254"/>
    <n v="71.290000000000006"/>
    <n v="75.209999999999994"/>
    <n v="75.19"/>
    <s v="n/a"/>
    <n v="1"/>
    <s v="WTI Crude"/>
    <n v="71.290000000000006"/>
    <n v="2.2698999999999998"/>
    <n v="2.89"/>
    <n v="0.62010000000000032"/>
  </r>
  <r>
    <x v="255"/>
    <n v="71.23"/>
    <n v="74.87"/>
    <n v="74.81"/>
    <n v="58.46"/>
    <n v="4"/>
    <s v="WCS"/>
    <n v="58.46"/>
    <n v="2.2301000000000002"/>
    <m/>
    <n v="-2.2301000000000002"/>
  </r>
  <r>
    <x v="256"/>
    <n v="71.33"/>
    <n v="73.599999999999994"/>
    <n v="74.900000000000006"/>
    <m/>
    <n v="1"/>
    <s v="WTI Crude"/>
    <n v="71.33"/>
    <n v="2.2031000000000001"/>
    <m/>
    <n v="-2.2031000000000001"/>
  </r>
  <r>
    <x v="257"/>
    <n v="70.650000000000006"/>
    <n v="73.34"/>
    <n v="73.510000000000005"/>
    <m/>
    <n v="1"/>
    <s v="WTI Crude"/>
    <n v="70.650000000000006"/>
    <n v="2.1739999999999999"/>
    <m/>
    <n v="-2.1739999999999999"/>
  </r>
  <r>
    <x v="258"/>
    <n v="70.430000000000007"/>
    <n v="73.84"/>
    <n v="73.08"/>
    <m/>
    <n v="1"/>
    <s v="WTI Crude"/>
    <n v="70.430000000000007"/>
    <n v="2.1387999999999998"/>
    <m/>
    <n v="-2.1387999999999998"/>
  </r>
  <r>
    <x v="259"/>
    <n v="70.95"/>
    <n v="74.19"/>
    <n v="74.39"/>
    <m/>
    <n v="1"/>
    <s v="WTI Crude"/>
    <n v="70.95"/>
    <n v="2.16"/>
    <m/>
    <n v="-2.16"/>
  </r>
  <r>
    <x v="260"/>
    <n v="70.92"/>
    <n v="74.09"/>
    <n v="73.989999999999995"/>
    <m/>
    <n v="1"/>
    <s v="WTI Crude"/>
    <n v="70.92"/>
    <n v="2.1728999999999998"/>
    <m/>
    <n v="-2.1728999999999998"/>
  </r>
  <r>
    <x v="261"/>
    <n v="70.239999999999995"/>
    <n v="74.010000000000005"/>
    <n v="72.86"/>
    <m/>
    <n v="1"/>
    <s v="WTI Crude"/>
    <n v="70.239999999999995"/>
    <n v="2.173"/>
    <m/>
    <n v="-2.173"/>
  </r>
  <r>
    <x v="262"/>
    <n v="70.25"/>
    <n v="73.13"/>
    <n v="72.69"/>
    <m/>
    <n v="1"/>
    <s v="WTI Crude"/>
    <n v="70.25"/>
    <n v="2.1861000000000002"/>
    <m/>
    <n v="-2.1861000000000002"/>
  </r>
  <r>
    <x v="263"/>
    <n v="69.88"/>
    <n v="72.45"/>
    <n v="72.52"/>
    <m/>
    <n v="1"/>
    <s v="WTI Crude"/>
    <n v="69.88"/>
    <n v="2.2122000000000002"/>
    <m/>
    <n v="-2.2122000000000002"/>
  </r>
  <r>
    <x v="264"/>
    <n v="69.66"/>
    <n v="71.56"/>
    <n v="72.03"/>
    <m/>
    <n v="1"/>
    <s v="WTI Crude"/>
    <n v="69.66"/>
    <n v="2.2025000000000001"/>
    <m/>
    <n v="-2.2025000000000001"/>
  </r>
  <r>
    <x v="265"/>
    <n v="69.73"/>
    <n v="72.290000000000006"/>
    <n v="72.22"/>
    <m/>
    <n v="1"/>
    <s v="WTI Crude"/>
    <n v="69.73"/>
    <n v="2.2189999999999999"/>
    <m/>
    <n v="-2.2189999999999999"/>
  </r>
  <r>
    <x v="266"/>
    <n v="69.09"/>
    <n v="73.16"/>
    <n v="71.489999999999995"/>
    <m/>
    <n v="1"/>
    <s v="WTI Crude"/>
    <n v="69.09"/>
    <n v="2.1930999999999998"/>
    <m/>
    <n v="-2.1930999999999998"/>
  </r>
  <r>
    <x v="267"/>
    <n v="69.400000000000006"/>
    <n v="72.05"/>
    <n v="71.89"/>
    <m/>
    <n v="1"/>
    <s v="WTI Crude"/>
    <n v="69.400000000000006"/>
    <n v="2.2115"/>
    <m/>
    <n v="-2.2115"/>
  </r>
  <r>
    <x v="268"/>
    <n v="68.7"/>
    <n v="71.989999999999995"/>
    <n v="71.31"/>
    <m/>
    <n v="1"/>
    <s v="WTI Crude"/>
    <n v="68.7"/>
    <n v="2.2018"/>
    <m/>
    <n v="-2.2018"/>
  </r>
  <r>
    <x v="269"/>
    <n v="68.73"/>
    <n v="71.31"/>
    <n v="71.349999999999994"/>
    <m/>
    <n v="1"/>
    <s v="WTI Crude"/>
    <n v="68.73"/>
    <n v="2.1941000000000002"/>
    <m/>
    <n v="-2.1941000000000002"/>
  </r>
  <r>
    <x v="270"/>
    <n v="67.67"/>
    <n v="70.900000000000006"/>
    <n v="70.25"/>
    <m/>
    <n v="1"/>
    <s v="WTI Crude"/>
    <n v="67.67"/>
    <n v="2.1703999999999999"/>
    <m/>
    <n v="-2.1703999999999999"/>
  </r>
  <r>
    <x v="271"/>
    <n v="65.16"/>
    <n v="71.209999999999994"/>
    <n v="69.63"/>
    <m/>
    <n v="1"/>
    <s v="WTI Crude"/>
    <n v="65.16"/>
    <n v="2.1368999999999998"/>
    <n v="2.9"/>
    <n v="0.76310000000000011"/>
  </r>
  <r>
    <x v="272"/>
    <n v="65.180000000000007"/>
    <n v="69.83"/>
    <n v="69.459999999999994"/>
    <m/>
    <n v="1"/>
    <s v="WTI Crude"/>
    <n v="65.180000000000007"/>
    <n v="2.1551999999999998"/>
    <m/>
    <n v="-2.1551999999999998"/>
  </r>
  <r>
    <x v="273"/>
    <n v="65.12"/>
    <n v="70.150000000000006"/>
    <n v="68.87"/>
    <m/>
    <n v="1"/>
    <s v="WTI Crude"/>
    <n v="65.12"/>
    <n v="2.1511999999999998"/>
    <n v="2.83"/>
    <n v="0.67880000000000029"/>
  </r>
  <r>
    <x v="274"/>
    <n v="65.099999999999994"/>
    <n v="70.23"/>
    <n v="68.650000000000006"/>
    <m/>
    <n v="1"/>
    <s v="WTI Crude"/>
    <n v="65.099999999999994"/>
    <n v="2.1229"/>
    <m/>
    <n v="-2.1229"/>
  </r>
  <r>
    <x v="275"/>
    <n v="65.09"/>
    <n v="69.91"/>
    <n v="68.459999999999994"/>
    <m/>
    <n v="1"/>
    <s v="WTI Crude"/>
    <n v="65.09"/>
    <n v="2.1217000000000001"/>
    <m/>
    <n v="-2.1217000000000001"/>
  </r>
  <r>
    <x v="276"/>
    <n v="64.48"/>
    <n v="69.39"/>
    <n v="66.44"/>
    <m/>
    <n v="1"/>
    <s v="WTI Crude"/>
    <n v="64.48"/>
    <n v="2.0709"/>
    <m/>
    <n v="-2.0709"/>
  </r>
  <r>
    <x v="277"/>
    <n v="63.99"/>
    <n v="69.03"/>
    <n v="65.11"/>
    <n v="58.46"/>
    <n v="4"/>
    <s v="WCS"/>
    <n v="58.46"/>
    <n v="2.0461999999999998"/>
    <m/>
    <n v="-2.0461999999999998"/>
  </r>
  <r>
    <x v="278"/>
    <n v="64.47"/>
    <n v="68.53"/>
    <n v="66.66"/>
    <m/>
    <n v="1"/>
    <s v="WTI Crude"/>
    <n v="64.47"/>
    <n v="2.0979000000000001"/>
    <m/>
    <n v="-2.0979000000000001"/>
  </r>
  <r>
    <x v="279"/>
    <n v="65.33"/>
    <n v="68.2"/>
    <n v="68.709999999999994"/>
    <m/>
    <n v="1"/>
    <s v="WTI Crude"/>
    <n v="65.33"/>
    <n v="2.1554000000000002"/>
    <m/>
    <n v="-2.1554000000000002"/>
  </r>
  <r>
    <x v="280"/>
    <n v="65.680000000000007"/>
    <n v="67.319999999999993"/>
    <n v="69.459999999999994"/>
    <m/>
    <n v="1"/>
    <s v="WTI Crude"/>
    <n v="65.680000000000007"/>
    <n v="2.1536"/>
    <m/>
    <n v="-2.1536"/>
  </r>
  <r>
    <x v="281"/>
    <n v="65.23"/>
    <n v="67.47"/>
    <n v="68.709999999999994"/>
    <m/>
    <n v="1"/>
    <s v="WTI Crude"/>
    <n v="65.23"/>
    <n v="2.1223999999999998"/>
    <m/>
    <n v="-2.1223999999999998"/>
  </r>
  <r>
    <x v="282"/>
    <n v="64.38"/>
    <n v="67.41"/>
    <n v="67.05"/>
    <m/>
    <n v="1"/>
    <s v="WTI Crude"/>
    <n v="64.38"/>
    <n v="2.093"/>
    <m/>
    <n v="-2.093"/>
  </r>
  <r>
    <x v="283"/>
    <n v="65.739999999999995"/>
    <n v="66.930000000000007"/>
    <n v="69.319999999999993"/>
    <m/>
    <n v="1"/>
    <s v="WTI Crude"/>
    <n v="65.739999999999995"/>
    <n v="2.161"/>
    <m/>
    <n v="-2.161"/>
  </r>
  <r>
    <x v="284"/>
    <n v="65.22"/>
    <n v="64.180000000000007"/>
    <n v="68.55"/>
    <m/>
    <n v="2"/>
    <s v="Opec Basket"/>
    <n v="64.180000000000007"/>
    <n v="2.1398999999999999"/>
    <m/>
    <n v="-2.1398999999999999"/>
  </r>
  <r>
    <x v="285"/>
    <n v="64.959999999999994"/>
    <n v="65.290000000000006"/>
    <n v="68.319999999999993"/>
    <m/>
    <n v="1"/>
    <s v="WTI Crude"/>
    <n v="64.959999999999994"/>
    <n v="2.1334"/>
    <m/>
    <n v="-2.1334"/>
  </r>
  <r>
    <x v="286"/>
    <n v="64.94"/>
    <n v="65.95"/>
    <n v="68.28"/>
    <m/>
    <n v="1"/>
    <s v="WTI Crude"/>
    <n v="64.94"/>
    <n v="2.1269"/>
    <m/>
    <n v="-2.1269"/>
  </r>
  <r>
    <x v="287"/>
    <n v="64.78"/>
    <n v="68.39"/>
    <n v="68.09"/>
    <m/>
    <n v="1"/>
    <s v="WTI Crude"/>
    <n v="64.78"/>
    <n v="2.1137000000000001"/>
    <m/>
    <n v="-2.1137000000000001"/>
  </r>
  <r>
    <x v="288"/>
    <n v="65.56"/>
    <n v="67.52"/>
    <n v="68.959999999999994"/>
    <m/>
    <n v="1"/>
    <s v="WTI Crude"/>
    <n v="65.56"/>
    <n v="2.1513"/>
    <m/>
    <n v="-2.1513"/>
  </r>
  <r>
    <x v="289"/>
    <n v="65.61"/>
    <n v="66.16"/>
    <n v="68.88"/>
    <m/>
    <n v="1"/>
    <s v="WTI Crude"/>
    <n v="65.61"/>
    <n v="2.1511999999999998"/>
    <m/>
    <n v="-2.1511999999999998"/>
  </r>
  <r>
    <x v="290"/>
    <n v="64.47"/>
    <n v="66.78"/>
    <n v="67.56"/>
    <m/>
    <n v="1"/>
    <s v="WTI Crude"/>
    <n v="64.47"/>
    <n v="2.1015000000000001"/>
    <m/>
    <n v="-2.1015000000000001"/>
  </r>
  <r>
    <x v="291"/>
    <n v="61.7"/>
    <n v="67.459999999999994"/>
    <n v="67.25"/>
    <m/>
    <n v="1"/>
    <s v="WTI Crude"/>
    <n v="61.7"/>
    <n v="2.0762999999999998"/>
    <m/>
    <n v="-2.0762999999999998"/>
  </r>
  <r>
    <x v="292"/>
    <n v="61.77"/>
    <n v="66.39"/>
    <n v="68.56"/>
    <m/>
    <n v="1"/>
    <s v="WTI Crude"/>
    <n v="61.77"/>
    <n v="2.0988000000000002"/>
    <m/>
    <n v="-2.0988000000000002"/>
  </r>
  <r>
    <x v="293"/>
    <n v="61.66"/>
    <n v="67.099999999999994"/>
    <n v="67.27"/>
    <m/>
    <n v="1"/>
    <s v="WTI Crude"/>
    <n v="61.66"/>
    <n v="2.0743"/>
    <m/>
    <n v="-2.0743"/>
  </r>
  <r>
    <x v="294"/>
    <n v="61.53"/>
    <n v="66.569999999999993"/>
    <n v="66.42"/>
    <m/>
    <n v="1"/>
    <s v="WTI Crude"/>
    <n v="61.53"/>
    <n v="2.0287999999999999"/>
    <m/>
    <n v="-2.0287999999999999"/>
  </r>
  <r>
    <x v="295"/>
    <n v="61.33"/>
    <n v="67.489999999999995"/>
    <n v="65.650000000000006"/>
    <m/>
    <n v="1"/>
    <s v="WTI Crude"/>
    <n v="61.33"/>
    <n v="1.9902"/>
    <m/>
    <n v="-1.9902"/>
  </r>
  <r>
    <x v="296"/>
    <n v="61.39"/>
    <n v="68.2"/>
    <n v="66.11"/>
    <m/>
    <n v="1"/>
    <s v="WTI Crude"/>
    <n v="61.39"/>
    <n v="2.0051000000000001"/>
    <m/>
    <n v="-2.0051000000000001"/>
  </r>
  <r>
    <x v="297"/>
    <n v="61.19"/>
    <n v="66.67"/>
    <n v="65.400000000000006"/>
    <m/>
    <n v="1"/>
    <s v="WTI Crude"/>
    <n v="61.19"/>
    <n v="1.9811000000000001"/>
    <n v="1.7336999999999998"/>
    <n v="-0.24740000000000029"/>
  </r>
  <r>
    <x v="298"/>
    <n v="61.16"/>
    <n v="65.09"/>
    <n v="65.319999999999993"/>
    <n v="54.78"/>
    <n v="4"/>
    <s v="WCS"/>
    <n v="54.78"/>
    <n v="1.9881"/>
    <m/>
    <n v="-1.9881"/>
  </r>
  <r>
    <x v="299"/>
    <n v="61.66"/>
    <n v="65.42"/>
    <n v="66.569999999999993"/>
    <m/>
    <n v="1"/>
    <s v="WTI Crude"/>
    <n v="61.66"/>
    <n v="2.0209000000000001"/>
    <m/>
    <n v="-2.0209000000000001"/>
  </r>
  <r>
    <x v="300"/>
    <n v="62"/>
    <n v="65.709999999999994"/>
    <n v="67.05"/>
    <m/>
    <n v="1"/>
    <s v="WTI Crude"/>
    <n v="62"/>
    <n v="2.0463"/>
    <m/>
    <n v="-2.0463"/>
  </r>
  <r>
    <x v="301"/>
    <n v="61.88"/>
    <n v="64.53"/>
    <n v="66.77"/>
    <m/>
    <n v="1"/>
    <s v="WTI Crude"/>
    <n v="61.88"/>
    <n v="2.0426000000000002"/>
    <m/>
    <n v="-2.0426000000000002"/>
  </r>
  <r>
    <x v="302"/>
    <n v="62.05"/>
    <n v="63.91"/>
    <n v="66.94"/>
    <m/>
    <n v="1"/>
    <s v="WTI Crude"/>
    <n v="62.05"/>
    <n v="2.0526"/>
    <m/>
    <n v="-2.0526"/>
  </r>
  <r>
    <x v="303"/>
    <n v="61.88"/>
    <n v="63.22"/>
    <n v="66.58"/>
    <m/>
    <n v="1"/>
    <s v="WTI Crude"/>
    <n v="61.88"/>
    <n v="2.0409000000000002"/>
    <m/>
    <n v="-2.0409000000000002"/>
  </r>
  <r>
    <x v="304"/>
    <n v="60.04"/>
    <n v="63.63"/>
    <n v="63.67"/>
    <m/>
    <n v="1"/>
    <s v="WTI Crude"/>
    <n v="60.04"/>
    <n v="1.9757"/>
    <m/>
    <n v="-1.9757"/>
  </r>
  <r>
    <x v="305"/>
    <n v="59.72"/>
    <n v="63.06"/>
    <n v="63.28"/>
    <m/>
    <n v="1"/>
    <s v="WTI Crude"/>
    <n v="59.72"/>
    <n v="1.97"/>
    <m/>
    <n v="-1.97"/>
  </r>
  <r>
    <x v="306"/>
    <n v="59.44"/>
    <n v="64.02"/>
    <n v="62.95"/>
    <m/>
    <n v="1"/>
    <s v="WTI Crude"/>
    <n v="59.44"/>
    <n v="1.9621"/>
    <m/>
    <n v="-1.9621"/>
  </r>
  <r>
    <x v="307"/>
    <n v="59.65"/>
    <n v="65.36"/>
    <n v="63.2"/>
    <m/>
    <n v="1"/>
    <s v="WTI Crude"/>
    <n v="59.65"/>
    <n v="1.9593"/>
    <m/>
    <n v="-1.9593"/>
  </r>
  <r>
    <x v="308"/>
    <n v="59.79"/>
    <n v="65.099999999999994"/>
    <n v="63.16"/>
    <m/>
    <n v="1"/>
    <s v="WTI Crude"/>
    <n v="59.79"/>
    <n v="1.9518"/>
    <m/>
    <n v="-1.9518"/>
  </r>
  <r>
    <x v="309"/>
    <n v="59.41"/>
    <n v="65.209999999999994"/>
    <n v="62.74"/>
    <m/>
    <n v="1"/>
    <s v="WTI Crude"/>
    <n v="59.41"/>
    <n v="1.9662999999999999"/>
    <m/>
    <n v="-1.9662999999999999"/>
  </r>
  <r>
    <x v="310"/>
    <n v="58.79"/>
    <n v="64.48"/>
    <n v="62.15"/>
    <m/>
    <n v="1"/>
    <s v="WTI Crude"/>
    <n v="58.79"/>
    <n v="1.9611000000000001"/>
    <m/>
    <n v="-1.9611000000000001"/>
  </r>
  <r>
    <x v="311"/>
    <n v="61.46"/>
    <n v="63.39"/>
    <n v="64.86"/>
    <m/>
    <n v="1"/>
    <s v="WTI Crude"/>
    <n v="61.46"/>
    <n v="2.0223"/>
    <m/>
    <n v="-2.0223"/>
  </r>
  <r>
    <x v="312"/>
    <n v="62.36"/>
    <n v="61.85"/>
    <n v="63.54"/>
    <m/>
    <n v="2"/>
    <s v="Opec Basket"/>
    <n v="61.85"/>
    <n v="1.9597"/>
    <m/>
    <n v="-1.9597"/>
  </r>
  <r>
    <x v="313"/>
    <n v="62.42"/>
    <n v="61.44"/>
    <n v="64.14"/>
    <m/>
    <n v="2"/>
    <s v="Opec Basket"/>
    <n v="61.44"/>
    <n v="1.9964"/>
    <m/>
    <n v="-1.9964"/>
  </r>
  <r>
    <x v="314"/>
    <n v="62.51"/>
    <n v="61.12"/>
    <n v="64.98"/>
    <m/>
    <n v="2"/>
    <s v="Opec Basket"/>
    <n v="61.12"/>
    <n v="2.0009000000000001"/>
    <m/>
    <n v="-2.0009000000000001"/>
  </r>
  <r>
    <x v="315"/>
    <n v="62.43"/>
    <n v="61.2"/>
    <n v="64.569999999999993"/>
    <m/>
    <n v="2"/>
    <s v="Opec Basket"/>
    <n v="61.2"/>
    <n v="1.9709000000000001"/>
    <m/>
    <n v="-1.9709000000000001"/>
  </r>
  <r>
    <x v="316"/>
    <n v="62.01"/>
    <n v="60.67"/>
    <n v="61.95"/>
    <m/>
    <n v="2"/>
    <s v="Opec Basket"/>
    <n v="60.67"/>
    <n v="1.9196"/>
    <m/>
    <n v="-1.9196"/>
  </r>
  <r>
    <x v="317"/>
    <n v="62.58"/>
    <n v="61.31"/>
    <n v="64.41"/>
    <m/>
    <n v="2"/>
    <s v="Opec Basket"/>
    <n v="61.31"/>
    <n v="1.9875"/>
    <m/>
    <n v="-1.9875"/>
  </r>
  <r>
    <x v="318"/>
    <n v="61.69"/>
    <n v="61.68"/>
    <n v="60.79"/>
    <m/>
    <n v="3"/>
    <s v="Brent Crude"/>
    <n v="60.79"/>
    <n v="1.8958999999999999"/>
    <m/>
    <n v="-1.8958999999999999"/>
  </r>
  <r>
    <x v="319"/>
    <n v="62.84"/>
    <n v="61.75"/>
    <n v="64.62"/>
    <n v="50.51"/>
    <n v="4"/>
    <s v="WCS"/>
    <n v="50.51"/>
    <n v="1.9583999999999999"/>
    <m/>
    <n v="-1.9583999999999999"/>
  </r>
  <r>
    <x v="320"/>
    <n v="62.8"/>
    <n v="63.07"/>
    <n v="64.53"/>
    <m/>
    <n v="1"/>
    <s v="WTI Crude"/>
    <n v="62.8"/>
    <n v="1.9437"/>
    <m/>
    <n v="-1.9437"/>
  </r>
  <r>
    <x v="321"/>
    <n v="62.26"/>
    <n v="63.37"/>
    <n v="63.28"/>
    <m/>
    <n v="1"/>
    <s v="WTI Crude"/>
    <n v="62.26"/>
    <n v="1.9407000000000001"/>
    <m/>
    <n v="-1.9407000000000001"/>
  </r>
  <r>
    <x v="322"/>
    <n v="64.25"/>
    <n v="62.86"/>
    <n v="68"/>
    <m/>
    <n v="2"/>
    <s v="Opec Basket"/>
    <n v="62.86"/>
    <n v="2.0474999999999999"/>
    <n v="1.93"/>
    <n v="-0.11749999999999994"/>
  </r>
  <r>
    <x v="323"/>
    <n v="64.349999999999994"/>
    <n v="62.56"/>
    <n v="68.39"/>
    <m/>
    <n v="2"/>
    <s v="Opec Basket"/>
    <n v="62.56"/>
    <n v="2.0956999999999999"/>
    <m/>
    <n v="-2.0956999999999999"/>
  </r>
  <r>
    <x v="324"/>
    <n v="64.66"/>
    <n v="61.63"/>
    <n v="68.88"/>
    <m/>
    <n v="2"/>
    <s v="Opec Basket"/>
    <n v="61.63"/>
    <n v="2.0994000000000002"/>
    <m/>
    <n v="-2.0994000000000002"/>
  </r>
  <r>
    <x v="325"/>
    <n v="64.78"/>
    <n v="61.61"/>
    <n v="69.22"/>
    <m/>
    <n v="2"/>
    <s v="Opec Basket"/>
    <n v="61.61"/>
    <n v="2.1347999999999998"/>
    <m/>
    <n v="-2.1347999999999998"/>
  </r>
  <r>
    <x v="326"/>
    <n v="65.010000000000005"/>
    <n v="62.27"/>
    <n v="69.63"/>
    <m/>
    <n v="2"/>
    <s v="Opec Basket"/>
    <n v="62.27"/>
    <n v="2.1273"/>
    <m/>
    <n v="-2.1273"/>
  </r>
  <r>
    <x v="327"/>
    <n v="63.98"/>
    <n v="63.22"/>
    <n v="67.900000000000006"/>
    <m/>
    <n v="2"/>
    <s v="Opec Basket"/>
    <n v="63.22"/>
    <n v="2.0747"/>
    <m/>
    <n v="-2.0747"/>
  </r>
  <r>
    <x v="328"/>
    <n v="63.68"/>
    <n v="62.47"/>
    <n v="67.52"/>
    <m/>
    <n v="2"/>
    <s v="Opec Basket"/>
    <n v="62.47"/>
    <n v="2.0501999999999998"/>
    <m/>
    <n v="-2.0501999999999998"/>
  </r>
  <r>
    <x v="329"/>
    <n v="64.42"/>
    <n v="64.790000000000006"/>
    <n v="68.239999999999995"/>
    <m/>
    <n v="1"/>
    <s v="WTI Crude"/>
    <n v="64.42"/>
    <n v="2.0487000000000002"/>
    <m/>
    <n v="-2.0487000000000002"/>
  </r>
  <r>
    <x v="330"/>
    <n v="65.22"/>
    <n v="66.760000000000005"/>
    <n v="69.36"/>
    <m/>
    <n v="1"/>
    <s v="WTI Crude"/>
    <n v="65.22"/>
    <n v="2.0647000000000002"/>
    <m/>
    <n v="-2.0647000000000002"/>
  </r>
  <r>
    <x v="331"/>
    <n v="63.34"/>
    <n v="66.89"/>
    <n v="66.739999999999995"/>
    <m/>
    <n v="1"/>
    <s v="WTI Crude"/>
    <n v="63.34"/>
    <n v="1.9979"/>
    <m/>
    <n v="-1.9979"/>
  </r>
  <r>
    <x v="332"/>
    <n v="61.13"/>
    <n v="68.180000000000007"/>
    <n v="64.069999999999993"/>
    <m/>
    <n v="1"/>
    <s v="WTI Crude"/>
    <n v="61.13"/>
    <n v="1.9518"/>
    <m/>
    <n v="-1.9518"/>
  </r>
  <r>
    <x v="333"/>
    <n v="59.73"/>
    <n v="68.14"/>
    <n v="62.7"/>
    <m/>
    <n v="1"/>
    <s v="WTI Crude"/>
    <n v="59.73"/>
    <n v="1.9363999999999999"/>
    <m/>
    <n v="-1.9363999999999999"/>
  </r>
  <r>
    <x v="334"/>
    <n v="60.57"/>
    <n v="67.39"/>
    <n v="63.69"/>
    <m/>
    <n v="1"/>
    <s v="WTI Crude"/>
    <n v="60.57"/>
    <n v="1.9429000000000001"/>
    <m/>
    <n v="-1.9429000000000001"/>
  </r>
  <r>
    <x v="335"/>
    <n v="59.06"/>
    <n v="65.599999999999994"/>
    <n v="66.13"/>
    <m/>
    <n v="1"/>
    <s v="WTI Crude"/>
    <n v="59.06"/>
    <n v="1.9504999999999999"/>
    <m/>
    <n v="-1.9504999999999999"/>
  </r>
  <r>
    <x v="336"/>
    <n v="59.17"/>
    <n v="66.38"/>
    <n v="66.88"/>
    <m/>
    <n v="1"/>
    <s v="WTI Crude"/>
    <n v="59.17"/>
    <n v="1.9763999999999999"/>
    <m/>
    <n v="-1.9763999999999999"/>
  </r>
  <r>
    <x v="337"/>
    <n v="59.14"/>
    <n v="68.17"/>
    <n v="67.040000000000006"/>
    <m/>
    <n v="1"/>
    <s v="WTI Crude"/>
    <n v="59.14"/>
    <n v="1.9777"/>
    <m/>
    <n v="-1.9777"/>
  </r>
  <r>
    <x v="338"/>
    <n v="58.89"/>
    <n v="67.03"/>
    <n v="65.37"/>
    <m/>
    <n v="1"/>
    <s v="WTI Crude"/>
    <n v="58.89"/>
    <n v="1.9424999999999999"/>
    <m/>
    <n v="-1.9424999999999999"/>
  </r>
  <r>
    <x v="339"/>
    <n v="58.9"/>
    <n v="64.23"/>
    <n v="65.239999999999995"/>
    <m/>
    <n v="1"/>
    <s v="WTI Crude"/>
    <n v="58.9"/>
    <n v="1.9309000000000001"/>
    <m/>
    <n v="-1.9309000000000001"/>
  </r>
  <r>
    <x v="340"/>
    <n v="58.26"/>
    <n v="62.12"/>
    <n v="62.91"/>
    <m/>
    <n v="1"/>
    <s v="WTI Crude"/>
    <n v="58.26"/>
    <n v="1.8889"/>
    <m/>
    <n v="-1.8889"/>
  </r>
  <r>
    <x v="341"/>
    <n v="58.67"/>
    <n v="61.94"/>
    <n v="63.93"/>
    <m/>
    <n v="1"/>
    <s v="WTI Crude"/>
    <n v="58.67"/>
    <n v="1.8872"/>
    <m/>
    <n v="-1.8872"/>
  </r>
  <r>
    <x v="342"/>
    <n v="58.9"/>
    <n v="64.209999999999994"/>
    <n v="64.34"/>
    <n v="50.94"/>
    <n v="4"/>
    <s v="WCS"/>
    <n v="50.94"/>
    <n v="1.8937999999999999"/>
    <m/>
    <n v="-1.8937999999999999"/>
  </r>
  <r>
    <x v="343"/>
    <n v="58.44"/>
    <n v="64.37"/>
    <n v="63.35"/>
    <m/>
    <n v="1"/>
    <s v="WTI Crude"/>
    <n v="58.44"/>
    <n v="1.8636999999999999"/>
    <m/>
    <n v="-1.8636999999999999"/>
  </r>
  <r>
    <x v="344"/>
    <n v="58.14"/>
    <n v="65.42"/>
    <n v="62.43"/>
    <m/>
    <n v="1"/>
    <s v="WTI Crude"/>
    <n v="58.14"/>
    <n v="1.8139000000000001"/>
    <m/>
    <n v="-1.8139000000000001"/>
  </r>
  <r>
    <x v="345"/>
    <n v="57.49"/>
    <n v="64"/>
    <n v="61.14"/>
    <m/>
    <n v="1"/>
    <s v="WTI Crude"/>
    <n v="57.49"/>
    <n v="1.7786"/>
    <m/>
    <n v="-1.7786"/>
  </r>
  <r>
    <x v="346"/>
    <n v="57.74"/>
    <n v="63.73"/>
    <n v="61.47"/>
    <m/>
    <n v="1"/>
    <s v="WTI Crude"/>
    <n v="57.74"/>
    <n v="1.7841"/>
    <m/>
    <n v="-1.7841"/>
  </r>
  <r>
    <x v="347"/>
    <n v="57.54"/>
    <n v="62.01"/>
    <n v="61.09"/>
    <m/>
    <n v="1"/>
    <s v="WTI Crude"/>
    <n v="57.54"/>
    <n v="1.6736"/>
    <n v="1.9519999999999997"/>
    <n v="0.27839999999999976"/>
  </r>
  <r>
    <x v="348"/>
    <n v="57.27"/>
    <n v="61.32"/>
    <n v="60.56"/>
    <m/>
    <n v="1"/>
    <s v="WTI Crude"/>
    <n v="57.27"/>
    <n v="1.6748000000000001"/>
    <m/>
    <n v="-1.6748000000000001"/>
  </r>
  <r>
    <x v="349"/>
    <n v="56.44"/>
    <n v="63.44"/>
    <n v="59.34"/>
    <m/>
    <n v="1"/>
    <s v="WTI Crude"/>
    <n v="56.44"/>
    <n v="1.6493"/>
    <m/>
    <n v="-1.6493"/>
  </r>
  <r>
    <x v="350"/>
    <n v="55.95"/>
    <n v="63.06"/>
    <n v="58.84"/>
    <m/>
    <n v="1"/>
    <s v="WTI Crude"/>
    <n v="55.95"/>
    <n v="1.6448"/>
    <m/>
    <n v="-1.6448"/>
  </r>
  <r>
    <x v="351"/>
    <n v="55.5"/>
    <n v="62.49"/>
    <n v="58.46"/>
    <m/>
    <n v="1"/>
    <s v="WTI Crude"/>
    <n v="55.5"/>
    <n v="1.6486000000000001"/>
    <m/>
    <n v="-1.6486000000000001"/>
  </r>
  <r>
    <x v="352"/>
    <n v="54.67"/>
    <n v="62.61"/>
    <n v="57.46"/>
    <m/>
    <n v="1"/>
    <s v="WTI Crude"/>
    <n v="54.67"/>
    <n v="1.6160000000000001"/>
    <m/>
    <n v="-1.6160000000000001"/>
  </r>
  <r>
    <x v="353"/>
    <n v="53.52"/>
    <n v="60.79"/>
    <n v="56.35"/>
    <m/>
    <n v="1"/>
    <s v="WTI Crude"/>
    <n v="53.52"/>
    <n v="1.5901000000000001"/>
    <m/>
    <n v="-1.5901000000000001"/>
  </r>
  <r>
    <x v="354"/>
    <n v="52.1"/>
    <n v="60.55"/>
    <n v="55.88"/>
    <m/>
    <n v="1"/>
    <s v="WTI Crude"/>
    <n v="52.1"/>
    <n v="1.5527"/>
    <m/>
    <n v="-1.5527"/>
  </r>
  <r>
    <x v="355"/>
    <n v="52.11"/>
    <n v="60.47"/>
    <n v="55.53"/>
    <m/>
    <n v="1"/>
    <s v="WTI Crude"/>
    <n v="52.11"/>
    <n v="1.5753999999999999"/>
    <m/>
    <n v="-1.5753999999999999"/>
  </r>
  <r>
    <x v="356"/>
    <n v="52.16"/>
    <n v="60.3"/>
    <n v="55.81"/>
    <m/>
    <n v="1"/>
    <s v="WTI Crude"/>
    <n v="52.16"/>
    <n v="1.5716000000000001"/>
    <m/>
    <n v="-1.5716000000000001"/>
  </r>
  <r>
    <x v="357"/>
    <n v="52.13"/>
    <n v="59.59"/>
    <n v="55.91"/>
    <m/>
    <n v="1"/>
    <s v="WTI Crude"/>
    <n v="52.13"/>
    <n v="1.5748"/>
    <m/>
    <n v="-1.5748"/>
  </r>
  <r>
    <x v="358"/>
    <n v="52.16"/>
    <n v="58.94"/>
    <n v="55.88"/>
    <m/>
    <n v="1"/>
    <s v="WTI Crude"/>
    <n v="52.16"/>
    <n v="1.5579000000000001"/>
    <m/>
    <n v="-1.5579000000000001"/>
  </r>
  <r>
    <x v="359"/>
    <n v="52.03"/>
    <n v="58.26"/>
    <n v="55.41"/>
    <m/>
    <n v="1"/>
    <s v="WTI Crude"/>
    <n v="52.03"/>
    <n v="1.5449999999999999"/>
    <m/>
    <n v="-1.5449999999999999"/>
  </r>
  <r>
    <x v="360"/>
    <n v="52.3"/>
    <n v="57.74"/>
    <n v="56.1"/>
    <m/>
    <n v="1"/>
    <s v="WTI Crude"/>
    <n v="52.3"/>
    <n v="1.5471999999999999"/>
    <m/>
    <n v="-1.5471999999999999"/>
  </r>
  <r>
    <x v="361"/>
    <n v="52.37"/>
    <n v="56.82"/>
    <n v="56.08"/>
    <m/>
    <n v="1"/>
    <s v="WTI Crude"/>
    <n v="52.37"/>
    <n v="1.5437000000000001"/>
    <m/>
    <n v="-1.5437000000000001"/>
  </r>
  <r>
    <x v="362"/>
    <n v="52.23"/>
    <n v="55.14"/>
    <n v="55.9"/>
    <n v="45.13"/>
    <n v="4"/>
    <s v="WCS"/>
    <n v="45.13"/>
    <n v="1.5379"/>
    <m/>
    <n v="-1.5379"/>
  </r>
  <r>
    <x v="363"/>
    <n v="51.96"/>
    <n v="54.41"/>
    <n v="55.1"/>
    <m/>
    <n v="1"/>
    <s v="WTI Crude"/>
    <n v="51.96"/>
    <n v="1.5277000000000001"/>
    <m/>
    <n v="-1.5277000000000001"/>
  </r>
  <r>
    <x v="364"/>
    <n v="52.59"/>
    <n v="54.36"/>
    <n v="56.42"/>
    <m/>
    <n v="1"/>
    <s v="WTI Crude"/>
    <n v="52.59"/>
    <n v="1.5538000000000001"/>
    <m/>
    <n v="-1.5538000000000001"/>
  </r>
  <r>
    <x v="365"/>
    <n v="52.21"/>
    <n v="55.31"/>
    <n v="56.06"/>
    <m/>
    <n v="1"/>
    <s v="WTI Crude"/>
    <n v="52.21"/>
    <n v="1.5467"/>
    <m/>
    <n v="-1.5467"/>
  </r>
  <r>
    <x v="366"/>
    <n v="52.39"/>
    <n v="54.87"/>
    <n v="56.58"/>
    <m/>
    <n v="1"/>
    <s v="WTI Crude"/>
    <n v="52.39"/>
    <n v="1.5518000000000001"/>
    <m/>
    <n v="-1.5518000000000001"/>
  </r>
  <r>
    <x v="367"/>
    <n v="51.73"/>
    <n v="54.85"/>
    <n v="55.66"/>
    <m/>
    <n v="1"/>
    <s v="WTI Crude"/>
    <n v="51.73"/>
    <n v="1.5207999999999999"/>
    <m/>
    <n v="-1.5207999999999999"/>
  </r>
  <r>
    <x v="368"/>
    <n v="51.72"/>
    <n v="54.69"/>
    <n v="55.99"/>
    <m/>
    <n v="1"/>
    <s v="WTI Crude"/>
    <n v="51.72"/>
    <n v="1.5423"/>
    <m/>
    <n v="-1.5423"/>
  </r>
  <r>
    <x v="369"/>
    <n v="50.62"/>
    <n v="55.14"/>
    <n v="54.38"/>
    <m/>
    <n v="1"/>
    <s v="WTI Crude"/>
    <n v="50.62"/>
    <n v="1.4826999999999999"/>
    <m/>
    <n v="-1.4826999999999999"/>
  </r>
  <r>
    <x v="370"/>
    <n v="50.46"/>
    <n v="55.75"/>
    <n v="54.3"/>
    <m/>
    <n v="1"/>
    <s v="WTI Crude"/>
    <n v="50.46"/>
    <n v="1.4750000000000001"/>
    <m/>
    <n v="-1.4750000000000001"/>
  </r>
  <r>
    <x v="371"/>
    <n v="49.84"/>
    <n v="54.85"/>
    <n v="53.6"/>
    <m/>
    <n v="1"/>
    <s v="WTI Crude"/>
    <n v="49.84"/>
    <n v="1.4520999999999999"/>
    <m/>
    <n v="-1.4520999999999999"/>
  </r>
  <r>
    <x v="372"/>
    <n v="47.67"/>
    <n v="53.92"/>
    <n v="51.09"/>
    <m/>
    <n v="1"/>
    <s v="WTI Crude"/>
    <n v="47.67"/>
    <n v="1.3729"/>
    <n v="2.0738999999999996"/>
    <n v="0.70099999999999962"/>
  </r>
  <r>
    <x v="373"/>
    <n v="47.07"/>
    <n v="54.68"/>
    <n v="51.8"/>
    <m/>
    <n v="1"/>
    <s v="WTI Crude"/>
    <n v="47.07"/>
    <n v="1.4100999999999999"/>
    <m/>
    <n v="-1.4100999999999999"/>
  </r>
  <r>
    <x v="374"/>
    <n v="47.06"/>
    <n v="55.19"/>
    <n v="51.34"/>
    <m/>
    <n v="1"/>
    <s v="WTI Crude"/>
    <n v="47.06"/>
    <n v="1.4013"/>
    <m/>
    <n v="-1.4013"/>
  </r>
  <r>
    <x v="375"/>
    <n v="47.03"/>
    <n v="55.81"/>
    <n v="51.09"/>
    <m/>
    <n v="1"/>
    <s v="WTI Crude"/>
    <n v="47.03"/>
    <n v="1.3783000000000001"/>
    <m/>
    <n v="-1.3783000000000001"/>
  </r>
  <r>
    <x v="376"/>
    <n v="46.97"/>
    <n v="55.41"/>
    <n v="50.86"/>
    <m/>
    <n v="1"/>
    <s v="WTI Crude"/>
    <n v="46.97"/>
    <n v="1.3607"/>
    <m/>
    <n v="-1.3607"/>
  </r>
  <r>
    <x v="377"/>
    <n v="47.09"/>
    <n v="54.76"/>
    <n v="51.29"/>
    <m/>
    <n v="1"/>
    <s v="WTI Crude"/>
    <n v="47.09"/>
    <n v="1.3722000000000001"/>
    <m/>
    <n v="-1.3722000000000001"/>
  </r>
  <r>
    <x v="378"/>
    <n v="47.06"/>
    <n v="54.39"/>
    <n v="51.2"/>
    <m/>
    <n v="1"/>
    <s v="WTI Crude"/>
    <n v="47.06"/>
    <n v="1.3762000000000001"/>
    <m/>
    <n v="-1.3762000000000001"/>
  </r>
  <r>
    <x v="379"/>
    <n v="46.76"/>
    <n v="53.84"/>
    <n v="50.08"/>
    <m/>
    <n v="1"/>
    <s v="WTI Crude"/>
    <n v="46.76"/>
    <n v="1.3354999999999999"/>
    <m/>
    <n v="-1.3354999999999999"/>
  </r>
  <r>
    <x v="380"/>
    <n v="47.06"/>
    <n v="53.29"/>
    <n v="50.91"/>
    <m/>
    <n v="1"/>
    <s v="WTI Crude"/>
    <n v="47.06"/>
    <n v="1.3548"/>
    <m/>
    <n v="-1.3548"/>
  </r>
  <r>
    <x v="381"/>
    <n v="47.53"/>
    <n v="50.75"/>
    <n v="52.26"/>
    <m/>
    <n v="1"/>
    <s v="WTI Crude"/>
    <n v="47.53"/>
    <n v="1.391"/>
    <m/>
    <n v="-1.391"/>
  </r>
  <r>
    <x v="382"/>
    <n v="47.24"/>
    <n v="51.35"/>
    <n v="51.5"/>
    <m/>
    <n v="1"/>
    <s v="WTI Crude"/>
    <n v="47.24"/>
    <n v="1.3816999999999999"/>
    <m/>
    <n v="-1.3816999999999999"/>
  </r>
  <r>
    <x v="383"/>
    <n v="46.99"/>
    <n v="50.24"/>
    <n v="51.08"/>
    <m/>
    <n v="1"/>
    <s v="WTI Crude"/>
    <n v="46.99"/>
    <n v="1.3514999999999999"/>
    <m/>
    <n v="-1.3514999999999999"/>
  </r>
  <r>
    <x v="384"/>
    <n v="46.89"/>
    <n v="50.22"/>
    <n v="50.76"/>
    <m/>
    <n v="1"/>
    <s v="WTI Crude"/>
    <n v="46.89"/>
    <n v="1.3268"/>
    <m/>
    <n v="-1.3268"/>
  </r>
  <r>
    <x v="385"/>
    <n v="46.54"/>
    <n v="50.16"/>
    <n v="50.29"/>
    <m/>
    <n v="1"/>
    <s v="WTI Crude"/>
    <n v="46.54"/>
    <n v="1.3190999999999999"/>
    <m/>
    <n v="-1.3190999999999999"/>
  </r>
  <r>
    <x v="386"/>
    <n v="46.3"/>
    <n v="50.1"/>
    <n v="49.97"/>
    <m/>
    <n v="1"/>
    <s v="WTI Crude"/>
    <n v="46.3"/>
    <n v="1.3077000000000001"/>
    <m/>
    <n v="-1.3077000000000001"/>
  </r>
  <r>
    <x v="387"/>
    <n v="46.44"/>
    <n v="50.31"/>
    <n v="50.25"/>
    <m/>
    <n v="1"/>
    <s v="WTI Crude"/>
    <n v="46.44"/>
    <n v="1.3166"/>
    <m/>
    <n v="-1.3166"/>
  </r>
  <r>
    <x v="388"/>
    <n v="45.58"/>
    <n v="49.46"/>
    <n v="48.86"/>
    <m/>
    <n v="1"/>
    <s v="WTI Crude"/>
    <n v="45.58"/>
    <n v="1.2759"/>
    <m/>
    <n v="-1.2759"/>
  </r>
  <r>
    <x v="389"/>
    <n v="45.64"/>
    <n v="49.22"/>
    <n v="48.84"/>
    <m/>
    <n v="1"/>
    <s v="WTI Crude"/>
    <n v="45.64"/>
    <n v="1.2559"/>
    <m/>
    <n v="-1.2559"/>
  </r>
  <r>
    <x v="390"/>
    <n v="45.76"/>
    <n v="49.57"/>
    <n v="48.79"/>
    <m/>
    <n v="1"/>
    <s v="WTI Crude"/>
    <n v="45.76"/>
    <n v="1.2558"/>
    <m/>
    <n v="-1.2558"/>
  </r>
  <r>
    <x v="391"/>
    <n v="46.16"/>
    <n v="50.69"/>
    <n v="49.25"/>
    <m/>
    <n v="1"/>
    <s v="WTI Crude"/>
    <n v="46.16"/>
    <n v="1.2685"/>
    <m/>
    <n v="-1.2685"/>
  </r>
  <r>
    <x v="392"/>
    <n v="45.62"/>
    <n v="50.78"/>
    <n v="48.71"/>
    <m/>
    <n v="1"/>
    <s v="WTI Crude"/>
    <n v="45.62"/>
    <n v="1.2617"/>
    <m/>
    <n v="-1.2617"/>
  </r>
  <r>
    <x v="393"/>
    <n v="45.3"/>
    <n v="50.12"/>
    <n v="48.25"/>
    <m/>
    <n v="1"/>
    <s v="WTI Crude"/>
    <n v="45.3"/>
    <n v="1.2399"/>
    <m/>
    <n v="-1.2399"/>
  </r>
  <r>
    <x v="394"/>
    <n v="44.61"/>
    <n v="49.61"/>
    <n v="47.42"/>
    <m/>
    <n v="1"/>
    <s v="WTI Crude"/>
    <n v="44.61"/>
    <n v="1.2203999999999999"/>
    <m/>
    <n v="-1.2203999999999999"/>
  </r>
  <r>
    <x v="395"/>
    <n v="41.35"/>
    <n v="49.65"/>
    <n v="47.59"/>
    <m/>
    <n v="1"/>
    <s v="WTI Crude"/>
    <n v="41.35"/>
    <n v="1.2416"/>
    <m/>
    <n v="-1.2416"/>
  </r>
  <r>
    <x v="396"/>
    <n v="41.36"/>
    <n v="49.58"/>
    <n v="48.18"/>
    <m/>
    <n v="1"/>
    <s v="WTI Crude"/>
    <n v="41.36"/>
    <n v="1.266"/>
    <m/>
    <n v="-1.266"/>
  </r>
  <r>
    <x v="397"/>
    <n v="41.37"/>
    <n v="48.87"/>
    <n v="48.61"/>
    <m/>
    <n v="1"/>
    <s v="WTI Crude"/>
    <n v="41.37"/>
    <n v="1.2709999999999999"/>
    <n v="2.0043099999999998"/>
    <n v="0.73330999999999991"/>
  </r>
  <r>
    <x v="398"/>
    <n v="41.25"/>
    <n v="48.31"/>
    <n v="47.86"/>
    <m/>
    <n v="1"/>
    <s v="WTI Crude"/>
    <n v="41.25"/>
    <n v="1.2509999999999999"/>
    <m/>
    <n v="-1.2509999999999999"/>
  </r>
  <r>
    <x v="399"/>
    <n v="40.880000000000003"/>
    <n v="47.79"/>
    <n v="46.06"/>
    <m/>
    <n v="1"/>
    <s v="WTI Crude"/>
    <n v="40.880000000000003"/>
    <n v="1.1971000000000001"/>
    <m/>
    <n v="-1.1971000000000001"/>
  </r>
  <r>
    <x v="400"/>
    <n v="40.72"/>
    <n v="47.77"/>
    <n v="44.96"/>
    <m/>
    <n v="1"/>
    <s v="WTI Crude"/>
    <n v="40.72"/>
    <n v="1.1702999999999999"/>
    <m/>
    <n v="-1.1702999999999999"/>
  </r>
  <r>
    <x v="401"/>
    <n v="40.57"/>
    <n v="48.35"/>
    <n v="44.2"/>
    <m/>
    <n v="1"/>
    <s v="WTI Crude"/>
    <n v="40.57"/>
    <n v="1.1596"/>
    <m/>
    <n v="-1.1596"/>
  </r>
  <r>
    <x v="402"/>
    <n v="40.61"/>
    <n v="47.46"/>
    <n v="44.34"/>
    <m/>
    <n v="1"/>
    <s v="WTI Crude"/>
    <n v="40.61"/>
    <n v="1.1626000000000001"/>
    <m/>
    <n v="-1.1626000000000001"/>
  </r>
  <r>
    <x v="403"/>
    <n v="40.46"/>
    <n v="46.69"/>
    <n v="43.75"/>
    <m/>
    <n v="1"/>
    <s v="WTI Crude"/>
    <n v="40.46"/>
    <n v="1.1528"/>
    <m/>
    <n v="-1.1528"/>
  </r>
  <r>
    <x v="404"/>
    <n v="40.42"/>
    <n v="46.73"/>
    <n v="43.82"/>
    <m/>
    <n v="1"/>
    <s v="WTI Crude"/>
    <n v="40.42"/>
    <n v="1.147"/>
    <m/>
    <n v="-1.147"/>
  </r>
  <r>
    <x v="405"/>
    <n v="39.83"/>
    <n v="46.43"/>
    <n v="42.78"/>
    <m/>
    <n v="1"/>
    <s v="WTI Crude"/>
    <n v="39.83"/>
    <n v="1.125"/>
    <m/>
    <n v="-1.125"/>
  </r>
  <r>
    <x v="406"/>
    <n v="40.380000000000003"/>
    <n v="46.79"/>
    <n v="43.53"/>
    <m/>
    <n v="1"/>
    <s v="WTI Crude"/>
    <n v="40.380000000000003"/>
    <n v="1.1557999999999999"/>
    <m/>
    <n v="-1.1557999999999999"/>
  </r>
  <r>
    <x v="407"/>
    <n v="40.58"/>
    <n v="46.66"/>
    <n v="43.8"/>
    <m/>
    <n v="1"/>
    <s v="WTI Crude"/>
    <n v="40.58"/>
    <n v="1.1758999999999999"/>
    <m/>
    <n v="-1.1758999999999999"/>
  </r>
  <r>
    <x v="408"/>
    <n v="40.520000000000003"/>
    <n v="46.91"/>
    <n v="43.61"/>
    <m/>
    <n v="1"/>
    <s v="WTI Crude"/>
    <n v="40.520000000000003"/>
    <n v="1.1940999999999999"/>
    <m/>
    <n v="-1.1940999999999999"/>
  </r>
  <r>
    <x v="409"/>
    <n v="39.78"/>
    <n v="45.51"/>
    <n v="42.4"/>
    <m/>
    <n v="1"/>
    <s v="WTI Crude"/>
    <n v="39.78"/>
    <n v="1.1607000000000001"/>
    <m/>
    <n v="-1.1607000000000001"/>
  </r>
  <r>
    <x v="410"/>
    <n v="37.42"/>
    <n v="44.75"/>
    <n v="39.450000000000003"/>
    <m/>
    <n v="1"/>
    <s v="WTI Crude"/>
    <n v="37.42"/>
    <n v="1.0844"/>
    <m/>
    <n v="-1.0844"/>
  </r>
  <r>
    <x v="411"/>
    <n v="38.729999999999997"/>
    <n v="43.38"/>
    <n v="40.93"/>
    <m/>
    <n v="1"/>
    <s v="WTI Crude"/>
    <n v="38.729999999999997"/>
    <n v="1.1158999999999999"/>
    <m/>
    <n v="-1.1158999999999999"/>
  </r>
  <r>
    <x v="412"/>
    <n v="39.04"/>
    <n v="43.12"/>
    <n v="41.23"/>
    <m/>
    <n v="1"/>
    <s v="WTI Crude"/>
    <n v="39.04"/>
    <n v="1.1081000000000001"/>
    <m/>
    <n v="-1.1081000000000001"/>
  </r>
  <r>
    <x v="413"/>
    <n v="37.700000000000003"/>
    <n v="43.05"/>
    <n v="39.71"/>
    <m/>
    <n v="1"/>
    <s v="WTI Crude"/>
    <n v="37.700000000000003"/>
    <n v="1.0769"/>
    <m/>
    <n v="-1.0769"/>
  </r>
  <r>
    <x v="414"/>
    <n v="36.9"/>
    <n v="42.76"/>
    <n v="38.97"/>
    <m/>
    <n v="1"/>
    <s v="WTI Crude"/>
    <n v="36.9"/>
    <n v="1.052"/>
    <m/>
    <n v="-1.052"/>
  </r>
  <r>
    <x v="415"/>
    <n v="39.549999999999997"/>
    <n v="42.93"/>
    <n v="37.46"/>
    <m/>
    <n v="3"/>
    <s v="Brent Crude"/>
    <n v="37.46"/>
    <n v="1.0322"/>
    <m/>
    <n v="-1.0322"/>
  </r>
  <r>
    <x v="416"/>
    <n v="39.57"/>
    <n v="42.05"/>
    <n v="37.65"/>
    <m/>
    <n v="3"/>
    <s v="Brent Crude"/>
    <n v="37.65"/>
    <n v="1.028"/>
    <m/>
    <n v="-1.028"/>
  </r>
  <r>
    <x v="417"/>
    <n v="39.68"/>
    <n v="42.97"/>
    <n v="39.119999999999997"/>
    <m/>
    <n v="3"/>
    <s v="Brent Crude"/>
    <n v="39.119999999999997"/>
    <n v="1.0636000000000001"/>
    <m/>
    <n v="-1.0636000000000001"/>
  </r>
  <r>
    <x v="418"/>
    <n v="39.979999999999997"/>
    <n v="43.42"/>
    <n v="41.2"/>
    <m/>
    <n v="1"/>
    <s v="WTI Crude"/>
    <n v="39.979999999999997"/>
    <n v="1.1288"/>
    <m/>
    <n v="-1.1288"/>
  </r>
  <r>
    <x v="419"/>
    <n v="39.799999999999997"/>
    <n v="41.72"/>
    <n v="40.46"/>
    <m/>
    <n v="1"/>
    <s v="WTI Crude"/>
    <n v="39.799999999999997"/>
    <n v="1.0969"/>
    <m/>
    <n v="-1.0969"/>
  </r>
  <r>
    <x v="420"/>
    <n v="40.090000000000003"/>
    <n v="39.97"/>
    <n v="41.77"/>
    <m/>
    <n v="2"/>
    <s v="Opec Basket"/>
    <n v="39.97"/>
    <n v="1.127"/>
    <m/>
    <n v="-1.127"/>
  </r>
  <r>
    <x v="421"/>
    <n v="40.31"/>
    <n v="39.22"/>
    <n v="42.46"/>
    <m/>
    <n v="2"/>
    <s v="Opec Basket"/>
    <n v="39.22"/>
    <n v="1.1452"/>
    <m/>
    <n v="-1.1452"/>
  </r>
  <r>
    <x v="422"/>
    <n v="40.11"/>
    <n v="39.79"/>
    <n v="41.73"/>
    <m/>
    <n v="2"/>
    <s v="Opec Basket"/>
    <n v="39.79"/>
    <n v="1.1271"/>
    <n v="1.89025"/>
    <n v="0.76315"/>
  </r>
  <r>
    <x v="423"/>
    <n v="40.72"/>
    <n v="39.090000000000003"/>
    <n v="43.16"/>
    <m/>
    <n v="2"/>
    <s v="Opec Basket"/>
    <n v="39.090000000000003"/>
    <n v="1.1725000000000001"/>
    <m/>
    <n v="-1.1725000000000001"/>
  </r>
  <r>
    <x v="424"/>
    <n v="40.46"/>
    <n v="38.44"/>
    <n v="42.62"/>
    <m/>
    <n v="2"/>
    <s v="Opec Basket"/>
    <n v="38.44"/>
    <n v="1.1485000000000001"/>
    <m/>
    <n v="-1.1485000000000001"/>
  </r>
  <r>
    <x v="425"/>
    <n v="40.479999999999997"/>
    <n v="35.89"/>
    <n v="42.93"/>
    <m/>
    <n v="2"/>
    <s v="Opec Basket"/>
    <n v="35.89"/>
    <n v="1.1535"/>
    <m/>
    <n v="-1.1535"/>
  </r>
  <r>
    <x v="426"/>
    <n v="40.54"/>
    <n v="36.5"/>
    <n v="43.16"/>
    <m/>
    <n v="2"/>
    <s v="Opec Basket"/>
    <n v="36.5"/>
    <n v="1.1637"/>
    <m/>
    <n v="-1.1637"/>
  </r>
  <r>
    <x v="427"/>
    <n v="40.590000000000003"/>
    <n v="37.119999999999997"/>
    <n v="43.32"/>
    <m/>
    <n v="2"/>
    <s v="Opec Basket"/>
    <n v="37.119999999999997"/>
    <n v="1.1795"/>
    <m/>
    <n v="-1.1795"/>
  </r>
  <r>
    <x v="428"/>
    <n v="40.090000000000003"/>
    <n v="38.42"/>
    <n v="42.45"/>
    <m/>
    <n v="2"/>
    <s v="Opec Basket"/>
    <n v="38.42"/>
    <n v="1.1633"/>
    <m/>
    <n v="-1.1633"/>
  </r>
  <r>
    <x v="429"/>
    <n v="39.6"/>
    <n v="39.53"/>
    <n v="41.72"/>
    <m/>
    <n v="2"/>
    <s v="Opec Basket"/>
    <n v="39.53"/>
    <n v="1.1757"/>
    <m/>
    <n v="-1.1757"/>
  </r>
  <r>
    <x v="430"/>
    <n v="40.4"/>
    <n v="39.22"/>
    <n v="42.85"/>
    <m/>
    <n v="2"/>
    <s v="Opec Basket"/>
    <n v="39.22"/>
    <n v="1.2032"/>
    <m/>
    <n v="-1.2032"/>
  </r>
  <r>
    <x v="431"/>
    <n v="40.82"/>
    <n v="41.05"/>
    <n v="43.34"/>
    <m/>
    <n v="1"/>
    <s v="WTI Crude"/>
    <n v="40.82"/>
    <n v="1.2316"/>
    <m/>
    <n v="-1.2316"/>
  </r>
  <r>
    <x v="432"/>
    <n v="39.86"/>
    <n v="40.909999999999997"/>
    <n v="41.99"/>
    <m/>
    <n v="1"/>
    <s v="WTI Crude"/>
    <n v="39.86"/>
    <n v="1.2009000000000001"/>
    <m/>
    <n v="-1.2009000000000001"/>
  </r>
  <r>
    <x v="433"/>
    <n v="40.450000000000003"/>
    <n v="40.880000000000003"/>
    <n v="42.65"/>
    <m/>
    <n v="1"/>
    <s v="WTI Crude"/>
    <n v="40.450000000000003"/>
    <n v="1.2351000000000001"/>
    <m/>
    <n v="-1.2351000000000001"/>
  </r>
  <r>
    <x v="434"/>
    <n v="39.200000000000003"/>
    <n v="41.04"/>
    <n v="41.29"/>
    <m/>
    <n v="1"/>
    <s v="WTI Crude"/>
    <n v="39.200000000000003"/>
    <n v="1.1940999999999999"/>
    <m/>
    <n v="-1.1940999999999999"/>
  </r>
  <r>
    <x v="435"/>
    <n v="37.229999999999997"/>
    <n v="41.38"/>
    <n v="39.270000000000003"/>
    <m/>
    <n v="1"/>
    <s v="WTI Crude"/>
    <n v="37.229999999999997"/>
    <n v="1.1234999999999999"/>
    <m/>
    <n v="-1.1234999999999999"/>
  </r>
  <r>
    <x v="436"/>
    <n v="38.83"/>
    <n v="41.37"/>
    <n v="40.93"/>
    <m/>
    <n v="1"/>
    <s v="WTI Crude"/>
    <n v="38.83"/>
    <n v="1.1524000000000001"/>
    <m/>
    <n v="-1.1524000000000001"/>
  </r>
  <r>
    <x v="437"/>
    <n v="39.630000000000003"/>
    <n v="41.29"/>
    <n v="40.950000000000003"/>
    <m/>
    <n v="1"/>
    <s v="WTI Crude"/>
    <n v="39.630000000000003"/>
    <n v="1.1816"/>
    <m/>
    <n v="-1.1816"/>
  </r>
  <r>
    <x v="438"/>
    <n v="39.58"/>
    <n v="41.2"/>
    <n v="41.03"/>
    <m/>
    <n v="1"/>
    <s v="WTI Crude"/>
    <n v="39.58"/>
    <n v="1.1711"/>
    <m/>
    <n v="-1.1711"/>
  </r>
  <r>
    <x v="439"/>
    <n v="39.71"/>
    <n v="40.68"/>
    <n v="42.43"/>
    <m/>
    <n v="1"/>
    <s v="WTI Crude"/>
    <n v="39.71"/>
    <n v="1.2132000000000001"/>
    <m/>
    <n v="-1.2132000000000001"/>
  </r>
  <r>
    <x v="440"/>
    <n v="39.659999999999997"/>
    <n v="40.57"/>
    <n v="41.92"/>
    <m/>
    <n v="1"/>
    <s v="WTI Crude"/>
    <n v="39.659999999999997"/>
    <n v="1.1898"/>
    <m/>
    <n v="-1.1898"/>
  </r>
  <r>
    <x v="441"/>
    <n v="39.67"/>
    <n v="41.61"/>
    <n v="41.94"/>
    <m/>
    <n v="1"/>
    <s v="WTI Crude"/>
    <n v="39.67"/>
    <n v="1.1732"/>
    <m/>
    <n v="-1.1732"/>
  </r>
  <r>
    <x v="442"/>
    <n v="39.58"/>
    <n v="41.06"/>
    <n v="41.77"/>
    <m/>
    <n v="1"/>
    <s v="WTI Crude"/>
    <n v="39.58"/>
    <n v="1.1577999999999999"/>
    <m/>
    <n v="-1.1577999999999999"/>
  </r>
  <r>
    <x v="443"/>
    <n v="39.54"/>
    <n v="40.450000000000003"/>
    <n v="41.72"/>
    <m/>
    <n v="1"/>
    <s v="WTI Crude"/>
    <n v="39.54"/>
    <n v="1.1437999999999999"/>
    <m/>
    <n v="-1.1437999999999999"/>
  </r>
  <r>
    <x v="444"/>
    <n v="39.450000000000003"/>
    <n v="40.33"/>
    <n v="41.44"/>
    <m/>
    <n v="1"/>
    <s v="WTI Crude"/>
    <n v="39.450000000000003"/>
    <n v="1.1544000000000001"/>
    <m/>
    <n v="-1.1544000000000001"/>
  </r>
  <r>
    <x v="445"/>
    <n v="40.130000000000003"/>
    <n v="39.07"/>
    <n v="43.15"/>
    <m/>
    <n v="2"/>
    <s v="Opec Basket"/>
    <n v="39.07"/>
    <n v="1.2097"/>
    <m/>
    <n v="-1.2097"/>
  </r>
  <r>
    <x v="446"/>
    <n v="40.08"/>
    <n v="38.090000000000003"/>
    <n v="43.3"/>
    <m/>
    <n v="2"/>
    <s v="Opec Basket"/>
    <n v="38.090000000000003"/>
    <n v="1.2017"/>
    <m/>
    <n v="-1.2017"/>
  </r>
  <r>
    <x v="447"/>
    <n v="39.700000000000003"/>
    <n v="39.94"/>
    <n v="42.22"/>
    <m/>
    <n v="1"/>
    <s v="WTI Crude"/>
    <n v="39.700000000000003"/>
    <n v="1.1694"/>
    <m/>
    <n v="-1.1694"/>
  </r>
  <r>
    <x v="448"/>
    <n v="38.72"/>
    <n v="40.65"/>
    <n v="40.53"/>
    <m/>
    <n v="1"/>
    <s v="WTI Crude"/>
    <n v="38.72"/>
    <n v="1.1198999999999999"/>
    <n v="2.1491600000000002"/>
    <n v="1.0292600000000003"/>
  </r>
  <r>
    <x v="449"/>
    <n v="38.14"/>
    <n v="41.46"/>
    <n v="39.61"/>
    <m/>
    <n v="1"/>
    <s v="WTI Crude"/>
    <n v="38.14"/>
    <n v="1.0922000000000001"/>
    <m/>
    <n v="-1.0922000000000001"/>
  </r>
  <r>
    <x v="450"/>
    <n v="38.19"/>
    <n v="41.61"/>
    <n v="39.83"/>
    <m/>
    <n v="1"/>
    <s v="WTI Crude"/>
    <n v="38.19"/>
    <n v="1.0949"/>
    <m/>
    <n v="-1.0949"/>
  </r>
  <r>
    <x v="451"/>
    <n v="38.18"/>
    <n v="41.93"/>
    <n v="40.06"/>
    <m/>
    <n v="1"/>
    <s v="WTI Crude"/>
    <n v="38.18"/>
    <n v="1.0976999999999999"/>
    <m/>
    <n v="-1.0976999999999999"/>
  </r>
  <r>
    <x v="452"/>
    <n v="38.72"/>
    <n v="41.22"/>
    <n v="40.79"/>
    <m/>
    <n v="1"/>
    <s v="WTI Crude"/>
    <n v="38.72"/>
    <n v="1.1193"/>
    <m/>
    <n v="-1.1193"/>
  </r>
  <r>
    <x v="453"/>
    <n v="37.76"/>
    <n v="41.4"/>
    <n v="39.78"/>
    <m/>
    <n v="1"/>
    <s v="WTI Crude"/>
    <n v="37.76"/>
    <n v="1.1028"/>
    <m/>
    <n v="-1.1028"/>
  </r>
  <r>
    <x v="454"/>
    <n v="40.18"/>
    <n v="41.32"/>
    <n v="42.66"/>
    <m/>
    <n v="1"/>
    <s v="WTI Crude"/>
    <n v="40.18"/>
    <n v="1.1772"/>
    <m/>
    <n v="-1.1772"/>
  </r>
  <r>
    <x v="455"/>
    <n v="41.54"/>
    <n v="41.49"/>
    <n v="44.07"/>
    <m/>
    <n v="2"/>
    <s v="Opec Basket"/>
    <n v="41.49"/>
    <n v="1.2049000000000001"/>
    <m/>
    <n v="-1.2049000000000001"/>
  </r>
  <r>
    <x v="456"/>
    <n v="41.67"/>
    <n v="42.98"/>
    <n v="44.43"/>
    <m/>
    <n v="1"/>
    <s v="WTI Crude"/>
    <n v="41.67"/>
    <n v="1.202"/>
    <m/>
    <n v="-1.202"/>
  </r>
  <r>
    <x v="457"/>
    <n v="42.85"/>
    <n v="42.07"/>
    <n v="45.58"/>
    <m/>
    <n v="2"/>
    <s v="Opec Basket"/>
    <n v="42.07"/>
    <n v="1.2246999999999999"/>
    <m/>
    <n v="-1.2246999999999999"/>
  </r>
  <r>
    <x v="458"/>
    <n v="42.69"/>
    <n v="41.29"/>
    <n v="45.28"/>
    <m/>
    <n v="2"/>
    <s v="Opec Basket"/>
    <n v="41.29"/>
    <n v="1.2137"/>
    <m/>
    <n v="-1.2137"/>
  </r>
  <r>
    <x v="459"/>
    <n v="42.41"/>
    <n v="39.35"/>
    <n v="45.81"/>
    <m/>
    <n v="2"/>
    <s v="Opec Basket"/>
    <n v="39.35"/>
    <n v="1.2464999999999999"/>
    <m/>
    <n v="-1.2464999999999999"/>
  </r>
  <r>
    <x v="460"/>
    <n v="42.41"/>
    <n v="38.96"/>
    <n v="45.09"/>
    <m/>
    <n v="2"/>
    <s v="Opec Basket"/>
    <n v="38.96"/>
    <n v="1.2181999999999999"/>
    <m/>
    <n v="-1.2181999999999999"/>
  </r>
  <r>
    <x v="461"/>
    <n v="42.46"/>
    <n v="39.369999999999997"/>
    <n v="45.64"/>
    <m/>
    <n v="2"/>
    <s v="Opec Basket"/>
    <n v="39.369999999999997"/>
    <n v="1.2634000000000001"/>
    <m/>
    <n v="-1.2634000000000001"/>
  </r>
  <r>
    <x v="462"/>
    <n v="42.45"/>
    <n v="39.83"/>
    <n v="45.86"/>
    <m/>
    <n v="2"/>
    <s v="Opec Basket"/>
    <n v="39.83"/>
    <n v="1.2685"/>
    <m/>
    <n v="-1.2685"/>
  </r>
  <r>
    <x v="463"/>
    <n v="42.28"/>
    <n v="39.82"/>
    <n v="45.13"/>
    <m/>
    <n v="2"/>
    <s v="Opec Basket"/>
    <n v="39.82"/>
    <n v="1.2598"/>
    <m/>
    <n v="-1.2598"/>
  </r>
  <r>
    <x v="464"/>
    <n v="42.2"/>
    <n v="40.29"/>
    <n v="44.35"/>
    <m/>
    <n v="2"/>
    <s v="Opec Basket"/>
    <n v="40.29"/>
    <n v="1.2130000000000001"/>
    <m/>
    <n v="-1.2130000000000001"/>
  </r>
  <r>
    <x v="465"/>
    <n v="42.36"/>
    <n v="41.64"/>
    <n v="44.9"/>
    <m/>
    <n v="2"/>
    <s v="Opec Basket"/>
    <n v="41.64"/>
    <n v="1.2263999999999999"/>
    <m/>
    <n v="-1.2263999999999999"/>
  </r>
  <r>
    <x v="466"/>
    <n v="42.47"/>
    <n v="43.42"/>
    <n v="45.37"/>
    <m/>
    <n v="1"/>
    <s v="WTI Crude"/>
    <n v="42.47"/>
    <n v="1.2284999999999999"/>
    <m/>
    <n v="-1.2284999999999999"/>
  </r>
  <r>
    <x v="467"/>
    <n v="42.47"/>
    <n v="43.36"/>
    <n v="45.46"/>
    <m/>
    <n v="1"/>
    <s v="WTI Crude"/>
    <n v="42.47"/>
    <n v="1.2249000000000001"/>
    <m/>
    <n v="-1.2249000000000001"/>
  </r>
  <r>
    <x v="468"/>
    <n v="42.49"/>
    <n v="45.02"/>
    <n v="45.37"/>
    <m/>
    <n v="1"/>
    <s v="WTI Crude"/>
    <n v="42.49"/>
    <n v="1.2134"/>
    <m/>
    <n v="-1.2134"/>
  </r>
  <r>
    <x v="469"/>
    <n v="42.04"/>
    <n v="45.3"/>
    <n v="44.8"/>
    <m/>
    <n v="1"/>
    <s v="WTI Crude"/>
    <n v="42.04"/>
    <n v="1.1879999999999999"/>
    <m/>
    <n v="-1.1879999999999999"/>
  </r>
  <r>
    <x v="470"/>
    <n v="42.16"/>
    <n v="46.27"/>
    <n v="44.96"/>
    <m/>
    <n v="1"/>
    <s v="WTI Crude"/>
    <n v="42.16"/>
    <n v="1.1789000000000001"/>
    <m/>
    <n v="-1.1789000000000001"/>
  </r>
  <r>
    <x v="471"/>
    <n v="42.43"/>
    <n v="45.33"/>
    <n v="45.43"/>
    <m/>
    <n v="1"/>
    <s v="WTI Crude"/>
    <n v="42.43"/>
    <n v="1.1858"/>
    <m/>
    <n v="-1.1858"/>
  </r>
  <r>
    <x v="472"/>
    <n v="41.71"/>
    <n v="45.81"/>
    <n v="44.5"/>
    <m/>
    <n v="1"/>
    <s v="WTI Crude"/>
    <n v="41.71"/>
    <n v="1.2044999999999999"/>
    <m/>
    <n v="-1.2044999999999999"/>
  </r>
  <r>
    <x v="473"/>
    <n v="41.94"/>
    <n v="46.05"/>
    <n v="44.99"/>
    <m/>
    <n v="1"/>
    <s v="WTI Crude"/>
    <n v="41.94"/>
    <n v="1.2293000000000001"/>
    <n v="1.9947599999999999"/>
    <n v="0.76545999999999981"/>
  </r>
  <r>
    <x v="474"/>
    <n v="41.4"/>
    <n v="45.87"/>
    <n v="44.4"/>
    <m/>
    <n v="1"/>
    <s v="WTI Crude"/>
    <n v="41.4"/>
    <n v="1.2076"/>
    <m/>
    <n v="-1.2076"/>
  </r>
  <r>
    <x v="475"/>
    <n v="41.99"/>
    <n v="45.19"/>
    <n v="45.09"/>
    <m/>
    <n v="1"/>
    <s v="WTI Crude"/>
    <n v="41.99"/>
    <n v="1.2281"/>
    <m/>
    <n v="-1.2281"/>
  </r>
  <r>
    <x v="476"/>
    <n v="42.19"/>
    <n v="44.92"/>
    <n v="45.17"/>
    <m/>
    <n v="1"/>
    <s v="WTI Crude"/>
    <n v="42.19"/>
    <n v="1.2228000000000001"/>
    <m/>
    <n v="-1.2228000000000001"/>
  </r>
  <r>
    <x v="477"/>
    <n v="41.74"/>
    <n v="45.05"/>
    <n v="44.43"/>
    <m/>
    <n v="1"/>
    <s v="WTI Crude"/>
    <n v="41.74"/>
    <n v="1.2142999999999999"/>
    <m/>
    <n v="-1.2142999999999999"/>
  </r>
  <r>
    <x v="478"/>
    <n v="41.11"/>
    <n v="45.19"/>
    <n v="44.15"/>
    <m/>
    <n v="1"/>
    <s v="WTI Crude"/>
    <n v="41.11"/>
    <n v="1.2131000000000001"/>
    <m/>
    <n v="-1.2131000000000001"/>
  </r>
  <r>
    <x v="479"/>
    <n v="40.770000000000003"/>
    <n v="45.49"/>
    <n v="43.3"/>
    <m/>
    <n v="1"/>
    <s v="WTI Crude"/>
    <n v="40.770000000000003"/>
    <n v="1.1711"/>
    <m/>
    <n v="-1.1711"/>
  </r>
  <r>
    <x v="480"/>
    <n v="40.75"/>
    <n v="44.94"/>
    <n v="42.94"/>
    <m/>
    <n v="1"/>
    <s v="WTI Crude"/>
    <n v="40.75"/>
    <n v="1.1908000000000001"/>
    <m/>
    <n v="-1.1908000000000001"/>
  </r>
  <r>
    <x v="481"/>
    <n v="40.869999999999997"/>
    <n v="44.62"/>
    <n v="43.75"/>
    <m/>
    <n v="1"/>
    <s v="WTI Crude"/>
    <n v="40.869999999999997"/>
    <n v="1.2132000000000001"/>
    <m/>
    <n v="-1.2132000000000001"/>
  </r>
  <r>
    <x v="482"/>
    <n v="40.840000000000003"/>
    <n v="45.34"/>
    <n v="43.22"/>
    <m/>
    <n v="1"/>
    <s v="WTI Crude"/>
    <n v="40.840000000000003"/>
    <n v="1.2352000000000001"/>
    <m/>
    <n v="-1.2352000000000001"/>
  </r>
  <r>
    <x v="483"/>
    <n v="40.94"/>
    <n v="45.08"/>
    <n v="43.41"/>
    <m/>
    <n v="1"/>
    <s v="WTI Crude"/>
    <n v="40.94"/>
    <n v="1.2446999999999999"/>
    <m/>
    <n v="-1.2446999999999999"/>
  </r>
  <r>
    <x v="484"/>
    <n v="40.869999999999997"/>
    <n v="45.21"/>
    <n v="43.34"/>
    <m/>
    <n v="1"/>
    <s v="WTI Crude"/>
    <n v="40.869999999999997"/>
    <n v="1.256"/>
    <m/>
    <n v="-1.256"/>
  </r>
  <r>
    <x v="485"/>
    <n v="40.81"/>
    <n v="45.01"/>
    <n v="43.31"/>
    <m/>
    <n v="1"/>
    <s v="WTI Crude"/>
    <n v="40.81"/>
    <n v="1.2363"/>
    <m/>
    <n v="-1.2363"/>
  </r>
  <r>
    <x v="486"/>
    <n v="41.08"/>
    <n v="44.87"/>
    <n v="44.29"/>
    <m/>
    <n v="1"/>
    <s v="WTI Crude"/>
    <n v="41.08"/>
    <n v="1.2603"/>
    <m/>
    <n v="-1.2603"/>
  </r>
  <r>
    <x v="487"/>
    <n v="41.08"/>
    <n v="45.17"/>
    <n v="44.32"/>
    <m/>
    <n v="1"/>
    <s v="WTI Crude"/>
    <n v="41.08"/>
    <n v="1.2604"/>
    <m/>
    <n v="-1.2604"/>
  </r>
  <r>
    <x v="488"/>
    <n v="40.67"/>
    <n v="45.34"/>
    <n v="43.28"/>
    <m/>
    <n v="1"/>
    <s v="WTI Crude"/>
    <n v="40.67"/>
    <n v="1.2131000000000001"/>
    <m/>
    <n v="-1.2131000000000001"/>
  </r>
  <r>
    <x v="489"/>
    <n v="40.590000000000003"/>
    <n v="44.27"/>
    <n v="43.14"/>
    <m/>
    <n v="1"/>
    <s v="WTI Crude"/>
    <n v="40.590000000000003"/>
    <n v="1.2061999999999999"/>
    <m/>
    <n v="-1.2061999999999999"/>
  </r>
  <r>
    <x v="490"/>
    <n v="40.67"/>
    <n v="44.02"/>
    <n v="43.37"/>
    <m/>
    <n v="1"/>
    <s v="WTI Crude"/>
    <n v="40.67"/>
    <n v="1.2157"/>
    <m/>
    <n v="-1.2157"/>
  </r>
  <r>
    <x v="491"/>
    <n v="40.93"/>
    <n v="43.02"/>
    <n v="43.79"/>
    <m/>
    <n v="1"/>
    <s v="WTI Crude"/>
    <n v="40.93"/>
    <n v="1.2427999999999999"/>
    <m/>
    <n v="-1.2427999999999999"/>
  </r>
  <r>
    <x v="492"/>
    <n v="40.409999999999997"/>
    <n v="42.99"/>
    <n v="42.9"/>
    <m/>
    <n v="1"/>
    <s v="WTI Crude"/>
    <n v="40.409999999999997"/>
    <n v="1.2262"/>
    <m/>
    <n v="-1.2262"/>
  </r>
  <r>
    <x v="493"/>
    <n v="40.28"/>
    <n v="43.59"/>
    <n v="42.72"/>
    <m/>
    <n v="1"/>
    <s v="WTI Crude"/>
    <n v="40.28"/>
    <n v="1.2471000000000001"/>
    <m/>
    <n v="-1.2471000000000001"/>
  </r>
  <r>
    <x v="494"/>
    <n v="40.58"/>
    <n v="43.4"/>
    <n v="43.24"/>
    <m/>
    <n v="1"/>
    <s v="WTI Crude"/>
    <n v="40.58"/>
    <n v="1.2830999999999999"/>
    <m/>
    <n v="-1.2830999999999999"/>
  </r>
  <r>
    <x v="495"/>
    <n v="39.9"/>
    <n v="43.14"/>
    <n v="42.35"/>
    <m/>
    <n v="1"/>
    <s v="WTI Crude"/>
    <n v="39.9"/>
    <n v="1.2504999999999999"/>
    <m/>
    <n v="-1.2504999999999999"/>
  </r>
  <r>
    <x v="496"/>
    <n v="40.869999999999997"/>
    <n v="43.38"/>
    <n v="43.29"/>
    <m/>
    <n v="1"/>
    <s v="WTI Crude"/>
    <n v="40.869999999999997"/>
    <n v="1.2908999999999999"/>
    <m/>
    <n v="-1.2908999999999999"/>
  </r>
  <r>
    <x v="497"/>
    <n v="40.61"/>
    <n v="44.62"/>
    <n v="43.08"/>
    <m/>
    <n v="1"/>
    <s v="WTI Crude"/>
    <n v="40.61"/>
    <n v="1.2749999999999999"/>
    <m/>
    <n v="-1.2749999999999999"/>
  </r>
  <r>
    <x v="498"/>
    <n v="40.630000000000003"/>
    <n v="44.24"/>
    <n v="43.1"/>
    <m/>
    <n v="1"/>
    <s v="WTI Crude"/>
    <n v="40.630000000000003"/>
    <n v="1.2407999999999999"/>
    <m/>
    <n v="-1.2407999999999999"/>
  </r>
  <r>
    <x v="499"/>
    <n v="40.65"/>
    <n v="44.29"/>
    <n v="43.14"/>
    <m/>
    <n v="1"/>
    <s v="WTI Crude"/>
    <n v="40.65"/>
    <n v="1.2592000000000001"/>
    <m/>
    <n v="-1.2592000000000001"/>
  </r>
  <r>
    <x v="500"/>
    <n v="39.86"/>
    <n v="43.03"/>
    <n v="42.03"/>
    <m/>
    <n v="1"/>
    <s v="WTI Crude"/>
    <n v="39.86"/>
    <n v="1.2169000000000001"/>
    <m/>
    <n v="-1.2169000000000001"/>
  </r>
  <r>
    <x v="501"/>
    <n v="38.31"/>
    <n v="43.22"/>
    <n v="41.15"/>
    <m/>
    <n v="1"/>
    <s v="WTI Crude"/>
    <n v="38.31"/>
    <n v="1.2015"/>
    <m/>
    <n v="-1.2015"/>
  </r>
  <r>
    <x v="502"/>
    <n v="38.33"/>
    <n v="43.8"/>
    <n v="41.71"/>
    <m/>
    <n v="1"/>
    <s v="WTI Crude"/>
    <n v="38.33"/>
    <n v="1.1878"/>
    <m/>
    <n v="-1.1878"/>
  </r>
  <r>
    <x v="503"/>
    <n v="38.22"/>
    <n v="44.12"/>
    <n v="41.02"/>
    <m/>
    <n v="1"/>
    <s v="WTI Crude"/>
    <n v="38.22"/>
    <n v="1.1569"/>
    <m/>
    <n v="-1.1569"/>
  </r>
  <r>
    <x v="504"/>
    <n v="38.25"/>
    <n v="43.02"/>
    <n v="41.05"/>
    <m/>
    <n v="1"/>
    <s v="WTI Crude"/>
    <n v="38.25"/>
    <n v="1.1972"/>
    <m/>
    <n v="-1.1972"/>
  </r>
  <r>
    <x v="505"/>
    <n v="38.130000000000003"/>
    <n v="43.38"/>
    <n v="40.31"/>
    <m/>
    <n v="1"/>
    <s v="WTI Crude"/>
    <n v="38.130000000000003"/>
    <n v="1.1992"/>
    <m/>
    <n v="-1.1992"/>
  </r>
  <r>
    <x v="506"/>
    <n v="38.659999999999997"/>
    <n v="43.47"/>
    <n v="42.63"/>
    <m/>
    <n v="1"/>
    <s v="WTI Crude"/>
    <n v="38.659999999999997"/>
    <n v="1.2983"/>
    <m/>
    <n v="-1.2983"/>
  </r>
  <r>
    <x v="507"/>
    <n v="38.76"/>
    <n v="43.31"/>
    <n v="43.08"/>
    <m/>
    <n v="1"/>
    <s v="WTI Crude"/>
    <n v="38.76"/>
    <n v="1.2904"/>
    <m/>
    <n v="-1.2904"/>
  </r>
  <r>
    <x v="508"/>
    <n v="38.479999999999997"/>
    <n v="43.44"/>
    <n v="42.19"/>
    <m/>
    <n v="1"/>
    <s v="WTI Crude"/>
    <n v="38.479999999999997"/>
    <n v="1.2709999999999999"/>
    <m/>
    <n v="-1.2709999999999999"/>
  </r>
  <r>
    <x v="509"/>
    <n v="38.19"/>
    <n v="43.15"/>
    <n v="41.51"/>
    <m/>
    <n v="1"/>
    <s v="WTI Crude"/>
    <n v="38.19"/>
    <n v="1.2575000000000001"/>
    <m/>
    <n v="-1.2575000000000001"/>
  </r>
  <r>
    <x v="510"/>
    <n v="37.840000000000003"/>
    <n v="43.57"/>
    <n v="40.71"/>
    <m/>
    <n v="1"/>
    <s v="WTI Crude"/>
    <n v="37.840000000000003"/>
    <n v="1.2219"/>
    <m/>
    <n v="-1.2219"/>
  </r>
  <r>
    <x v="511"/>
    <n v="38.03"/>
    <n v="42.96"/>
    <n v="40.96"/>
    <m/>
    <n v="1"/>
    <s v="WTI Crude"/>
    <n v="38.03"/>
    <n v="1.2149000000000001"/>
    <m/>
    <n v="-1.2149000000000001"/>
  </r>
  <r>
    <x v="512"/>
    <n v="37.42"/>
    <n v="42.93"/>
    <n v="39.72"/>
    <m/>
    <n v="1"/>
    <s v="WTI Crude"/>
    <n v="37.42"/>
    <n v="1.1732"/>
    <m/>
    <n v="-1.1732"/>
  </r>
  <r>
    <x v="513"/>
    <n v="36.93"/>
    <n v="42.69"/>
    <n v="38.729999999999997"/>
    <m/>
    <n v="1"/>
    <s v="WTI Crude"/>
    <n v="36.93"/>
    <n v="1.1367"/>
    <m/>
    <n v="-1.1367"/>
  </r>
  <r>
    <x v="514"/>
    <n v="36.97"/>
    <n v="38.22"/>
    <n v="38.549999999999997"/>
    <m/>
    <n v="1"/>
    <s v="WTI Crude"/>
    <n v="36.97"/>
    <n v="1.1188"/>
    <m/>
    <n v="-1.1188"/>
  </r>
  <r>
    <x v="515"/>
    <n v="39.03"/>
    <n v="37.340000000000003"/>
    <n v="41.73"/>
    <m/>
    <n v="2"/>
    <s v="Opec Basket"/>
    <n v="37.340000000000003"/>
    <n v="1.2099"/>
    <n v="2.1"/>
    <n v="0.89010000000000011"/>
  </r>
  <r>
    <x v="516"/>
    <n v="38.590000000000003"/>
    <n v="37.99"/>
    <n v="41.18"/>
    <m/>
    <n v="2"/>
    <s v="Opec Basket"/>
    <n v="37.99"/>
    <n v="1.2102999999999999"/>
    <m/>
    <n v="-1.2102999999999999"/>
  </r>
  <r>
    <x v="517"/>
    <n v="38.049999999999997"/>
    <n v="37.18"/>
    <n v="40.799999999999997"/>
    <m/>
    <n v="2"/>
    <s v="Opec Basket"/>
    <n v="37.18"/>
    <n v="1.1950000000000001"/>
    <m/>
    <n v="-1.1950000000000001"/>
  </r>
  <r>
    <x v="518"/>
    <n v="39.11"/>
    <n v="38.17"/>
    <n v="42.3"/>
    <m/>
    <n v="2"/>
    <s v="Opec Basket"/>
    <n v="38.17"/>
    <n v="1.2136"/>
    <m/>
    <n v="-1.2136"/>
  </r>
  <r>
    <x v="519"/>
    <n v="37.369999999999997"/>
    <n v="39.85"/>
    <n v="39.99"/>
    <m/>
    <n v="1"/>
    <s v="WTI Crude"/>
    <n v="37.369999999999997"/>
    <n v="1.149"/>
    <m/>
    <n v="-1.149"/>
  </r>
  <r>
    <x v="520"/>
    <n v="37.270000000000003"/>
    <n v="38.96"/>
    <n v="39.79"/>
    <m/>
    <n v="1"/>
    <s v="WTI Crude"/>
    <n v="37.270000000000003"/>
    <n v="1.1193"/>
    <m/>
    <n v="-1.1193"/>
  </r>
  <r>
    <x v="521"/>
    <n v="36.82"/>
    <n v="39.450000000000003"/>
    <n v="39.57"/>
    <m/>
    <n v="1"/>
    <s v="WTI Crude"/>
    <n v="36.82"/>
    <n v="1.1183000000000001"/>
    <m/>
    <n v="-1.1183000000000001"/>
  </r>
  <r>
    <x v="522"/>
    <n v="35.54"/>
    <n v="37.700000000000003"/>
    <n v="38.32"/>
    <m/>
    <n v="1"/>
    <s v="WTI Crude"/>
    <n v="35.54"/>
    <n v="1.0667"/>
    <m/>
    <n v="-1.0667"/>
  </r>
  <r>
    <x v="523"/>
    <n v="28.53"/>
    <n v="37.590000000000003"/>
    <n v="35.33"/>
    <m/>
    <n v="1"/>
    <s v="WTI Crude"/>
    <n v="28.53"/>
    <n v="1.0785"/>
    <m/>
    <n v="-1.0785"/>
  </r>
  <r>
    <x v="524"/>
    <n v="28.44"/>
    <n v="36.75"/>
    <n v="35.29"/>
    <m/>
    <n v="1"/>
    <s v="WTI Crude"/>
    <n v="28.44"/>
    <n v="1.026"/>
    <m/>
    <n v="-1.026"/>
  </r>
  <r>
    <x v="525"/>
    <n v="28.35"/>
    <n v="35.090000000000003"/>
    <n v="34.74"/>
    <m/>
    <n v="1"/>
    <s v="WTI Crude"/>
    <n v="28.35"/>
    <n v="1.0177"/>
    <m/>
    <n v="-1.0177"/>
  </r>
  <r>
    <x v="526"/>
    <n v="28.58"/>
    <n v="35.06"/>
    <n v="36.17"/>
    <m/>
    <n v="1"/>
    <s v="WTI Crude"/>
    <n v="28.58"/>
    <n v="1.0648"/>
    <m/>
    <n v="-1.0648"/>
  </r>
  <r>
    <x v="527"/>
    <n v="28.36"/>
    <n v="36.56"/>
    <n v="35.130000000000003"/>
    <m/>
    <n v="1"/>
    <s v="WTI Crude"/>
    <n v="28.36"/>
    <n v="1.0518000000000001"/>
    <m/>
    <n v="-1.0518000000000001"/>
  </r>
  <r>
    <x v="528"/>
    <n v="28.53"/>
    <n v="37.46"/>
    <n v="36.06"/>
    <m/>
    <n v="1"/>
    <s v="WTI Crude"/>
    <n v="28.53"/>
    <n v="1.0618000000000001"/>
    <m/>
    <n v="-1.0618000000000001"/>
  </r>
  <r>
    <x v="529"/>
    <n v="28.4"/>
    <n v="37.1"/>
    <n v="35.75"/>
    <m/>
    <n v="1"/>
    <s v="WTI Crude"/>
    <n v="28.4"/>
    <n v="1.0438000000000001"/>
    <m/>
    <n v="-1.0438000000000001"/>
  </r>
  <r>
    <x v="530"/>
    <n v="27.86"/>
    <n v="38.89"/>
    <n v="34.65"/>
    <m/>
    <n v="1"/>
    <s v="WTI Crude"/>
    <n v="27.86"/>
    <n v="1.0549999999999999"/>
    <m/>
    <n v="-1.0549999999999999"/>
  </r>
  <r>
    <x v="531"/>
    <n v="27.72"/>
    <n v="36.840000000000003"/>
    <n v="34.81"/>
    <m/>
    <n v="1"/>
    <s v="WTI Crude"/>
    <n v="27.72"/>
    <n v="1.0426"/>
    <m/>
    <n v="-1.0426"/>
  </r>
  <r>
    <x v="532"/>
    <n v="26.74"/>
    <n v="34.85"/>
    <n v="32.5"/>
    <m/>
    <n v="1"/>
    <s v="WTI Crude"/>
    <n v="26.74"/>
    <n v="0.98380000000000001"/>
    <m/>
    <n v="-0.98380000000000001"/>
  </r>
  <r>
    <x v="533"/>
    <n v="25.88"/>
    <n v="35.47"/>
    <n v="31.13"/>
    <m/>
    <n v="1"/>
    <s v="WTI Crude"/>
    <n v="25.88"/>
    <n v="0.93689999999999996"/>
    <m/>
    <n v="-0.93689999999999996"/>
  </r>
  <r>
    <x v="534"/>
    <n v="24.66"/>
    <n v="34.96"/>
    <n v="29.19"/>
    <m/>
    <n v="1"/>
    <s v="WTI Crude"/>
    <n v="24.66"/>
    <n v="0.88180000000000003"/>
    <m/>
    <n v="-0.88180000000000003"/>
  </r>
  <r>
    <x v="535"/>
    <n v="25.01"/>
    <n v="33.69"/>
    <n v="29.98"/>
    <m/>
    <n v="1"/>
    <s v="WTI Crude"/>
    <n v="25.01"/>
    <n v="0.93630000000000002"/>
    <m/>
    <n v="-0.93630000000000002"/>
  </r>
  <r>
    <x v="536"/>
    <n v="24.08"/>
    <n v="29.01"/>
    <n v="29.63"/>
    <m/>
    <n v="1"/>
    <s v="WTI Crude"/>
    <n v="24.08"/>
    <n v="0.92420000000000002"/>
    <m/>
    <n v="-0.92420000000000002"/>
  </r>
  <r>
    <x v="537"/>
    <n v="24.67"/>
    <n v="28.45"/>
    <n v="30.97"/>
    <m/>
    <n v="1"/>
    <s v="WTI Crude"/>
    <n v="24.67"/>
    <n v="0.95220000000000005"/>
    <m/>
    <n v="-0.95220000000000005"/>
  </r>
  <r>
    <x v="538"/>
    <n v="23.72"/>
    <n v="29.03"/>
    <n v="29.46"/>
    <m/>
    <n v="1"/>
    <s v="WTI Crude"/>
    <n v="23.72"/>
    <n v="0.93140000000000001"/>
    <m/>
    <n v="-0.93140000000000001"/>
  </r>
  <r>
    <x v="539"/>
    <n v="24.2"/>
    <n v="29.75"/>
    <n v="29.72"/>
    <m/>
    <n v="1"/>
    <s v="WTI Crude"/>
    <n v="24.2"/>
    <n v="0.87690000000000001"/>
    <m/>
    <n v="-0.87690000000000001"/>
  </r>
  <r>
    <x v="540"/>
    <n v="24.79"/>
    <n v="28.06"/>
    <n v="30.97"/>
    <m/>
    <n v="1"/>
    <s v="WTI Crude"/>
    <n v="24.79"/>
    <n v="0.90129999999999999"/>
    <m/>
    <n v="-0.90129999999999999"/>
  </r>
  <r>
    <x v="541"/>
    <n v="21.2"/>
    <n v="29.7"/>
    <n v="27.2"/>
    <m/>
    <n v="1"/>
    <s v="WTI Crude"/>
    <n v="21.2"/>
    <n v="0.82150000000000001"/>
    <m/>
    <n v="-0.82150000000000001"/>
  </r>
  <r>
    <x v="542"/>
    <n v="20.66"/>
    <n v="28.68"/>
    <n v="26.44"/>
    <m/>
    <n v="1"/>
    <s v="WTI Crude"/>
    <n v="20.66"/>
    <n v="0.76629999999999998"/>
    <m/>
    <n v="-0.76629999999999998"/>
  </r>
  <r>
    <x v="543"/>
    <n v="16.7"/>
    <n v="28.43"/>
    <n v="25.27"/>
    <m/>
    <n v="1"/>
    <s v="WTI Crude"/>
    <n v="16.7"/>
    <n v="0.78369999999999995"/>
    <m/>
    <n v="-0.78369999999999995"/>
  </r>
  <r>
    <x v="544"/>
    <n v="16.52"/>
    <n v="28.21"/>
    <n v="22.54"/>
    <m/>
    <n v="1"/>
    <s v="WTI Crude"/>
    <n v="16.52"/>
    <n v="0.72719999999999996"/>
    <m/>
    <n v="-0.72719999999999996"/>
  </r>
  <r>
    <x v="545"/>
    <n v="16.260000000000002"/>
    <n v="26.54"/>
    <n v="20.46"/>
    <m/>
    <n v="1"/>
    <s v="WTI Crude"/>
    <n v="16.260000000000002"/>
    <n v="0.70399999999999996"/>
    <m/>
    <n v="-0.70399999999999996"/>
  </r>
  <r>
    <x v="546"/>
    <n v="16.32"/>
    <n v="24.93"/>
    <n v="19.989999999999998"/>
    <m/>
    <n v="1"/>
    <s v="WTI Crude"/>
    <n v="16.32"/>
    <n v="0.68489999999999995"/>
    <m/>
    <n v="-0.68489999999999995"/>
  </r>
  <r>
    <x v="547"/>
    <n v="17.12"/>
    <n v="23.25"/>
    <n v="21.44"/>
    <m/>
    <n v="1"/>
    <s v="WTI Crude"/>
    <n v="17.12"/>
    <n v="0.70009999999999994"/>
    <m/>
    <n v="-0.70009999999999994"/>
  </r>
  <r>
    <x v="548"/>
    <n v="17.010000000000002"/>
    <n v="22.83"/>
    <n v="21.33"/>
    <m/>
    <n v="1"/>
    <s v="WTI Crude"/>
    <n v="17.010000000000002"/>
    <n v="0.68210000000000004"/>
    <m/>
    <n v="-0.68210000000000004"/>
  </r>
  <r>
    <x v="549"/>
    <n v="16.23"/>
    <n v="22.71"/>
    <n v="20.37"/>
    <m/>
    <n v="1"/>
    <s v="WTI Crude"/>
    <n v="16.23"/>
    <n v="0.6875"/>
    <m/>
    <n v="-0.6875"/>
  </r>
  <r>
    <x v="550"/>
    <n v="15.5"/>
    <n v="22.21"/>
    <n v="19.329999999999998"/>
    <m/>
    <n v="1"/>
    <s v="WTI Crude"/>
    <n v="15.5"/>
    <n v="0.62529999999999997"/>
    <m/>
    <n v="-0.62529999999999997"/>
  </r>
  <r>
    <x v="551"/>
    <n v="16.18"/>
    <n v="22.91"/>
    <n v="25.57"/>
    <m/>
    <n v="1"/>
    <s v="WTI Crude"/>
    <n v="16.18"/>
    <n v="0.72550000000000003"/>
    <m/>
    <n v="-0.72550000000000003"/>
  </r>
  <r>
    <x v="552"/>
    <n v="23.04"/>
    <n v="22.4"/>
    <n v="28.08"/>
    <m/>
    <n v="2"/>
    <s v="Opec Basket"/>
    <n v="22.4"/>
    <n v="0.76459999999999995"/>
    <m/>
    <n v="-0.76459999999999995"/>
  </r>
  <r>
    <x v="553"/>
    <n v="23.43"/>
    <n v="21.43"/>
    <n v="27.82"/>
    <m/>
    <n v="2"/>
    <s v="Opec Basket"/>
    <n v="21.43"/>
    <n v="0.75690000000000002"/>
    <m/>
    <n v="-0.75690000000000002"/>
  </r>
  <r>
    <x v="554"/>
    <n v="23.6"/>
    <n v="18.36"/>
    <n v="27.69"/>
    <m/>
    <n v="2"/>
    <s v="Opec Basket"/>
    <n v="18.36"/>
    <n v="0.72040000000000004"/>
    <m/>
    <n v="-0.72040000000000004"/>
  </r>
  <r>
    <x v="555"/>
    <n v="24.11"/>
    <n v="16.52"/>
    <n v="29.6"/>
    <m/>
    <n v="2"/>
    <s v="Opec Basket"/>
    <n v="16.52"/>
    <n v="0.72"/>
    <m/>
    <n v="-0.72"/>
  </r>
  <r>
    <x v="556"/>
    <n v="25.39"/>
    <n v="18.05"/>
    <n v="31.74"/>
    <m/>
    <n v="2"/>
    <s v="Opec Basket"/>
    <n v="18.05"/>
    <n v="0.70330000000000004"/>
    <m/>
    <n v="-0.70330000000000004"/>
  </r>
  <r>
    <x v="557"/>
    <n v="25.36"/>
    <n v="14.36"/>
    <n v="31.48"/>
    <m/>
    <n v="2"/>
    <s v="Opec Basket"/>
    <n v="14.36"/>
    <n v="0.67730000000000001"/>
    <m/>
    <n v="-0.67730000000000001"/>
  </r>
  <r>
    <x v="558"/>
    <n v="26.7"/>
    <n v="12.41"/>
    <n v="32.840000000000003"/>
    <m/>
    <n v="2"/>
    <s v="Opec Basket"/>
    <n v="12.41"/>
    <n v="0.67800000000000005"/>
    <m/>
    <n v="-0.67800000000000005"/>
  </r>
  <r>
    <x v="559"/>
    <n v="25.58"/>
    <n v="13.3"/>
    <n v="31.87"/>
    <m/>
    <n v="2"/>
    <s v="Opec Basket"/>
    <n v="13.3"/>
    <n v="0.6482"/>
    <m/>
    <n v="-0.6482"/>
  </r>
  <r>
    <x v="560"/>
    <n v="27.18"/>
    <n v="14.31"/>
    <n v="33.049999999999997"/>
    <m/>
    <n v="2"/>
    <s v="Opec Basket"/>
    <n v="14.31"/>
    <n v="0.7016"/>
    <m/>
    <n v="-0.7016"/>
  </r>
  <r>
    <x v="561"/>
    <n v="28.67"/>
    <n v="15.23"/>
    <n v="34.11"/>
    <m/>
    <n v="2"/>
    <s v="Opec Basket"/>
    <n v="15.23"/>
    <n v="0.69159999999999999"/>
    <m/>
    <n v="-0.69159999999999999"/>
  </r>
  <r>
    <x v="562"/>
    <n v="25.99"/>
    <n v="12.22"/>
    <n v="29.94"/>
    <m/>
    <n v="2"/>
    <s v="Opec Basket"/>
    <n v="12.22"/>
    <n v="0.66279999999999994"/>
    <m/>
    <n v="-0.66279999999999994"/>
  </r>
  <r>
    <x v="563"/>
    <n v="21.45"/>
    <n v="14.63"/>
    <n v="24.74"/>
    <m/>
    <n v="2"/>
    <s v="Opec Basket"/>
    <n v="14.63"/>
    <n v="0.54649999999999999"/>
    <m/>
    <n v="-0.54649999999999999"/>
  </r>
  <r>
    <x v="564"/>
    <n v="21.82"/>
    <n v="14.19"/>
    <n v="26.35"/>
    <m/>
    <n v="2"/>
    <s v="Opec Basket"/>
    <n v="14.19"/>
    <n v="0.5927"/>
    <m/>
    <n v="-0.5927"/>
  </r>
  <r>
    <x v="565"/>
    <n v="30.43"/>
    <n v="18.170000000000002"/>
    <n v="22.76"/>
    <m/>
    <n v="2"/>
    <s v="Opec Basket"/>
    <n v="18.170000000000002"/>
    <n v="0.61680000000000001"/>
    <m/>
    <n v="-0.61680000000000001"/>
  </r>
  <r>
    <x v="566"/>
    <n v="30.56"/>
    <n v="17.73"/>
    <n v="24.93"/>
    <m/>
    <n v="2"/>
    <s v="Opec Basket"/>
    <n v="17.73"/>
    <n v="0.61360000000000003"/>
    <m/>
    <n v="-0.61360000000000003"/>
  </r>
  <r>
    <x v="567"/>
    <n v="30.71"/>
    <n v="17.510000000000002"/>
    <n v="26.34"/>
    <m/>
    <n v="2"/>
    <s v="Opec Basket"/>
    <n v="17.510000000000002"/>
    <n v="0.59799999999999998"/>
    <m/>
    <n v="-0.59799999999999998"/>
  </r>
  <r>
    <x v="568"/>
    <n v="31.05"/>
    <n v="19.7"/>
    <n v="27.39"/>
    <m/>
    <n v="2"/>
    <s v="Opec Basket"/>
    <n v="19.7"/>
    <n v="0.60540000000000005"/>
    <m/>
    <n v="-0.60540000000000005"/>
  </r>
  <r>
    <x v="569"/>
    <n v="30.94"/>
    <n v="21.18"/>
    <n v="27.15"/>
    <m/>
    <n v="2"/>
    <s v="Opec Basket"/>
    <n v="21.18"/>
    <n v="0.51049999999999995"/>
    <m/>
    <n v="-0.51049999999999995"/>
  </r>
  <r>
    <x v="570"/>
    <n v="30.76"/>
    <n v="21.77"/>
    <n v="27.03"/>
    <m/>
    <n v="2"/>
    <s v="Opec Basket"/>
    <n v="21.77"/>
    <n v="0.49469999999999997"/>
    <m/>
    <n v="-0.49469999999999997"/>
  </r>
  <r>
    <x v="571"/>
    <n v="30.53"/>
    <n v="21.19"/>
    <n v="26.98"/>
    <m/>
    <n v="2"/>
    <s v="Opec Basket"/>
    <n v="21.19"/>
    <n v="0.60540000000000005"/>
    <m/>
    <n v="-0.60540000000000005"/>
  </r>
  <r>
    <x v="572"/>
    <n v="31.7"/>
    <n v="22.67"/>
    <n v="28.47"/>
    <m/>
    <n v="2"/>
    <s v="Opec Basket"/>
    <n v="22.67"/>
    <n v="0.69320000000000004"/>
    <m/>
    <n v="-0.69320000000000004"/>
  </r>
  <r>
    <x v="573"/>
    <n v="29.64"/>
    <n v="23.48"/>
    <n v="24.88"/>
    <m/>
    <n v="2"/>
    <s v="Opec Basket"/>
    <n v="23.48"/>
    <n v="0.64590000000000003"/>
    <m/>
    <n v="-0.64590000000000003"/>
  </r>
  <r>
    <x v="574"/>
    <n v="32.61"/>
    <n v="23.01"/>
    <n v="28.73"/>
    <m/>
    <n v="2"/>
    <s v="Opec Basket"/>
    <n v="23.01"/>
    <n v="0.71140000000000003"/>
    <m/>
    <n v="-0.71140000000000003"/>
  </r>
  <r>
    <x v="575"/>
    <n v="33.46"/>
    <n v="18.91"/>
    <n v="30.05"/>
    <m/>
    <n v="2"/>
    <s v="Opec Basket"/>
    <n v="18.91"/>
    <n v="0.70169999999999999"/>
    <m/>
    <n v="-0.70169999999999999"/>
  </r>
  <r>
    <x v="576"/>
    <n v="35.14"/>
    <n v="16.850000000000001"/>
    <n v="33.85"/>
    <m/>
    <n v="2"/>
    <s v="Opec Basket"/>
    <n v="16.850000000000001"/>
    <n v="0.91349999999999998"/>
    <m/>
    <n v="-0.91349999999999998"/>
  </r>
  <r>
    <x v="577"/>
    <n v="35.03"/>
    <n v="22.61"/>
    <n v="33.22"/>
    <m/>
    <n v="2"/>
    <s v="Opec Basket"/>
    <n v="22.61"/>
    <n v="0.91900000000000004"/>
    <m/>
    <n v="-0.91900000000000004"/>
  </r>
  <r>
    <x v="578"/>
    <n v="35.950000000000003"/>
    <n v="21.66"/>
    <n v="35.79"/>
    <m/>
    <n v="2"/>
    <s v="Opec Basket"/>
    <n v="21.66"/>
    <n v="1.1103000000000001"/>
    <m/>
    <n v="-1.1103000000000001"/>
  </r>
  <r>
    <x v="579"/>
    <n v="36.880000000000003"/>
    <n v="24.26"/>
    <n v="37.22"/>
    <m/>
    <n v="2"/>
    <s v="Opec Basket"/>
    <n v="24.26"/>
    <n v="1.1571"/>
    <m/>
    <n v="-1.1571"/>
  </r>
  <r>
    <x v="580"/>
    <n v="34.520000000000003"/>
    <n v="26.04"/>
    <n v="34.36"/>
    <m/>
    <n v="2"/>
    <s v="Opec Basket"/>
    <n v="26.04"/>
    <n v="1.1369"/>
    <m/>
    <n v="-1.1369"/>
  </r>
  <r>
    <x v="581"/>
    <n v="42.33"/>
    <n v="26.94"/>
    <n v="45.27"/>
    <m/>
    <n v="2"/>
    <s v="Opec Basket"/>
    <n v="26.94"/>
    <n v="1.389"/>
    <m/>
    <n v="-1.389"/>
  </r>
  <r>
    <x v="582"/>
    <n v="46.09"/>
    <n v="26.53"/>
    <n v="49.99"/>
    <m/>
    <n v="2"/>
    <s v="Opec Basket"/>
    <n v="26.53"/>
    <n v="1.5218"/>
    <m/>
    <n v="-1.5218"/>
  </r>
  <r>
    <x v="583"/>
    <n v="46.85"/>
    <n v="24.72"/>
    <n v="51.13"/>
    <m/>
    <n v="2"/>
    <s v="Opec Basket"/>
    <n v="24.72"/>
    <n v="1.5555000000000001"/>
    <m/>
    <n v="-1.5555000000000001"/>
  </r>
  <r>
    <x v="584"/>
    <n v="47.21"/>
    <n v="28.57"/>
    <n v="51.86"/>
    <m/>
    <n v="2"/>
    <s v="Opec Basket"/>
    <n v="28.57"/>
    <n v="1.5313000000000001"/>
    <m/>
    <n v="-1.5313000000000001"/>
  </r>
  <r>
    <x v="585"/>
    <n v="46.8"/>
    <n v="26.73"/>
    <n v="51.9"/>
    <m/>
    <n v="2"/>
    <s v="Opec Basket"/>
    <n v="26.73"/>
    <n v="1.5396000000000001"/>
    <m/>
    <n v="-1.5396000000000001"/>
  </r>
  <r>
    <x v="586"/>
    <n v="50.54"/>
    <n v="27.31"/>
    <n v="50.52"/>
    <m/>
    <n v="2"/>
    <s v="Opec Basket"/>
    <n v="27.31"/>
    <n v="1.4827999999999999"/>
    <m/>
    <n v="-1.4827999999999999"/>
  </r>
  <r>
    <x v="587"/>
    <n v="50.66"/>
    <n v="30.36"/>
    <n v="52.18"/>
    <m/>
    <n v="2"/>
    <s v="Opec Basket"/>
    <n v="30.36"/>
    <n v="1.5206"/>
    <m/>
    <n v="-1.5206"/>
  </r>
  <r>
    <x v="588"/>
    <n v="50.84"/>
    <n v="30.63"/>
    <n v="53.43"/>
    <m/>
    <n v="2"/>
    <s v="Opec Basket"/>
    <n v="30.63"/>
    <n v="1.5645"/>
    <m/>
    <n v="-1.5645"/>
  </r>
  <r>
    <x v="589"/>
    <n v="51.02"/>
    <n v="34.14"/>
    <n v="54.95"/>
    <m/>
    <n v="2"/>
    <s v="Opec Basket"/>
    <n v="34.14"/>
    <n v="1.6418999999999999"/>
    <m/>
    <n v="-1.6418999999999999"/>
  </r>
  <r>
    <x v="590"/>
    <n v="51.34"/>
    <n v="33.270000000000003"/>
    <n v="56.3"/>
    <m/>
    <n v="2"/>
    <s v="Opec Basket"/>
    <n v="33.270000000000003"/>
    <n v="1.7132000000000001"/>
    <m/>
    <n v="-1.7132000000000001"/>
  </r>
  <r>
    <x v="591"/>
    <n v="51.86"/>
    <n v="35.56"/>
    <n v="58.5"/>
    <m/>
    <n v="2"/>
    <s v="Opec Basket"/>
    <n v="35.56"/>
    <n v="1.7612000000000001"/>
    <m/>
    <n v="-1.7612000000000001"/>
  </r>
  <r>
    <x v="592"/>
    <n v="52.02"/>
    <n v="35.729999999999997"/>
    <n v="59.31"/>
    <m/>
    <n v="2"/>
    <s v="Opec Basket"/>
    <n v="35.729999999999997"/>
    <n v="1.7845"/>
    <m/>
    <n v="-1.7845"/>
  </r>
  <r>
    <x v="593"/>
    <n v="51.87"/>
    <n v="34.72"/>
    <n v="59.12"/>
    <m/>
    <n v="2"/>
    <s v="Opec Basket"/>
    <n v="34.72"/>
    <n v="1.7819"/>
    <m/>
    <n v="-1.7819"/>
  </r>
  <r>
    <x v="594"/>
    <n v="51.36"/>
    <n v="48.35"/>
    <n v="57.75"/>
    <m/>
    <n v="2"/>
    <s v="Opec Basket"/>
    <n v="48.35"/>
    <n v="1.6148"/>
    <m/>
    <n v="-1.6148"/>
  </r>
  <r>
    <x v="595"/>
    <n v="51.37"/>
    <n v="51.75"/>
    <n v="57.32"/>
    <m/>
    <n v="1"/>
    <s v="WTI Crude"/>
    <n v="51.37"/>
    <n v="1.5832999999999999"/>
    <m/>
    <n v="-1.5832999999999999"/>
  </r>
  <r>
    <x v="596"/>
    <n v="51.03"/>
    <n v="52.01"/>
    <n v="56.34"/>
    <m/>
    <n v="1"/>
    <s v="WTI Crude"/>
    <n v="51.03"/>
    <n v="1.7226999999999999"/>
    <m/>
    <n v="-1.7226999999999999"/>
  </r>
  <r>
    <x v="597"/>
    <n v="50.88"/>
    <n v="52.66"/>
    <n v="55.79"/>
    <m/>
    <n v="1"/>
    <s v="WTI Crude"/>
    <n v="50.88"/>
    <n v="1.581"/>
    <m/>
    <n v="-1.581"/>
  </r>
  <r>
    <x v="598"/>
    <n v="50.1"/>
    <n v="51.68"/>
    <n v="54.01"/>
    <m/>
    <n v="1"/>
    <s v="WTI Crude"/>
    <n v="50.1"/>
    <n v="1.5142"/>
    <m/>
    <n v="-1.5142"/>
  </r>
  <r>
    <x v="599"/>
    <n v="49.84"/>
    <n v="50.19"/>
    <n v="53.27"/>
    <m/>
    <n v="1"/>
    <s v="WTI Crude"/>
    <n v="49.84"/>
    <n v="1.5213000000000001"/>
    <m/>
    <n v="-1.5213000000000001"/>
  </r>
  <r>
    <x v="600"/>
    <n v="50.4"/>
    <n v="51.92"/>
    <n v="54.47"/>
    <m/>
    <n v="1"/>
    <s v="WTI Crude"/>
    <n v="50.4"/>
    <n v="1.5239"/>
    <m/>
    <n v="-1.5239"/>
  </r>
  <r>
    <x v="601"/>
    <n v="50.88"/>
    <n v="54.04"/>
    <n v="54.93"/>
    <m/>
    <n v="1"/>
    <s v="WTI Crude"/>
    <n v="50.88"/>
    <n v="1.498"/>
    <m/>
    <n v="-1.498"/>
  </r>
  <r>
    <x v="602"/>
    <n v="50.71"/>
    <n v="55.91"/>
    <n v="55.28"/>
    <m/>
    <n v="1"/>
    <s v="WTI Crude"/>
    <n v="50.71"/>
    <n v="1.4863"/>
    <m/>
    <n v="-1.4863"/>
  </r>
  <r>
    <x v="603"/>
    <n v="49.7"/>
    <n v="56.14"/>
    <n v="53.96"/>
    <m/>
    <n v="1"/>
    <s v="WTI Crude"/>
    <n v="49.7"/>
    <n v="1.4432"/>
    <m/>
    <n v="-1.4432"/>
  </r>
  <r>
    <x v="604"/>
    <n v="50.16"/>
    <n v="58.21"/>
    <n v="54.45"/>
    <m/>
    <n v="1"/>
    <s v="WTI Crude"/>
    <n v="50.16"/>
    <n v="1.4737"/>
    <m/>
    <n v="-1.4737"/>
  </r>
  <r>
    <x v="605"/>
    <n v="57.53"/>
    <n v="58.98"/>
    <n v="58.16"/>
    <m/>
    <n v="1"/>
    <s v="WTI Crude"/>
    <n v="57.53"/>
    <n v="1.5041"/>
    <m/>
    <n v="-1.5041"/>
  </r>
  <r>
    <x v="606"/>
    <n v="57.56"/>
    <n v="58.39"/>
    <n v="58.29"/>
    <m/>
    <n v="1"/>
    <s v="WTI Crude"/>
    <n v="57.56"/>
    <n v="1.5055000000000001"/>
    <m/>
    <n v="-1.5055000000000001"/>
  </r>
  <r>
    <x v="607"/>
    <n v="57.67"/>
    <n v="56.72"/>
    <n v="59.81"/>
    <m/>
    <n v="2"/>
    <s v="Opec Basket"/>
    <n v="56.72"/>
    <n v="1.5407999999999999"/>
    <m/>
    <n v="-1.5407999999999999"/>
  </r>
  <r>
    <x v="608"/>
    <n v="57.69"/>
    <n v="57.28"/>
    <n v="59.51"/>
    <m/>
    <n v="2"/>
    <s v="Opec Basket"/>
    <n v="57.28"/>
    <n v="1.5143"/>
    <m/>
    <n v="-1.5143"/>
  </r>
  <r>
    <x v="609"/>
    <n v="57.63"/>
    <n v="56.77"/>
    <n v="59.32"/>
    <m/>
    <n v="2"/>
    <s v="Opec Basket"/>
    <n v="56.77"/>
    <n v="1.4930000000000001"/>
    <m/>
    <n v="-1.4930000000000001"/>
  </r>
  <r>
    <x v="610"/>
    <n v="57.88"/>
    <n v="55.9"/>
    <n v="60.69"/>
    <m/>
    <n v="2"/>
    <s v="Opec Basket"/>
    <n v="55.9"/>
    <n v="1.5259"/>
    <m/>
    <n v="-1.5259"/>
  </r>
  <r>
    <x v="611"/>
    <n v="58.28"/>
    <n v="55.59"/>
    <n v="62.04"/>
    <m/>
    <n v="2"/>
    <s v="Opec Basket"/>
    <n v="55.59"/>
    <n v="1.573"/>
    <m/>
    <n v="-1.573"/>
  </r>
  <r>
    <x v="612"/>
    <n v="58.66"/>
    <n v="54.2"/>
    <n v="63.21"/>
    <m/>
    <n v="2"/>
    <s v="Opec Basket"/>
    <n v="54.2"/>
    <n v="1.5933999999999999"/>
    <m/>
    <n v="-1.5933999999999999"/>
  </r>
  <r>
    <x v="613"/>
    <n v="59.28"/>
    <n v="54.21"/>
    <n v="64.59"/>
    <m/>
    <n v="2"/>
    <s v="Opec Basket"/>
    <n v="54.21"/>
    <n v="1.6365000000000001"/>
    <m/>
    <n v="-1.6365000000000001"/>
  </r>
  <r>
    <x v="614"/>
    <n v="59.37"/>
    <n v="55.13"/>
    <n v="64.849999999999994"/>
    <m/>
    <n v="2"/>
    <s v="Opec Basket"/>
    <n v="55.13"/>
    <n v="1.6549"/>
    <m/>
    <n v="-1.6549"/>
  </r>
  <r>
    <x v="615"/>
    <n v="59.35"/>
    <n v="55.74"/>
    <n v="64.62"/>
    <m/>
    <n v="2"/>
    <s v="Opec Basket"/>
    <n v="55.74"/>
    <n v="1.667"/>
    <m/>
    <n v="-1.667"/>
  </r>
  <r>
    <x v="616"/>
    <n v="58.98"/>
    <n v="55.01"/>
    <n v="64"/>
    <m/>
    <n v="2"/>
    <s v="Opec Basket"/>
    <n v="55.01"/>
    <n v="1.6492"/>
    <m/>
    <n v="-1.6492"/>
  </r>
  <r>
    <x v="617"/>
    <n v="59.22"/>
    <n v="54.68"/>
    <n v="64.489999999999995"/>
    <m/>
    <n v="2"/>
    <s v="Opec Basket"/>
    <n v="54.68"/>
    <n v="1.6641999999999999"/>
    <m/>
    <n v="-1.6641999999999999"/>
  </r>
  <r>
    <x v="618"/>
    <n v="59.12"/>
    <n v="55.53"/>
    <n v="64.2"/>
    <m/>
    <n v="2"/>
    <s v="Opec Basket"/>
    <n v="55.53"/>
    <n v="1.6573"/>
    <m/>
    <n v="-1.6573"/>
  </r>
  <r>
    <x v="619"/>
    <n v="59.74"/>
    <n v="58.94"/>
    <n v="64.98"/>
    <m/>
    <n v="2"/>
    <s v="Opec Basket"/>
    <n v="58.94"/>
    <n v="1.6596"/>
    <m/>
    <n v="-1.6596"/>
  </r>
  <r>
    <x v="620"/>
    <n v="60.09"/>
    <n v="58.8"/>
    <n v="65.37"/>
    <m/>
    <n v="2"/>
    <s v="Opec Basket"/>
    <n v="58.8"/>
    <n v="1.6527000000000001"/>
    <m/>
    <n v="-1.6527000000000001"/>
  </r>
  <r>
    <x v="621"/>
    <n v="60.11"/>
    <n v="61.04"/>
    <n v="65.44"/>
    <m/>
    <n v="1"/>
    <s v="WTI Crude"/>
    <n v="60.11"/>
    <n v="1.6488"/>
    <m/>
    <n v="-1.6488"/>
  </r>
  <r>
    <x v="622"/>
    <n v="62.6"/>
    <n v="60.67"/>
    <n v="68.27"/>
    <m/>
    <n v="2"/>
    <s v="Opec Basket"/>
    <n v="60.67"/>
    <n v="1.7222"/>
    <m/>
    <n v="-1.7222"/>
  </r>
  <r>
    <x v="623"/>
    <n v="63.07"/>
    <n v="61.98"/>
    <n v="68.91"/>
    <m/>
    <n v="2"/>
    <s v="Opec Basket"/>
    <n v="61.98"/>
    <n v="1.7544"/>
    <m/>
    <n v="-1.7544"/>
  </r>
  <r>
    <x v="624"/>
    <n v="62.87"/>
    <n v="62.52"/>
    <n v="68.599999999999994"/>
    <m/>
    <n v="2"/>
    <s v="Opec Basket"/>
    <n v="62.52"/>
    <n v="1.7487999999999999"/>
    <m/>
    <n v="-1.7487999999999999"/>
  </r>
  <r>
    <x v="625"/>
    <n v="61.09"/>
    <n v="63.26"/>
    <n v="66.25"/>
    <m/>
    <n v="1"/>
    <s v="WTI Crude"/>
    <n v="61.09"/>
    <n v="1.7041999999999999"/>
    <m/>
    <n v="-1.7041999999999999"/>
  </r>
  <r>
    <x v="626"/>
    <n v="59.8"/>
    <n v="64.66"/>
    <n v="66"/>
    <m/>
    <n v="1"/>
    <s v="WTI Crude"/>
    <n v="59.8"/>
    <n v="1.6904999999999999"/>
    <m/>
    <n v="-1.6904999999999999"/>
  </r>
  <r>
    <x v="627"/>
    <n v="59.83"/>
    <n v="65.260000000000005"/>
    <n v="68.44"/>
    <m/>
    <n v="1"/>
    <s v="WTI Crude"/>
    <n v="59.83"/>
    <n v="1.724"/>
    <m/>
    <n v="-1.724"/>
  </r>
  <r>
    <x v="628"/>
    <n v="59.84"/>
    <n v="66.11"/>
    <n v="68.16"/>
    <m/>
    <n v="1"/>
    <s v="WTI Crude"/>
    <n v="59.84"/>
    <n v="1.7446999999999999"/>
    <m/>
    <n v="-1.7446999999999999"/>
  </r>
  <r>
    <x v="629"/>
    <n v="59.83"/>
    <n v="65.58"/>
    <n v="67.92"/>
    <m/>
    <n v="1"/>
    <s v="WTI Crude"/>
    <n v="59.83"/>
    <n v="1.7539"/>
    <m/>
    <n v="-1.7539"/>
  </r>
  <r>
    <x v="630"/>
    <n v="59.72"/>
    <n v="65.62"/>
    <n v="67.2"/>
    <m/>
    <n v="1"/>
    <s v="WTI Crude"/>
    <n v="59.72"/>
    <n v="1.7274"/>
    <m/>
    <n v="-1.7274"/>
  </r>
  <r>
    <x v="631"/>
    <n v="59.58"/>
    <n v="65.319999999999993"/>
    <n v="66.39"/>
    <m/>
    <n v="1"/>
    <s v="WTI Crude"/>
    <n v="59.58"/>
    <n v="1.7064999999999999"/>
    <m/>
    <n v="-1.7064999999999999"/>
  </r>
  <r>
    <x v="632"/>
    <n v="59.56"/>
    <n v="65.63"/>
    <n v="66.14"/>
    <m/>
    <n v="1"/>
    <s v="WTI Crude"/>
    <n v="59.56"/>
    <n v="1.7072000000000001"/>
    <m/>
    <n v="-1.7072000000000001"/>
  </r>
  <r>
    <x v="633"/>
    <n v="59.81"/>
    <n v="66.069999999999993"/>
    <n v="66.540000000000006"/>
    <m/>
    <n v="1"/>
    <s v="WTI Crude"/>
    <n v="59.81"/>
    <n v="1.7097"/>
    <m/>
    <n v="-1.7097"/>
  </r>
  <r>
    <x v="634"/>
    <n v="59.68"/>
    <n v="67.02"/>
    <n v="66.17"/>
    <m/>
    <n v="1"/>
    <s v="WTI Crude"/>
    <n v="59.68"/>
    <n v="1.6904999999999999"/>
    <m/>
    <n v="-1.6904999999999999"/>
  </r>
  <r>
    <x v="635"/>
    <n v="59.69"/>
    <n v="67.239999999999995"/>
    <n v="66.099999999999994"/>
    <m/>
    <n v="1"/>
    <s v="WTI Crude"/>
    <n v="59.69"/>
    <n v="1.6899"/>
    <m/>
    <n v="-1.6899"/>
  </r>
  <r>
    <x v="636"/>
    <n v="59.34"/>
    <n v="69.58"/>
    <n v="65.34"/>
    <m/>
    <n v="1"/>
    <s v="WTI Crude"/>
    <n v="59.34"/>
    <n v="1.6677999999999999"/>
    <m/>
    <n v="-1.6677999999999999"/>
  </r>
  <r>
    <x v="637"/>
    <n v="59.26"/>
    <n v="69.599999999999994"/>
    <n v="65.22"/>
    <m/>
    <n v="1"/>
    <s v="WTI Crude"/>
    <n v="59.26"/>
    <n v="1.6632"/>
    <m/>
    <n v="-1.6632"/>
  </r>
  <r>
    <x v="638"/>
    <n v="58.74"/>
    <n v="70.87"/>
    <n v="64.2"/>
    <m/>
    <n v="1"/>
    <s v="WTI Crude"/>
    <n v="58.74"/>
    <n v="1.6283000000000001"/>
    <m/>
    <n v="-1.6283000000000001"/>
  </r>
  <r>
    <x v="639"/>
    <n v="58.49"/>
    <n v="69.38"/>
    <n v="63.72"/>
    <m/>
    <n v="1"/>
    <s v="WTI Crude"/>
    <n v="58.49"/>
    <n v="1.6261000000000001"/>
    <m/>
    <n v="-1.6261000000000001"/>
  </r>
  <r>
    <x v="640"/>
    <n v="58.81"/>
    <n v="67.12"/>
    <n v="64.34"/>
    <m/>
    <n v="1"/>
    <s v="WTI Crude"/>
    <n v="58.81"/>
    <n v="1.6525000000000001"/>
    <m/>
    <n v="-1.6525000000000001"/>
  </r>
  <r>
    <x v="641"/>
    <n v="58.65"/>
    <n v="67.959999999999994"/>
    <n v="64.25"/>
    <m/>
    <n v="1"/>
    <s v="WTI Crude"/>
    <n v="58.65"/>
    <n v="1.6548"/>
    <m/>
    <n v="-1.6548"/>
  </r>
  <r>
    <x v="642"/>
    <n v="58.79"/>
    <n v="68.89"/>
    <n v="64.39"/>
    <m/>
    <n v="1"/>
    <s v="WTI Crude"/>
    <n v="58.79"/>
    <n v="1.6474"/>
    <m/>
    <n v="-1.6474"/>
  </r>
  <r>
    <x v="643"/>
    <n v="58.17"/>
    <n v="69.069999999999993"/>
    <n v="63.39"/>
    <m/>
    <n v="1"/>
    <s v="WTI Crude"/>
    <n v="58.17"/>
    <n v="1.6211"/>
    <m/>
    <n v="-1.6211"/>
  </r>
  <r>
    <x v="644"/>
    <n v="58.17"/>
    <n v="68.48"/>
    <n v="63"/>
    <m/>
    <n v="1"/>
    <s v="WTI Crude"/>
    <n v="58.17"/>
    <n v="1.6042000000000001"/>
    <m/>
    <n v="-1.6042000000000001"/>
  </r>
  <r>
    <x v="645"/>
    <n v="56.07"/>
    <n v="67.989999999999995"/>
    <n v="60.82"/>
    <m/>
    <n v="1"/>
    <s v="WTI Crude"/>
    <n v="56.07"/>
    <n v="1.5629"/>
    <m/>
    <n v="-1.5629"/>
  </r>
  <r>
    <x v="646"/>
    <n v="55.94"/>
    <n v="67.58"/>
    <n v="60.92"/>
    <m/>
    <n v="1"/>
    <s v="WTI Crude"/>
    <n v="55.94"/>
    <n v="1.5732999999999999"/>
    <m/>
    <n v="-1.5732999999999999"/>
  </r>
  <r>
    <x v="647"/>
    <n v="57.07"/>
    <n v="68"/>
    <n v="62.43"/>
    <m/>
    <n v="1"/>
    <s v="WTI Crude"/>
    <n v="57.07"/>
    <n v="1.591"/>
    <m/>
    <n v="-1.591"/>
  </r>
  <r>
    <x v="648"/>
    <n v="57.22"/>
    <n v="67.930000000000007"/>
    <n v="64.06"/>
    <m/>
    <n v="1"/>
    <s v="WTI Crude"/>
    <n v="57.22"/>
    <n v="1.6792"/>
    <m/>
    <n v="-1.6792"/>
  </r>
  <r>
    <x v="649"/>
    <n v="57.25"/>
    <n v="67.77"/>
    <n v="64.27"/>
    <m/>
    <n v="1"/>
    <s v="WTI Crude"/>
    <n v="57.25"/>
    <n v="1.6976"/>
    <m/>
    <n v="-1.6976"/>
  </r>
  <r>
    <x v="650"/>
    <n v="57.19"/>
    <n v="67.48"/>
    <n v="63.65"/>
    <m/>
    <n v="1"/>
    <s v="WTI Crude"/>
    <n v="57.19"/>
    <n v="1.6715"/>
    <m/>
    <n v="-1.6715"/>
  </r>
  <r>
    <x v="651"/>
    <n v="57.14"/>
    <n v="67.22"/>
    <n v="63.39"/>
    <m/>
    <n v="1"/>
    <s v="WTI Crude"/>
    <n v="57.14"/>
    <n v="1.6742999999999999"/>
    <m/>
    <n v="-1.6742999999999999"/>
  </r>
  <r>
    <x v="652"/>
    <n v="57.34"/>
    <n v="66.760000000000005"/>
    <n v="63.97"/>
    <m/>
    <n v="1"/>
    <s v="WTI Crude"/>
    <n v="57.34"/>
    <n v="1.6982999999999999"/>
    <m/>
    <n v="-1.6982999999999999"/>
  </r>
  <r>
    <x v="653"/>
    <n v="56.87"/>
    <n v="65.81"/>
    <n v="62.4"/>
    <m/>
    <n v="1"/>
    <s v="WTI Crude"/>
    <n v="56.87"/>
    <n v="1.6563000000000001"/>
    <m/>
    <n v="-1.6563000000000001"/>
  </r>
  <r>
    <x v="654"/>
    <n v="56.28"/>
    <n v="65.38"/>
    <n v="60.91"/>
    <m/>
    <n v="1"/>
    <s v="WTI Crude"/>
    <n v="56.28"/>
    <n v="1.6036999999999999"/>
    <m/>
    <n v="-1.6036999999999999"/>
  </r>
  <r>
    <x v="655"/>
    <n v="57"/>
    <n v="65.66"/>
    <n v="62.44"/>
    <m/>
    <n v="1"/>
    <s v="WTI Crude"/>
    <n v="57"/>
    <n v="1.6160000000000001"/>
    <m/>
    <n v="-1.6160000000000001"/>
  </r>
  <r>
    <x v="656"/>
    <n v="57.31"/>
    <n v="65.569999999999993"/>
    <n v="63.3"/>
    <m/>
    <n v="1"/>
    <s v="WTI Crude"/>
    <n v="57.31"/>
    <n v="1.6308"/>
    <m/>
    <n v="-1.6308"/>
  </r>
  <r>
    <x v="657"/>
    <n v="56.83"/>
    <n v="65.239999999999995"/>
    <n v="62.28"/>
    <m/>
    <n v="1"/>
    <s v="WTI Crude"/>
    <n v="56.83"/>
    <n v="1.6115999999999999"/>
    <m/>
    <n v="-1.6115999999999999"/>
  </r>
  <r>
    <x v="658"/>
    <n v="57.01"/>
    <n v="64.81"/>
    <n v="62.37"/>
    <m/>
    <n v="1"/>
    <s v="WTI Crude"/>
    <n v="57.01"/>
    <n v="1.6309"/>
    <m/>
    <n v="-1.6309"/>
  </r>
  <r>
    <x v="659"/>
    <n v="56.81"/>
    <n v="63.39"/>
    <n v="62.06"/>
    <m/>
    <n v="1"/>
    <s v="WTI Crude"/>
    <n v="56.81"/>
    <n v="1.6144000000000001"/>
    <m/>
    <n v="-1.6144000000000001"/>
  </r>
  <r>
    <x v="660"/>
    <n v="56.85"/>
    <n v="62.57"/>
    <n v="62.18"/>
    <m/>
    <n v="1"/>
    <s v="WTI Crude"/>
    <n v="56.85"/>
    <n v="1.6099000000000001"/>
    <m/>
    <n v="-1.6099000000000001"/>
  </r>
  <r>
    <x v="661"/>
    <n v="57.11"/>
    <n v="62.5"/>
    <n v="62.51"/>
    <m/>
    <n v="1"/>
    <s v="WTI Crude"/>
    <n v="57.11"/>
    <n v="1.6336999999999999"/>
    <m/>
    <n v="-1.6336999999999999"/>
  </r>
  <r>
    <x v="662"/>
    <n v="57.04"/>
    <n v="63.83"/>
    <n v="62.29"/>
    <m/>
    <n v="1"/>
    <s v="WTI Crude"/>
    <n v="57.04"/>
    <n v="1.6355"/>
    <m/>
    <n v="-1.6355"/>
  </r>
  <r>
    <x v="663"/>
    <n v="56.41"/>
    <n v="63.94"/>
    <n v="61.74"/>
    <m/>
    <n v="1"/>
    <s v="WTI Crude"/>
    <n v="56.41"/>
    <n v="1.6262000000000001"/>
    <m/>
    <n v="-1.6262000000000001"/>
  </r>
  <r>
    <x v="664"/>
    <n v="57.16"/>
    <n v="64.400000000000006"/>
    <n v="62.96"/>
    <m/>
    <n v="1"/>
    <s v="WTI Crude"/>
    <n v="57.16"/>
    <n v="1.6746000000000001"/>
    <m/>
    <n v="-1.6746000000000001"/>
  </r>
  <r>
    <x v="665"/>
    <n v="56.54"/>
    <n v="63.92"/>
    <n v="62.13"/>
    <m/>
    <n v="1"/>
    <s v="WTI Crude"/>
    <n v="56.54"/>
    <n v="1.6637"/>
    <m/>
    <n v="-1.6637"/>
  </r>
  <r>
    <x v="666"/>
    <n v="56.22"/>
    <n v="64.209999999999994"/>
    <n v="61.69"/>
    <m/>
    <n v="1"/>
    <s v="WTI Crude"/>
    <n v="56.22"/>
    <n v="1.6556999999999999"/>
    <m/>
    <n v="-1.6556999999999999"/>
  </r>
  <r>
    <x v="667"/>
    <n v="54.01"/>
    <n v="64.56"/>
    <n v="60.23"/>
    <m/>
    <n v="1"/>
    <s v="WTI Crude"/>
    <n v="54.01"/>
    <n v="1.5946"/>
    <m/>
    <n v="-1.5946"/>
  </r>
  <r>
    <x v="668"/>
    <n v="54.04"/>
    <n v="63.68"/>
    <n v="60.61"/>
    <m/>
    <n v="1"/>
    <s v="WTI Crude"/>
    <n v="54.04"/>
    <n v="1.6645000000000001"/>
    <m/>
    <n v="-1.6645000000000001"/>
  </r>
  <r>
    <x v="669"/>
    <n v="54.09"/>
    <n v="62.22"/>
    <n v="61.59"/>
    <m/>
    <n v="1"/>
    <s v="WTI Crude"/>
    <n v="54.09"/>
    <n v="1.6415999999999999"/>
    <m/>
    <n v="-1.6415999999999999"/>
  </r>
  <r>
    <x v="670"/>
    <n v="54.12"/>
    <n v="62.51"/>
    <n v="61.57"/>
    <m/>
    <n v="1"/>
    <s v="WTI Crude"/>
    <n v="54.12"/>
    <n v="1.6344000000000001"/>
    <m/>
    <n v="-1.6344000000000001"/>
  </r>
  <r>
    <x v="671"/>
    <n v="54.27"/>
    <n v="63.44"/>
    <n v="62.02"/>
    <m/>
    <n v="1"/>
    <s v="WTI Crude"/>
    <n v="54.27"/>
    <n v="1.6355999999999999"/>
    <m/>
    <n v="-1.6355999999999999"/>
  </r>
  <r>
    <x v="672"/>
    <n v="54.18"/>
    <n v="63.12"/>
    <n v="61.67"/>
    <m/>
    <n v="1"/>
    <s v="WTI Crude"/>
    <n v="54.18"/>
    <n v="1.6258999999999999"/>
    <m/>
    <n v="-1.6258999999999999"/>
  </r>
  <r>
    <x v="673"/>
    <n v="54.11"/>
    <n v="63"/>
    <n v="61.17"/>
    <m/>
    <n v="1"/>
    <s v="WTI Crude"/>
    <n v="54.11"/>
    <n v="1.6133"/>
    <m/>
    <n v="-1.6133"/>
  </r>
  <r>
    <x v="674"/>
    <n v="53.65"/>
    <n v="62.48"/>
    <n v="59.7"/>
    <m/>
    <n v="1"/>
    <s v="WTI Crude"/>
    <n v="53.65"/>
    <n v="1.569"/>
    <m/>
    <n v="-1.569"/>
  </r>
  <r>
    <x v="675"/>
    <n v="53.32"/>
    <n v="62.82"/>
    <n v="58.96"/>
    <m/>
    <n v="1"/>
    <s v="WTI Crude"/>
    <n v="53.32"/>
    <n v="1.5637000000000001"/>
    <m/>
    <n v="-1.5637000000000001"/>
  </r>
  <r>
    <x v="676"/>
    <n v="53.47"/>
    <n v="62.26"/>
    <n v="59.42"/>
    <m/>
    <n v="1"/>
    <s v="WTI Crude"/>
    <n v="53.47"/>
    <n v="1.5778000000000001"/>
    <m/>
    <n v="-1.5778000000000001"/>
  </r>
  <r>
    <x v="677"/>
    <n v="53.54"/>
    <n v="61.98"/>
    <n v="59.91"/>
    <m/>
    <n v="1"/>
    <s v="WTI Crude"/>
    <n v="53.54"/>
    <n v="1.5819000000000001"/>
    <m/>
    <n v="-1.5819000000000001"/>
  </r>
  <r>
    <x v="678"/>
    <n v="53.26"/>
    <n v="62.32"/>
    <n v="59.42"/>
    <m/>
    <n v="1"/>
    <s v="WTI Crude"/>
    <n v="53.26"/>
    <n v="1.5842000000000001"/>
    <m/>
    <n v="-1.5842000000000001"/>
  </r>
  <r>
    <x v="679"/>
    <n v="52.97"/>
    <n v="62.39"/>
    <n v="58.74"/>
    <m/>
    <n v="1"/>
    <s v="WTI Crude"/>
    <n v="52.97"/>
    <n v="1.5704"/>
    <m/>
    <n v="-1.5704"/>
  </r>
  <r>
    <x v="680"/>
    <n v="53.41"/>
    <n v="62.57"/>
    <n v="59.35"/>
    <m/>
    <n v="1"/>
    <s v="WTI Crude"/>
    <n v="53.41"/>
    <n v="1.5702"/>
    <m/>
    <n v="-1.5702"/>
  </r>
  <r>
    <x v="681"/>
    <n v="54.09"/>
    <n v="62"/>
    <n v="60.51"/>
    <m/>
    <n v="1"/>
    <s v="WTI Crude"/>
    <n v="54.09"/>
    <n v="1.6388"/>
    <m/>
    <n v="-1.6388"/>
  </r>
  <r>
    <x v="682"/>
    <n v="53.32"/>
    <n v="60.19"/>
    <n v="59.1"/>
    <m/>
    <n v="1"/>
    <s v="WTI Crude"/>
    <n v="53.32"/>
    <n v="1.6233"/>
    <m/>
    <n v="-1.6233"/>
  </r>
  <r>
    <x v="683"/>
    <n v="52.66"/>
    <n v="60.52"/>
    <n v="58.32"/>
    <m/>
    <n v="1"/>
    <s v="WTI Crude"/>
    <n v="52.66"/>
    <n v="1.5871"/>
    <m/>
    <n v="-1.587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A8281FD-989C-4044-B016-BF619DE8B25C}" name="PivotTable4" cacheId="16" applyNumberFormats="0" applyBorderFormats="0" applyFontFormats="0" applyPatternFormats="0" applyAlignmentFormats="0" applyWidthHeightFormats="1" dataCaption="Values" updatedVersion="8" minRefreshableVersion="5" useAutoFormatting="1" rowGrandTotals="0" itemPrintTitles="1" createdVersion="8" indent="0" outline="1" outlineData="1" multipleFieldFilters="0" chartFormat="3">
  <location ref="A1:E685" firstHeaderRow="0" firstDataRow="1" firstDataCol="1"/>
  <pivotFields count="11">
    <pivotField axis="axisRow" numFmtId="14" showAll="0" sortType="ascending">
      <items count="690">
        <item x="683"/>
        <item x="682"/>
        <item x="681"/>
        <item x="680"/>
        <item x="679"/>
        <item x="678"/>
        <item x="677"/>
        <item x="676"/>
        <item x="675"/>
        <item x="674"/>
        <item x="673"/>
        <item x="672"/>
        <item x="671"/>
        <item x="670"/>
        <item x="669"/>
        <item x="668"/>
        <item x="667"/>
        <item x="666"/>
        <item x="665"/>
        <item x="664"/>
        <item x="663"/>
        <item x="662"/>
        <item x="661"/>
        <item x="660"/>
        <item x="659"/>
        <item x="658"/>
        <item x="657"/>
        <item x="656"/>
        <item x="655"/>
        <item x="654"/>
        <item x="653"/>
        <item x="652"/>
        <item x="651"/>
        <item x="650"/>
        <item x="649"/>
        <item x="648"/>
        <item x="647"/>
        <item x="646"/>
        <item x="645"/>
        <item x="644"/>
        <item x="643"/>
        <item x="642"/>
        <item x="641"/>
        <item x="640"/>
        <item x="639"/>
        <item x="638"/>
        <item x="637"/>
        <item x="636"/>
        <item x="635"/>
        <item x="634"/>
        <item x="633"/>
        <item x="632"/>
        <item x="631"/>
        <item x="630"/>
        <item x="629"/>
        <item x="628"/>
        <item x="627"/>
        <item x="626"/>
        <item x="625"/>
        <item x="624"/>
        <item x="623"/>
        <item x="622"/>
        <item x="621"/>
        <item x="620"/>
        <item x="619"/>
        <item x="618"/>
        <item x="617"/>
        <item x="616"/>
        <item x="615"/>
        <item x="614"/>
        <item x="613"/>
        <item x="612"/>
        <item x="611"/>
        <item x="610"/>
        <item x="609"/>
        <item x="608"/>
        <item x="607"/>
        <item x="606"/>
        <item x="605"/>
        <item x="604"/>
        <item x="603"/>
        <item x="602"/>
        <item x="601"/>
        <item x="600"/>
        <item x="599"/>
        <item x="598"/>
        <item x="597"/>
        <item x="596"/>
        <item x="595"/>
        <item x="594"/>
        <item x="593"/>
        <item x="592"/>
        <item x="591"/>
        <item x="590"/>
        <item x="589"/>
        <item x="588"/>
        <item x="587"/>
        <item x="586"/>
        <item x="585"/>
        <item x="584"/>
        <item x="583"/>
        <item x="582"/>
        <item x="581"/>
        <item x="580"/>
        <item x="579"/>
        <item x="578"/>
        <item x="577"/>
        <item x="576"/>
        <item x="575"/>
        <item x="574"/>
        <item x="573"/>
        <item x="572"/>
        <item x="571"/>
        <item x="570"/>
        <item x="569"/>
        <item x="568"/>
        <item x="567"/>
        <item x="566"/>
        <item x="565"/>
        <item x="564"/>
        <item x="563"/>
        <item x="562"/>
        <item x="561"/>
        <item x="560"/>
        <item x="559"/>
        <item x="558"/>
        <item x="557"/>
        <item x="556"/>
        <item x="555"/>
        <item x="554"/>
        <item x="553"/>
        <item x="552"/>
        <item x="551"/>
        <item x="550"/>
        <item x="549"/>
        <item x="548"/>
        <item x="547"/>
        <item x="546"/>
        <item x="545"/>
        <item x="544"/>
        <item x="543"/>
        <item x="542"/>
        <item x="541"/>
        <item x="540"/>
        <item x="539"/>
        <item x="538"/>
        <item x="537"/>
        <item x="536"/>
        <item x="535"/>
        <item x="534"/>
        <item x="533"/>
        <item x="532"/>
        <item x="531"/>
        <item x="530"/>
        <item x="529"/>
        <item x="528"/>
        <item x="527"/>
        <item x="526"/>
        <item x="525"/>
        <item x="524"/>
        <item x="523"/>
        <item x="522"/>
        <item x="521"/>
        <item x="520"/>
        <item x="519"/>
        <item x="518"/>
        <item x="517"/>
        <item x="516"/>
        <item x="515"/>
        <item x="514"/>
        <item x="513"/>
        <item x="512"/>
        <item x="511"/>
        <item x="510"/>
        <item x="509"/>
        <item x="508"/>
        <item x="507"/>
        <item x="506"/>
        <item x="505"/>
        <item x="504"/>
        <item x="503"/>
        <item x="502"/>
        <item x="501"/>
        <item x="500"/>
        <item x="499"/>
        <item x="498"/>
        <item x="497"/>
        <item x="496"/>
        <item x="495"/>
        <item x="494"/>
        <item x="493"/>
        <item x="492"/>
        <item x="491"/>
        <item x="490"/>
        <item x="489"/>
        <item x="488"/>
        <item x="487"/>
        <item x="486"/>
        <item x="485"/>
        <item x="484"/>
        <item x="483"/>
        <item x="482"/>
        <item x="481"/>
        <item x="480"/>
        <item x="479"/>
        <item x="478"/>
        <item x="477"/>
        <item x="476"/>
        <item x="475"/>
        <item x="474"/>
        <item x="473"/>
        <item x="472"/>
        <item x="471"/>
        <item x="470"/>
        <item x="469"/>
        <item x="468"/>
        <item x="467"/>
        <item x="466"/>
        <item x="465"/>
        <item x="464"/>
        <item x="463"/>
        <item x="462"/>
        <item x="461"/>
        <item x="460"/>
        <item x="459"/>
        <item x="458"/>
        <item x="457"/>
        <item x="456"/>
        <item x="455"/>
        <item x="454"/>
        <item x="453"/>
        <item x="452"/>
        <item x="451"/>
        <item x="450"/>
        <item x="449"/>
        <item x="448"/>
        <item x="447"/>
        <item x="446"/>
        <item x="445"/>
        <item x="444"/>
        <item x="443"/>
        <item x="442"/>
        <item x="441"/>
        <item x="440"/>
        <item x="439"/>
        <item x="438"/>
        <item x="437"/>
        <item x="436"/>
        <item x="435"/>
        <item x="434"/>
        <item x="433"/>
        <item x="432"/>
        <item x="431"/>
        <item x="430"/>
        <item x="429"/>
        <item x="428"/>
        <item x="427"/>
        <item x="426"/>
        <item x="425"/>
        <item x="424"/>
        <item x="423"/>
        <item x="422"/>
        <item x="421"/>
        <item x="420"/>
        <item x="419"/>
        <item x="418"/>
        <item x="417"/>
        <item x="416"/>
        <item x="415"/>
        <item x="414"/>
        <item x="413"/>
        <item x="412"/>
        <item x="411"/>
        <item x="410"/>
        <item x="409"/>
        <item x="408"/>
        <item x="407"/>
        <item x="406"/>
        <item x="405"/>
        <item x="404"/>
        <item x="403"/>
        <item x="402"/>
        <item x="401"/>
        <item x="400"/>
        <item x="399"/>
        <item x="398"/>
        <item x="397"/>
        <item x="396"/>
        <item x="395"/>
        <item x="394"/>
        <item x="393"/>
        <item x="392"/>
        <item x="391"/>
        <item x="390"/>
        <item x="389"/>
        <item x="388"/>
        <item x="387"/>
        <item x="386"/>
        <item x="385"/>
        <item x="384"/>
        <item x="383"/>
        <item x="382"/>
        <item x="381"/>
        <item x="380"/>
        <item x="379"/>
        <item x="378"/>
        <item x="377"/>
        <item x="376"/>
        <item x="375"/>
        <item x="374"/>
        <item x="373"/>
        <item x="372"/>
        <item x="371"/>
        <item x="370"/>
        <item x="369"/>
        <item x="368"/>
        <item x="367"/>
        <item x="366"/>
        <item x="365"/>
        <item x="364"/>
        <item x="363"/>
        <item x="362"/>
        <item x="361"/>
        <item x="360"/>
        <item x="359"/>
        <item x="358"/>
        <item x="357"/>
        <item x="356"/>
        <item x="355"/>
        <item x="354"/>
        <item x="353"/>
        <item x="352"/>
        <item x="351"/>
        <item x="350"/>
        <item x="349"/>
        <item x="348"/>
        <item x="347"/>
        <item x="346"/>
        <item x="345"/>
        <item x="344"/>
        <item x="343"/>
        <item x="342"/>
        <item x="341"/>
        <item x="340"/>
        <item x="339"/>
        <item x="338"/>
        <item x="337"/>
        <item x="336"/>
        <item x="335"/>
        <item x="334"/>
        <item x="333"/>
        <item x="332"/>
        <item x="331"/>
        <item x="330"/>
        <item x="329"/>
        <item x="328"/>
        <item x="327"/>
        <item x="326"/>
        <item x="325"/>
        <item x="324"/>
        <item x="323"/>
        <item x="322"/>
        <item x="321"/>
        <item x="320"/>
        <item x="319"/>
        <item x="318"/>
        <item x="317"/>
        <item x="316"/>
        <item x="315"/>
        <item x="314"/>
        <item x="313"/>
        <item x="312"/>
        <item x="311"/>
        <item x="310"/>
        <item x="309"/>
        <item x="308"/>
        <item x="307"/>
        <item x="306"/>
        <item x="305"/>
        <item x="304"/>
        <item x="303"/>
        <item x="302"/>
        <item x="301"/>
        <item x="300"/>
        <item x="299"/>
        <item x="298"/>
        <item x="297"/>
        <item x="296"/>
        <item x="295"/>
        <item x="294"/>
        <item x="293"/>
        <item x="292"/>
        <item x="291"/>
        <item x="290"/>
        <item x="289"/>
        <item x="288"/>
        <item x="287"/>
        <item x="286"/>
        <item x="285"/>
        <item x="284"/>
        <item x="283"/>
        <item x="282"/>
        <item x="281"/>
        <item x="280"/>
        <item x="279"/>
        <item x="278"/>
        <item x="277"/>
        <item x="276"/>
        <item x="275"/>
        <item x="274"/>
        <item x="273"/>
        <item x="272"/>
        <item x="271"/>
        <item x="270"/>
        <item x="269"/>
        <item x="268"/>
        <item x="267"/>
        <item x="266"/>
        <item x="265"/>
        <item x="264"/>
        <item x="263"/>
        <item x="262"/>
        <item x="261"/>
        <item x="260"/>
        <item x="259"/>
        <item x="258"/>
        <item x="257"/>
        <item x="256"/>
        <item x="255"/>
        <item x="254"/>
        <item x="253"/>
        <item x="252"/>
        <item x="251"/>
        <item x="250"/>
        <item x="249"/>
        <item x="248"/>
        <item x="247"/>
        <item x="246"/>
        <item x="245"/>
        <item x="244"/>
        <item x="243"/>
        <item x="242"/>
        <item x="241"/>
        <item x="240"/>
        <item x="239"/>
        <item x="238"/>
        <item x="237"/>
        <item x="236"/>
        <item x="235"/>
        <item x="234"/>
        <item x="233"/>
        <item x="232"/>
        <item x="231"/>
        <item x="230"/>
        <item x="229"/>
        <item x="228"/>
        <item x="227"/>
        <item x="226"/>
        <item x="225"/>
        <item x="224"/>
        <item x="223"/>
        <item x="222"/>
        <item x="221"/>
        <item x="220"/>
        <item x="219"/>
        <item x="218"/>
        <item x="217"/>
        <item x="216"/>
        <item x="215"/>
        <item x="214"/>
        <item x="213"/>
        <item x="212"/>
        <item x="211"/>
        <item x="210"/>
        <item x="209"/>
        <item x="208"/>
        <item x="207"/>
        <item x="206"/>
        <item x="205"/>
        <item x="204"/>
        <item x="203"/>
        <item x="202"/>
        <item x="201"/>
        <item x="200"/>
        <item x="199"/>
        <item x="198"/>
        <item x="197"/>
        <item x="196"/>
        <item x="195"/>
        <item x="194"/>
        <item x="193"/>
        <item x="192"/>
        <item x="191"/>
        <item x="190"/>
        <item x="189"/>
        <item x="188"/>
        <item x="187"/>
        <item x="186"/>
        <item x="185"/>
        <item x="184"/>
        <item x="183"/>
        <item x="182"/>
        <item x="181"/>
        <item x="180"/>
        <item x="179"/>
        <item x="178"/>
        <item x="177"/>
        <item x="176"/>
        <item x="175"/>
        <item x="174"/>
        <item x="173"/>
        <item x="172"/>
        <item x="171"/>
        <item x="170"/>
        <item x="169"/>
        <item x="168"/>
        <item x="167"/>
        <item x="166"/>
        <item x="165"/>
        <item x="164"/>
        <item x="163"/>
        <item x="162"/>
        <item x="161"/>
        <item x="160"/>
        <item x="159"/>
        <item x="158"/>
        <item x="157"/>
        <item x="156"/>
        <item x="155"/>
        <item x="154"/>
        <item x="153"/>
        <item x="152"/>
        <item x="151"/>
        <item x="150"/>
        <item x="149"/>
        <item x="148"/>
        <item x="147"/>
        <item x="146"/>
        <item x="145"/>
        <item x="144"/>
        <item x="143"/>
        <item x="142"/>
        <item x="141"/>
        <item x="140"/>
        <item x="139"/>
        <item x="138"/>
        <item x="137"/>
        <item x="136"/>
        <item x="135"/>
        <item x="134"/>
        <item x="133"/>
        <item x="132"/>
        <item x="131"/>
        <item x="130"/>
        <item x="129"/>
        <item x="128"/>
        <item x="127"/>
        <item x="126"/>
        <item x="125"/>
        <item x="124"/>
        <item x="123"/>
        <item x="122"/>
        <item x="121"/>
        <item x="120"/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m="1" x="684"/>
        <item m="1" x="687"/>
        <item m="1" x="685"/>
        <item x="4"/>
        <item x="3"/>
        <item x="2"/>
        <item x="1"/>
        <item m="1" x="688"/>
        <item m="1" x="686"/>
        <item x="0"/>
        <item t="default"/>
      </items>
    </pivotField>
    <pivotField dataField="1" numFmtId="165" showAll="0"/>
    <pivotField dataField="1" numFmtId="165" showAll="0"/>
    <pivotField dataField="1" numFmtId="165" showAll="0"/>
    <pivotField dataField="1" showAll="0"/>
    <pivotField showAll="0"/>
    <pivotField showAll="0"/>
    <pivotField numFmtId="165" showAll="0"/>
    <pivotField numFmtId="165" showAll="0"/>
    <pivotField showAll="0"/>
    <pivotField numFmtId="44" showAll="0"/>
  </pivotFields>
  <rowFields count="1">
    <field x="0"/>
  </rowFields>
  <rowItems count="68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86"/>
    </i>
    <i>
      <x v="187"/>
    </i>
    <i>
      <x v="188"/>
    </i>
    <i>
      <x v="189"/>
    </i>
    <i>
      <x v="190"/>
    </i>
    <i>
      <x v="191"/>
    </i>
    <i>
      <x v="192"/>
    </i>
    <i>
      <x v="193"/>
    </i>
    <i>
      <x v="194"/>
    </i>
    <i>
      <x v="195"/>
    </i>
    <i>
      <x v="196"/>
    </i>
    <i>
      <x v="197"/>
    </i>
    <i>
      <x v="198"/>
    </i>
    <i>
      <x v="199"/>
    </i>
    <i>
      <x v="200"/>
    </i>
    <i>
      <x v="201"/>
    </i>
    <i>
      <x v="202"/>
    </i>
    <i>
      <x v="203"/>
    </i>
    <i>
      <x v="204"/>
    </i>
    <i>
      <x v="205"/>
    </i>
    <i>
      <x v="206"/>
    </i>
    <i>
      <x v="207"/>
    </i>
    <i>
      <x v="208"/>
    </i>
    <i>
      <x v="209"/>
    </i>
    <i>
      <x v="210"/>
    </i>
    <i>
      <x v="211"/>
    </i>
    <i>
      <x v="212"/>
    </i>
    <i>
      <x v="213"/>
    </i>
    <i>
      <x v="214"/>
    </i>
    <i>
      <x v="215"/>
    </i>
    <i>
      <x v="216"/>
    </i>
    <i>
      <x v="217"/>
    </i>
    <i>
      <x v="218"/>
    </i>
    <i>
      <x v="219"/>
    </i>
    <i>
      <x v="220"/>
    </i>
    <i>
      <x v="221"/>
    </i>
    <i>
      <x v="222"/>
    </i>
    <i>
      <x v="223"/>
    </i>
    <i>
      <x v="224"/>
    </i>
    <i>
      <x v="225"/>
    </i>
    <i>
      <x v="226"/>
    </i>
    <i>
      <x v="227"/>
    </i>
    <i>
      <x v="228"/>
    </i>
    <i>
      <x v="229"/>
    </i>
    <i>
      <x v="230"/>
    </i>
    <i>
      <x v="231"/>
    </i>
    <i>
      <x v="232"/>
    </i>
    <i>
      <x v="233"/>
    </i>
    <i>
      <x v="234"/>
    </i>
    <i>
      <x v="235"/>
    </i>
    <i>
      <x v="236"/>
    </i>
    <i>
      <x v="237"/>
    </i>
    <i>
      <x v="238"/>
    </i>
    <i>
      <x v="239"/>
    </i>
    <i>
      <x v="240"/>
    </i>
    <i>
      <x v="241"/>
    </i>
    <i>
      <x v="242"/>
    </i>
    <i>
      <x v="243"/>
    </i>
    <i>
      <x v="244"/>
    </i>
    <i>
      <x v="245"/>
    </i>
    <i>
      <x v="246"/>
    </i>
    <i>
      <x v="247"/>
    </i>
    <i>
      <x v="248"/>
    </i>
    <i>
      <x v="249"/>
    </i>
    <i>
      <x v="250"/>
    </i>
    <i>
      <x v="251"/>
    </i>
    <i>
      <x v="252"/>
    </i>
    <i>
      <x v="253"/>
    </i>
    <i>
      <x v="254"/>
    </i>
    <i>
      <x v="255"/>
    </i>
    <i>
      <x v="256"/>
    </i>
    <i>
      <x v="257"/>
    </i>
    <i>
      <x v="258"/>
    </i>
    <i>
      <x v="259"/>
    </i>
    <i>
      <x v="260"/>
    </i>
    <i>
      <x v="261"/>
    </i>
    <i>
      <x v="262"/>
    </i>
    <i>
      <x v="263"/>
    </i>
    <i>
      <x v="264"/>
    </i>
    <i>
      <x v="265"/>
    </i>
    <i>
      <x v="266"/>
    </i>
    <i>
      <x v="267"/>
    </i>
    <i>
      <x v="268"/>
    </i>
    <i>
      <x v="269"/>
    </i>
    <i>
      <x v="270"/>
    </i>
    <i>
      <x v="271"/>
    </i>
    <i>
      <x v="272"/>
    </i>
    <i>
      <x v="273"/>
    </i>
    <i>
      <x v="274"/>
    </i>
    <i>
      <x v="275"/>
    </i>
    <i>
      <x v="276"/>
    </i>
    <i>
      <x v="277"/>
    </i>
    <i>
      <x v="278"/>
    </i>
    <i>
      <x v="279"/>
    </i>
    <i>
      <x v="280"/>
    </i>
    <i>
      <x v="281"/>
    </i>
    <i>
      <x v="282"/>
    </i>
    <i>
      <x v="283"/>
    </i>
    <i>
      <x v="284"/>
    </i>
    <i>
      <x v="285"/>
    </i>
    <i>
      <x v="286"/>
    </i>
    <i>
      <x v="287"/>
    </i>
    <i>
      <x v="288"/>
    </i>
    <i>
      <x v="289"/>
    </i>
    <i>
      <x v="290"/>
    </i>
    <i>
      <x v="291"/>
    </i>
    <i>
      <x v="292"/>
    </i>
    <i>
      <x v="293"/>
    </i>
    <i>
      <x v="294"/>
    </i>
    <i>
      <x v="295"/>
    </i>
    <i>
      <x v="296"/>
    </i>
    <i>
      <x v="297"/>
    </i>
    <i>
      <x v="298"/>
    </i>
    <i>
      <x v="299"/>
    </i>
    <i>
      <x v="300"/>
    </i>
    <i>
      <x v="301"/>
    </i>
    <i>
      <x v="302"/>
    </i>
    <i>
      <x v="303"/>
    </i>
    <i>
      <x v="304"/>
    </i>
    <i>
      <x v="305"/>
    </i>
    <i>
      <x v="306"/>
    </i>
    <i>
      <x v="307"/>
    </i>
    <i>
      <x v="308"/>
    </i>
    <i>
      <x v="309"/>
    </i>
    <i>
      <x v="310"/>
    </i>
    <i>
      <x v="311"/>
    </i>
    <i>
      <x v="312"/>
    </i>
    <i>
      <x v="313"/>
    </i>
    <i>
      <x v="314"/>
    </i>
    <i>
      <x v="315"/>
    </i>
    <i>
      <x v="316"/>
    </i>
    <i>
      <x v="317"/>
    </i>
    <i>
      <x v="318"/>
    </i>
    <i>
      <x v="319"/>
    </i>
    <i>
      <x v="320"/>
    </i>
    <i>
      <x v="321"/>
    </i>
    <i>
      <x v="322"/>
    </i>
    <i>
      <x v="323"/>
    </i>
    <i>
      <x v="324"/>
    </i>
    <i>
      <x v="325"/>
    </i>
    <i>
      <x v="326"/>
    </i>
    <i>
      <x v="327"/>
    </i>
    <i>
      <x v="328"/>
    </i>
    <i>
      <x v="329"/>
    </i>
    <i>
      <x v="330"/>
    </i>
    <i>
      <x v="331"/>
    </i>
    <i>
      <x v="332"/>
    </i>
    <i>
      <x v="333"/>
    </i>
    <i>
      <x v="334"/>
    </i>
    <i>
      <x v="335"/>
    </i>
    <i>
      <x v="336"/>
    </i>
    <i>
      <x v="337"/>
    </i>
    <i>
      <x v="338"/>
    </i>
    <i>
      <x v="339"/>
    </i>
    <i>
      <x v="340"/>
    </i>
    <i>
      <x v="341"/>
    </i>
    <i>
      <x v="342"/>
    </i>
    <i>
      <x v="343"/>
    </i>
    <i>
      <x v="344"/>
    </i>
    <i>
      <x v="345"/>
    </i>
    <i>
      <x v="346"/>
    </i>
    <i>
      <x v="347"/>
    </i>
    <i>
      <x v="348"/>
    </i>
    <i>
      <x v="349"/>
    </i>
    <i>
      <x v="350"/>
    </i>
    <i>
      <x v="351"/>
    </i>
    <i>
      <x v="352"/>
    </i>
    <i>
      <x v="353"/>
    </i>
    <i>
      <x v="354"/>
    </i>
    <i>
      <x v="355"/>
    </i>
    <i>
      <x v="356"/>
    </i>
    <i>
      <x v="357"/>
    </i>
    <i>
      <x v="358"/>
    </i>
    <i>
      <x v="359"/>
    </i>
    <i>
      <x v="360"/>
    </i>
    <i>
      <x v="361"/>
    </i>
    <i>
      <x v="362"/>
    </i>
    <i>
      <x v="363"/>
    </i>
    <i>
      <x v="364"/>
    </i>
    <i>
      <x v="365"/>
    </i>
    <i>
      <x v="366"/>
    </i>
    <i>
      <x v="367"/>
    </i>
    <i>
      <x v="368"/>
    </i>
    <i>
      <x v="369"/>
    </i>
    <i>
      <x v="370"/>
    </i>
    <i>
      <x v="371"/>
    </i>
    <i>
      <x v="372"/>
    </i>
    <i>
      <x v="373"/>
    </i>
    <i>
      <x v="374"/>
    </i>
    <i>
      <x v="375"/>
    </i>
    <i>
      <x v="376"/>
    </i>
    <i>
      <x v="377"/>
    </i>
    <i>
      <x v="378"/>
    </i>
    <i>
      <x v="379"/>
    </i>
    <i>
      <x v="380"/>
    </i>
    <i>
      <x v="381"/>
    </i>
    <i>
      <x v="382"/>
    </i>
    <i>
      <x v="383"/>
    </i>
    <i>
      <x v="384"/>
    </i>
    <i>
      <x v="385"/>
    </i>
    <i>
      <x v="386"/>
    </i>
    <i>
      <x v="387"/>
    </i>
    <i>
      <x v="388"/>
    </i>
    <i>
      <x v="389"/>
    </i>
    <i>
      <x v="390"/>
    </i>
    <i>
      <x v="391"/>
    </i>
    <i>
      <x v="392"/>
    </i>
    <i>
      <x v="393"/>
    </i>
    <i>
      <x v="394"/>
    </i>
    <i>
      <x v="395"/>
    </i>
    <i>
      <x v="396"/>
    </i>
    <i>
      <x v="397"/>
    </i>
    <i>
      <x v="398"/>
    </i>
    <i>
      <x v="399"/>
    </i>
    <i>
      <x v="400"/>
    </i>
    <i>
      <x v="401"/>
    </i>
    <i>
      <x v="402"/>
    </i>
    <i>
      <x v="403"/>
    </i>
    <i>
      <x v="404"/>
    </i>
    <i>
      <x v="405"/>
    </i>
    <i>
      <x v="406"/>
    </i>
    <i>
      <x v="407"/>
    </i>
    <i>
      <x v="408"/>
    </i>
    <i>
      <x v="409"/>
    </i>
    <i>
      <x v="410"/>
    </i>
    <i>
      <x v="411"/>
    </i>
    <i>
      <x v="412"/>
    </i>
    <i>
      <x v="413"/>
    </i>
    <i>
      <x v="414"/>
    </i>
    <i>
      <x v="415"/>
    </i>
    <i>
      <x v="416"/>
    </i>
    <i>
      <x v="417"/>
    </i>
    <i>
      <x v="418"/>
    </i>
    <i>
      <x v="419"/>
    </i>
    <i>
      <x v="420"/>
    </i>
    <i>
      <x v="421"/>
    </i>
    <i>
      <x v="422"/>
    </i>
    <i>
      <x v="423"/>
    </i>
    <i>
      <x v="424"/>
    </i>
    <i>
      <x v="425"/>
    </i>
    <i>
      <x v="426"/>
    </i>
    <i>
      <x v="427"/>
    </i>
    <i>
      <x v="428"/>
    </i>
    <i>
      <x v="429"/>
    </i>
    <i>
      <x v="430"/>
    </i>
    <i>
      <x v="431"/>
    </i>
    <i>
      <x v="432"/>
    </i>
    <i>
      <x v="433"/>
    </i>
    <i>
      <x v="434"/>
    </i>
    <i>
      <x v="435"/>
    </i>
    <i>
      <x v="436"/>
    </i>
    <i>
      <x v="437"/>
    </i>
    <i>
      <x v="438"/>
    </i>
    <i>
      <x v="439"/>
    </i>
    <i>
      <x v="440"/>
    </i>
    <i>
      <x v="441"/>
    </i>
    <i>
      <x v="442"/>
    </i>
    <i>
      <x v="443"/>
    </i>
    <i>
      <x v="444"/>
    </i>
    <i>
      <x v="445"/>
    </i>
    <i>
      <x v="446"/>
    </i>
    <i>
      <x v="447"/>
    </i>
    <i>
      <x v="448"/>
    </i>
    <i>
      <x v="449"/>
    </i>
    <i>
      <x v="450"/>
    </i>
    <i>
      <x v="451"/>
    </i>
    <i>
      <x v="452"/>
    </i>
    <i>
      <x v="453"/>
    </i>
    <i>
      <x v="454"/>
    </i>
    <i>
      <x v="455"/>
    </i>
    <i>
      <x v="456"/>
    </i>
    <i>
      <x v="457"/>
    </i>
    <i>
      <x v="458"/>
    </i>
    <i>
      <x v="459"/>
    </i>
    <i>
      <x v="460"/>
    </i>
    <i>
      <x v="461"/>
    </i>
    <i>
      <x v="462"/>
    </i>
    <i>
      <x v="463"/>
    </i>
    <i>
      <x v="464"/>
    </i>
    <i>
      <x v="465"/>
    </i>
    <i>
      <x v="466"/>
    </i>
    <i>
      <x v="467"/>
    </i>
    <i>
      <x v="468"/>
    </i>
    <i>
      <x v="469"/>
    </i>
    <i>
      <x v="470"/>
    </i>
    <i>
      <x v="471"/>
    </i>
    <i>
      <x v="472"/>
    </i>
    <i>
      <x v="473"/>
    </i>
    <i>
      <x v="474"/>
    </i>
    <i>
      <x v="475"/>
    </i>
    <i>
      <x v="476"/>
    </i>
    <i>
      <x v="477"/>
    </i>
    <i>
      <x v="478"/>
    </i>
    <i>
      <x v="479"/>
    </i>
    <i>
      <x v="480"/>
    </i>
    <i>
      <x v="481"/>
    </i>
    <i>
      <x v="482"/>
    </i>
    <i>
      <x v="483"/>
    </i>
    <i>
      <x v="484"/>
    </i>
    <i>
      <x v="485"/>
    </i>
    <i>
      <x v="486"/>
    </i>
    <i>
      <x v="487"/>
    </i>
    <i>
      <x v="488"/>
    </i>
    <i>
      <x v="489"/>
    </i>
    <i>
      <x v="490"/>
    </i>
    <i>
      <x v="491"/>
    </i>
    <i>
      <x v="492"/>
    </i>
    <i>
      <x v="493"/>
    </i>
    <i>
      <x v="494"/>
    </i>
    <i>
      <x v="495"/>
    </i>
    <i>
      <x v="496"/>
    </i>
    <i>
      <x v="497"/>
    </i>
    <i>
      <x v="498"/>
    </i>
    <i>
      <x v="499"/>
    </i>
    <i>
      <x v="500"/>
    </i>
    <i>
      <x v="501"/>
    </i>
    <i>
      <x v="502"/>
    </i>
    <i>
      <x v="503"/>
    </i>
    <i>
      <x v="504"/>
    </i>
    <i>
      <x v="505"/>
    </i>
    <i>
      <x v="506"/>
    </i>
    <i>
      <x v="507"/>
    </i>
    <i>
      <x v="508"/>
    </i>
    <i>
      <x v="509"/>
    </i>
    <i>
      <x v="510"/>
    </i>
    <i>
      <x v="511"/>
    </i>
    <i>
      <x v="512"/>
    </i>
    <i>
      <x v="513"/>
    </i>
    <i>
      <x v="514"/>
    </i>
    <i>
      <x v="515"/>
    </i>
    <i>
      <x v="516"/>
    </i>
    <i>
      <x v="517"/>
    </i>
    <i>
      <x v="518"/>
    </i>
    <i>
      <x v="519"/>
    </i>
    <i>
      <x v="520"/>
    </i>
    <i>
      <x v="521"/>
    </i>
    <i>
      <x v="522"/>
    </i>
    <i>
      <x v="523"/>
    </i>
    <i>
      <x v="524"/>
    </i>
    <i>
      <x v="525"/>
    </i>
    <i>
      <x v="526"/>
    </i>
    <i>
      <x v="527"/>
    </i>
    <i>
      <x v="528"/>
    </i>
    <i>
      <x v="529"/>
    </i>
    <i>
      <x v="530"/>
    </i>
    <i>
      <x v="531"/>
    </i>
    <i>
      <x v="532"/>
    </i>
    <i>
      <x v="533"/>
    </i>
    <i>
      <x v="534"/>
    </i>
    <i>
      <x v="535"/>
    </i>
    <i>
      <x v="536"/>
    </i>
    <i>
      <x v="537"/>
    </i>
    <i>
      <x v="538"/>
    </i>
    <i>
      <x v="539"/>
    </i>
    <i>
      <x v="540"/>
    </i>
    <i>
      <x v="541"/>
    </i>
    <i>
      <x v="542"/>
    </i>
    <i>
      <x v="543"/>
    </i>
    <i>
      <x v="544"/>
    </i>
    <i>
      <x v="545"/>
    </i>
    <i>
      <x v="546"/>
    </i>
    <i>
      <x v="547"/>
    </i>
    <i>
      <x v="548"/>
    </i>
    <i>
      <x v="549"/>
    </i>
    <i>
      <x v="550"/>
    </i>
    <i>
      <x v="551"/>
    </i>
    <i>
      <x v="552"/>
    </i>
    <i>
      <x v="553"/>
    </i>
    <i>
      <x v="554"/>
    </i>
    <i>
      <x v="555"/>
    </i>
    <i>
      <x v="556"/>
    </i>
    <i>
      <x v="557"/>
    </i>
    <i>
      <x v="558"/>
    </i>
    <i>
      <x v="559"/>
    </i>
    <i>
      <x v="560"/>
    </i>
    <i>
      <x v="561"/>
    </i>
    <i>
      <x v="562"/>
    </i>
    <i>
      <x v="563"/>
    </i>
    <i>
      <x v="564"/>
    </i>
    <i>
      <x v="565"/>
    </i>
    <i>
      <x v="566"/>
    </i>
    <i>
      <x v="567"/>
    </i>
    <i>
      <x v="568"/>
    </i>
    <i>
      <x v="569"/>
    </i>
    <i>
      <x v="570"/>
    </i>
    <i>
      <x v="571"/>
    </i>
    <i>
      <x v="572"/>
    </i>
    <i>
      <x v="573"/>
    </i>
    <i>
      <x v="574"/>
    </i>
    <i>
      <x v="575"/>
    </i>
    <i>
      <x v="576"/>
    </i>
    <i>
      <x v="577"/>
    </i>
    <i>
      <x v="578"/>
    </i>
    <i>
      <x v="579"/>
    </i>
    <i>
      <x v="580"/>
    </i>
    <i>
      <x v="581"/>
    </i>
    <i>
      <x v="582"/>
    </i>
    <i>
      <x v="583"/>
    </i>
    <i>
      <x v="584"/>
    </i>
    <i>
      <x v="585"/>
    </i>
    <i>
      <x v="586"/>
    </i>
    <i>
      <x v="587"/>
    </i>
    <i>
      <x v="588"/>
    </i>
    <i>
      <x v="589"/>
    </i>
    <i>
      <x v="590"/>
    </i>
    <i>
      <x v="591"/>
    </i>
    <i>
      <x v="592"/>
    </i>
    <i>
      <x v="593"/>
    </i>
    <i>
      <x v="594"/>
    </i>
    <i>
      <x v="595"/>
    </i>
    <i>
      <x v="596"/>
    </i>
    <i>
      <x v="597"/>
    </i>
    <i>
      <x v="598"/>
    </i>
    <i>
      <x v="599"/>
    </i>
    <i>
      <x v="600"/>
    </i>
    <i>
      <x v="601"/>
    </i>
    <i>
      <x v="602"/>
    </i>
    <i>
      <x v="603"/>
    </i>
    <i>
      <x v="604"/>
    </i>
    <i>
      <x v="605"/>
    </i>
    <i>
      <x v="606"/>
    </i>
    <i>
      <x v="607"/>
    </i>
    <i>
      <x v="608"/>
    </i>
    <i>
      <x v="609"/>
    </i>
    <i>
      <x v="610"/>
    </i>
    <i>
      <x v="611"/>
    </i>
    <i>
      <x v="612"/>
    </i>
    <i>
      <x v="613"/>
    </i>
    <i>
      <x v="614"/>
    </i>
    <i>
      <x v="615"/>
    </i>
    <i>
      <x v="616"/>
    </i>
    <i>
      <x v="617"/>
    </i>
    <i>
      <x v="618"/>
    </i>
    <i>
      <x v="619"/>
    </i>
    <i>
      <x v="620"/>
    </i>
    <i>
      <x v="621"/>
    </i>
    <i>
      <x v="622"/>
    </i>
    <i>
      <x v="623"/>
    </i>
    <i>
      <x v="624"/>
    </i>
    <i>
      <x v="625"/>
    </i>
    <i>
      <x v="626"/>
    </i>
    <i>
      <x v="627"/>
    </i>
    <i>
      <x v="628"/>
    </i>
    <i>
      <x v="629"/>
    </i>
    <i>
      <x v="630"/>
    </i>
    <i>
      <x v="631"/>
    </i>
    <i>
      <x v="632"/>
    </i>
    <i>
      <x v="633"/>
    </i>
    <i>
      <x v="634"/>
    </i>
    <i>
      <x v="635"/>
    </i>
    <i>
      <x v="636"/>
    </i>
    <i>
      <x v="637"/>
    </i>
    <i>
      <x v="638"/>
    </i>
    <i>
      <x v="639"/>
    </i>
    <i>
      <x v="640"/>
    </i>
    <i>
      <x v="641"/>
    </i>
    <i>
      <x v="642"/>
    </i>
    <i>
      <x v="643"/>
    </i>
    <i>
      <x v="644"/>
    </i>
    <i>
      <x v="645"/>
    </i>
    <i>
      <x v="646"/>
    </i>
    <i>
      <x v="647"/>
    </i>
    <i>
      <x v="648"/>
    </i>
    <i>
      <x v="649"/>
    </i>
    <i>
      <x v="650"/>
    </i>
    <i>
      <x v="651"/>
    </i>
    <i>
      <x v="652"/>
    </i>
    <i>
      <x v="653"/>
    </i>
    <i>
      <x v="654"/>
    </i>
    <i>
      <x v="655"/>
    </i>
    <i>
      <x v="656"/>
    </i>
    <i>
      <x v="657"/>
    </i>
    <i>
      <x v="658"/>
    </i>
    <i>
      <x v="659"/>
    </i>
    <i>
      <x v="660"/>
    </i>
    <i>
      <x v="661"/>
    </i>
    <i>
      <x v="662"/>
    </i>
    <i>
      <x v="663"/>
    </i>
    <i>
      <x v="664"/>
    </i>
    <i>
      <x v="665"/>
    </i>
    <i>
      <x v="666"/>
    </i>
    <i>
      <x v="667"/>
    </i>
    <i>
      <x v="668"/>
    </i>
    <i>
      <x v="669"/>
    </i>
    <i>
      <x v="670"/>
    </i>
    <i>
      <x v="671"/>
    </i>
    <i>
      <x v="672"/>
    </i>
    <i>
      <x v="673"/>
    </i>
    <i>
      <x v="674"/>
    </i>
    <i>
      <x v="675"/>
    </i>
    <i>
      <x v="676"/>
    </i>
    <i>
      <x v="677"/>
    </i>
    <i>
      <x v="678"/>
    </i>
    <i>
      <x v="682"/>
    </i>
    <i>
      <x v="683"/>
    </i>
    <i>
      <x v="684"/>
    </i>
    <i>
      <x v="685"/>
    </i>
    <i>
      <x v="688"/>
    </i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name="WTI" fld="1" baseField="0" baseItem="0" numFmtId="165"/>
    <dataField name="Opec" fld="2" baseField="0" baseItem="0" numFmtId="165"/>
    <dataField name="Brent" fld="3" baseField="0" baseItem="0" numFmtId="165"/>
    <dataField name="WCanS" fld="4" baseField="0" baseItem="0" numFmtId="165"/>
  </dataFields>
  <formats count="8">
    <format dxfId="123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122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121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120">
      <pivotArea dataOnly="0" labelOnly="1" outline="0" fieldPosition="0">
        <references count="1">
          <reference field="4294967294" count="1">
            <x v="1"/>
          </reference>
        </references>
      </pivotArea>
    </format>
    <format dxfId="119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118">
      <pivotArea dataOnly="0" labelOnly="1" outline="0" fieldPosition="0">
        <references count="1">
          <reference field="4294967294" count="1">
            <x v="2"/>
          </reference>
        </references>
      </pivotArea>
    </format>
    <format dxfId="117">
      <pivotArea outline="0" collapsedLevelsAreSubtotals="1" fieldPosition="0">
        <references count="1">
          <reference field="4294967294" count="1" selected="0">
            <x v="3"/>
          </reference>
        </references>
      </pivotArea>
    </format>
    <format dxfId="116">
      <pivotArea dataOnly="0" labelOnly="1" outline="0" fieldPosition="0">
        <references count="1">
          <reference field="4294967294" count="1">
            <x v="3"/>
          </reference>
        </references>
      </pivotArea>
    </format>
  </formats>
  <chartFormats count="1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0" format="3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1" format="4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1" format="5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6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" format="7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2" format="8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2" format="9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10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" format="11" series="1">
      <pivotArea type="data" outline="0" fieldPosition="0">
        <references count="1">
          <reference field="4294967294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EC22676-1186-4895-BF4B-862C86EC3B7C}" name="CrudeFinalProject" cacheId="16" applyNumberFormats="0" applyBorderFormats="0" applyFontFormats="0" applyPatternFormats="0" applyAlignmentFormats="0" applyWidthHeightFormats="1" dataCaption="Values" updatedVersion="8" minRefreshableVersion="5" useAutoFormatting="1" rowGrandTotals="0" colGrandTotals="0" itemPrintTitles="1" createdVersion="8" indent="0" outline="1" outlineData="1" multipleFieldFilters="0" chartFormat="14">
  <location ref="A3:B687" firstHeaderRow="1" firstDataRow="1" firstDataCol="1"/>
  <pivotFields count="11">
    <pivotField axis="axisRow" numFmtId="14" showAll="0" sortType="ascending">
      <items count="690">
        <item x="683"/>
        <item x="682"/>
        <item x="681"/>
        <item x="680"/>
        <item x="679"/>
        <item x="678"/>
        <item x="677"/>
        <item x="676"/>
        <item x="675"/>
        <item x="674"/>
        <item x="673"/>
        <item x="672"/>
        <item x="671"/>
        <item x="670"/>
        <item x="669"/>
        <item x="668"/>
        <item x="667"/>
        <item x="666"/>
        <item x="665"/>
        <item x="664"/>
        <item x="663"/>
        <item x="662"/>
        <item x="661"/>
        <item x="660"/>
        <item x="659"/>
        <item x="658"/>
        <item x="657"/>
        <item x="656"/>
        <item x="655"/>
        <item x="654"/>
        <item x="653"/>
        <item x="652"/>
        <item x="651"/>
        <item x="650"/>
        <item x="649"/>
        <item x="648"/>
        <item x="647"/>
        <item x="646"/>
        <item x="645"/>
        <item x="644"/>
        <item x="643"/>
        <item x="642"/>
        <item x="641"/>
        <item x="640"/>
        <item x="639"/>
        <item x="638"/>
        <item x="637"/>
        <item x="636"/>
        <item x="635"/>
        <item x="634"/>
        <item x="633"/>
        <item x="632"/>
        <item x="631"/>
        <item x="630"/>
        <item x="629"/>
        <item x="628"/>
        <item x="627"/>
        <item x="626"/>
        <item x="625"/>
        <item x="624"/>
        <item x="623"/>
        <item x="622"/>
        <item x="621"/>
        <item x="620"/>
        <item x="619"/>
        <item x="618"/>
        <item x="617"/>
        <item x="616"/>
        <item x="615"/>
        <item x="614"/>
        <item x="613"/>
        <item x="612"/>
        <item x="611"/>
        <item x="610"/>
        <item x="609"/>
        <item x="608"/>
        <item x="607"/>
        <item x="606"/>
        <item x="605"/>
        <item x="604"/>
        <item x="603"/>
        <item x="602"/>
        <item x="601"/>
        <item x="600"/>
        <item x="599"/>
        <item x="598"/>
        <item x="597"/>
        <item x="596"/>
        <item x="595"/>
        <item x="594"/>
        <item x="593"/>
        <item x="592"/>
        <item x="591"/>
        <item x="590"/>
        <item x="589"/>
        <item x="588"/>
        <item x="587"/>
        <item x="586"/>
        <item x="585"/>
        <item x="584"/>
        <item x="583"/>
        <item x="582"/>
        <item x="581"/>
        <item x="580"/>
        <item x="579"/>
        <item x="578"/>
        <item x="577"/>
        <item x="576"/>
        <item x="575"/>
        <item x="574"/>
        <item x="573"/>
        <item x="572"/>
        <item x="571"/>
        <item x="570"/>
        <item x="569"/>
        <item x="568"/>
        <item x="567"/>
        <item x="566"/>
        <item x="565"/>
        <item x="564"/>
        <item x="563"/>
        <item x="562"/>
        <item x="561"/>
        <item x="560"/>
        <item x="559"/>
        <item x="558"/>
        <item x="557"/>
        <item x="556"/>
        <item x="555"/>
        <item x="554"/>
        <item x="553"/>
        <item x="552"/>
        <item x="551"/>
        <item x="550"/>
        <item x="549"/>
        <item x="548"/>
        <item x="547"/>
        <item x="546"/>
        <item x="545"/>
        <item x="544"/>
        <item x="543"/>
        <item x="542"/>
        <item x="541"/>
        <item x="540"/>
        <item x="539"/>
        <item x="538"/>
        <item x="537"/>
        <item x="536"/>
        <item x="535"/>
        <item x="534"/>
        <item x="533"/>
        <item x="532"/>
        <item x="531"/>
        <item x="530"/>
        <item x="529"/>
        <item x="528"/>
        <item x="527"/>
        <item x="526"/>
        <item x="525"/>
        <item x="524"/>
        <item x="523"/>
        <item x="522"/>
        <item x="521"/>
        <item x="520"/>
        <item x="519"/>
        <item x="518"/>
        <item x="517"/>
        <item x="516"/>
        <item x="515"/>
        <item x="514"/>
        <item x="513"/>
        <item x="512"/>
        <item x="511"/>
        <item x="510"/>
        <item x="509"/>
        <item x="508"/>
        <item x="507"/>
        <item x="506"/>
        <item x="505"/>
        <item x="504"/>
        <item x="503"/>
        <item x="502"/>
        <item x="501"/>
        <item x="500"/>
        <item x="499"/>
        <item x="498"/>
        <item x="497"/>
        <item x="496"/>
        <item x="495"/>
        <item x="494"/>
        <item x="493"/>
        <item x="492"/>
        <item x="491"/>
        <item x="490"/>
        <item x="489"/>
        <item x="488"/>
        <item x="487"/>
        <item x="486"/>
        <item x="485"/>
        <item x="484"/>
        <item x="483"/>
        <item x="482"/>
        <item x="481"/>
        <item x="480"/>
        <item x="479"/>
        <item x="478"/>
        <item x="477"/>
        <item x="476"/>
        <item x="475"/>
        <item x="474"/>
        <item x="473"/>
        <item x="472"/>
        <item x="471"/>
        <item x="470"/>
        <item x="469"/>
        <item x="468"/>
        <item x="467"/>
        <item x="466"/>
        <item x="465"/>
        <item x="464"/>
        <item x="463"/>
        <item x="462"/>
        <item x="461"/>
        <item x="460"/>
        <item x="459"/>
        <item x="458"/>
        <item x="457"/>
        <item x="456"/>
        <item x="455"/>
        <item x="454"/>
        <item x="453"/>
        <item x="452"/>
        <item x="451"/>
        <item x="450"/>
        <item x="449"/>
        <item x="448"/>
        <item x="447"/>
        <item x="446"/>
        <item x="445"/>
        <item x="444"/>
        <item x="443"/>
        <item x="442"/>
        <item x="441"/>
        <item x="440"/>
        <item x="439"/>
        <item x="438"/>
        <item x="437"/>
        <item x="436"/>
        <item x="435"/>
        <item x="434"/>
        <item x="433"/>
        <item x="432"/>
        <item x="431"/>
        <item x="430"/>
        <item x="429"/>
        <item x="428"/>
        <item x="427"/>
        <item x="426"/>
        <item x="425"/>
        <item x="424"/>
        <item x="423"/>
        <item x="422"/>
        <item x="421"/>
        <item x="420"/>
        <item x="419"/>
        <item x="418"/>
        <item x="417"/>
        <item x="416"/>
        <item x="415"/>
        <item x="414"/>
        <item x="413"/>
        <item x="412"/>
        <item x="411"/>
        <item x="410"/>
        <item x="409"/>
        <item x="408"/>
        <item x="407"/>
        <item x="406"/>
        <item x="405"/>
        <item x="404"/>
        <item x="403"/>
        <item x="402"/>
        <item x="401"/>
        <item x="400"/>
        <item x="399"/>
        <item x="398"/>
        <item x="397"/>
        <item x="396"/>
        <item x="395"/>
        <item x="394"/>
        <item x="393"/>
        <item x="392"/>
        <item x="391"/>
        <item x="390"/>
        <item x="389"/>
        <item x="388"/>
        <item x="387"/>
        <item x="386"/>
        <item x="385"/>
        <item x="384"/>
        <item x="383"/>
        <item x="382"/>
        <item x="381"/>
        <item x="380"/>
        <item x="379"/>
        <item x="378"/>
        <item x="377"/>
        <item x="376"/>
        <item x="375"/>
        <item x="374"/>
        <item x="373"/>
        <item x="372"/>
        <item x="371"/>
        <item x="370"/>
        <item x="369"/>
        <item x="368"/>
        <item x="367"/>
        <item x="366"/>
        <item x="365"/>
        <item x="364"/>
        <item x="363"/>
        <item x="362"/>
        <item x="361"/>
        <item x="360"/>
        <item x="359"/>
        <item x="358"/>
        <item x="357"/>
        <item x="356"/>
        <item x="355"/>
        <item x="354"/>
        <item x="353"/>
        <item x="352"/>
        <item x="351"/>
        <item x="350"/>
        <item x="349"/>
        <item x="348"/>
        <item x="347"/>
        <item x="346"/>
        <item x="345"/>
        <item x="344"/>
        <item x="343"/>
        <item x="342"/>
        <item x="341"/>
        <item x="340"/>
        <item x="339"/>
        <item x="338"/>
        <item x="337"/>
        <item x="336"/>
        <item x="335"/>
        <item x="334"/>
        <item x="333"/>
        <item x="332"/>
        <item x="331"/>
        <item x="330"/>
        <item x="329"/>
        <item x="328"/>
        <item x="327"/>
        <item x="326"/>
        <item x="325"/>
        <item x="324"/>
        <item x="323"/>
        <item x="322"/>
        <item x="321"/>
        <item x="320"/>
        <item x="319"/>
        <item x="318"/>
        <item x="317"/>
        <item x="316"/>
        <item x="315"/>
        <item x="314"/>
        <item x="313"/>
        <item x="312"/>
        <item x="311"/>
        <item x="310"/>
        <item x="309"/>
        <item x="308"/>
        <item x="307"/>
        <item x="306"/>
        <item x="305"/>
        <item x="304"/>
        <item x="303"/>
        <item x="302"/>
        <item x="301"/>
        <item x="300"/>
        <item x="299"/>
        <item x="298"/>
        <item x="297"/>
        <item x="296"/>
        <item x="295"/>
        <item x="294"/>
        <item x="293"/>
        <item x="292"/>
        <item x="291"/>
        <item x="290"/>
        <item x="289"/>
        <item x="288"/>
        <item x="287"/>
        <item x="286"/>
        <item x="285"/>
        <item x="284"/>
        <item x="283"/>
        <item x="282"/>
        <item x="281"/>
        <item x="280"/>
        <item x="279"/>
        <item x="278"/>
        <item x="277"/>
        <item x="276"/>
        <item x="275"/>
        <item x="274"/>
        <item x="273"/>
        <item x="272"/>
        <item x="271"/>
        <item x="270"/>
        <item x="269"/>
        <item x="268"/>
        <item x="267"/>
        <item x="266"/>
        <item x="265"/>
        <item x="264"/>
        <item x="263"/>
        <item x="262"/>
        <item x="261"/>
        <item x="260"/>
        <item x="259"/>
        <item x="258"/>
        <item x="257"/>
        <item x="256"/>
        <item x="255"/>
        <item x="254"/>
        <item x="253"/>
        <item x="252"/>
        <item x="251"/>
        <item x="250"/>
        <item x="249"/>
        <item x="248"/>
        <item x="247"/>
        <item x="246"/>
        <item x="245"/>
        <item x="244"/>
        <item x="243"/>
        <item x="242"/>
        <item x="241"/>
        <item x="240"/>
        <item x="239"/>
        <item x="238"/>
        <item x="237"/>
        <item x="236"/>
        <item x="235"/>
        <item x="234"/>
        <item x="233"/>
        <item x="232"/>
        <item x="231"/>
        <item x="230"/>
        <item x="229"/>
        <item x="228"/>
        <item x="227"/>
        <item x="226"/>
        <item x="225"/>
        <item x="224"/>
        <item x="223"/>
        <item x="222"/>
        <item x="221"/>
        <item x="220"/>
        <item x="219"/>
        <item x="218"/>
        <item x="217"/>
        <item x="216"/>
        <item x="215"/>
        <item x="214"/>
        <item x="213"/>
        <item x="212"/>
        <item x="211"/>
        <item x="210"/>
        <item x="209"/>
        <item x="208"/>
        <item x="207"/>
        <item x="206"/>
        <item x="205"/>
        <item x="204"/>
        <item x="203"/>
        <item x="202"/>
        <item x="201"/>
        <item x="200"/>
        <item x="199"/>
        <item x="198"/>
        <item x="197"/>
        <item x="196"/>
        <item x="195"/>
        <item x="194"/>
        <item x="193"/>
        <item x="192"/>
        <item x="191"/>
        <item x="190"/>
        <item x="189"/>
        <item x="188"/>
        <item x="187"/>
        <item x="186"/>
        <item x="185"/>
        <item x="184"/>
        <item x="183"/>
        <item x="182"/>
        <item x="181"/>
        <item x="180"/>
        <item x="179"/>
        <item x="178"/>
        <item x="177"/>
        <item x="176"/>
        <item x="175"/>
        <item x="174"/>
        <item x="173"/>
        <item x="172"/>
        <item x="171"/>
        <item x="170"/>
        <item x="169"/>
        <item x="168"/>
        <item x="167"/>
        <item x="166"/>
        <item x="165"/>
        <item x="164"/>
        <item x="163"/>
        <item x="162"/>
        <item x="161"/>
        <item x="160"/>
        <item x="159"/>
        <item x="158"/>
        <item x="157"/>
        <item x="156"/>
        <item x="155"/>
        <item x="154"/>
        <item x="153"/>
        <item x="152"/>
        <item x="151"/>
        <item x="150"/>
        <item x="149"/>
        <item x="148"/>
        <item x="147"/>
        <item x="146"/>
        <item x="145"/>
        <item x="144"/>
        <item x="143"/>
        <item x="142"/>
        <item x="141"/>
        <item x="140"/>
        <item x="139"/>
        <item x="138"/>
        <item x="137"/>
        <item x="136"/>
        <item x="135"/>
        <item x="134"/>
        <item x="133"/>
        <item x="132"/>
        <item x="131"/>
        <item x="130"/>
        <item x="129"/>
        <item x="128"/>
        <item x="127"/>
        <item x="126"/>
        <item x="125"/>
        <item x="124"/>
        <item x="123"/>
        <item x="122"/>
        <item x="121"/>
        <item x="120"/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m="1" x="684"/>
        <item m="1" x="687"/>
        <item m="1" x="685"/>
        <item x="4"/>
        <item x="3"/>
        <item x="2"/>
        <item x="1"/>
        <item m="1" x="688"/>
        <item m="1" x="686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dataField="1" showAll="0"/>
    <pivotField numFmtId="2" showAll="0"/>
    <pivotField showAll="0"/>
    <pivotField showAll="0"/>
  </pivotFields>
  <rowFields count="1">
    <field x="0"/>
  </rowFields>
  <rowItems count="68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86"/>
    </i>
    <i>
      <x v="187"/>
    </i>
    <i>
      <x v="188"/>
    </i>
    <i>
      <x v="189"/>
    </i>
    <i>
      <x v="190"/>
    </i>
    <i>
      <x v="191"/>
    </i>
    <i>
      <x v="192"/>
    </i>
    <i>
      <x v="193"/>
    </i>
    <i>
      <x v="194"/>
    </i>
    <i>
      <x v="195"/>
    </i>
    <i>
      <x v="196"/>
    </i>
    <i>
      <x v="197"/>
    </i>
    <i>
      <x v="198"/>
    </i>
    <i>
      <x v="199"/>
    </i>
    <i>
      <x v="200"/>
    </i>
    <i>
      <x v="201"/>
    </i>
    <i>
      <x v="202"/>
    </i>
    <i>
      <x v="203"/>
    </i>
    <i>
      <x v="204"/>
    </i>
    <i>
      <x v="205"/>
    </i>
    <i>
      <x v="206"/>
    </i>
    <i>
      <x v="207"/>
    </i>
    <i>
      <x v="208"/>
    </i>
    <i>
      <x v="209"/>
    </i>
    <i>
      <x v="210"/>
    </i>
    <i>
      <x v="211"/>
    </i>
    <i>
      <x v="212"/>
    </i>
    <i>
      <x v="213"/>
    </i>
    <i>
      <x v="214"/>
    </i>
    <i>
      <x v="215"/>
    </i>
    <i>
      <x v="216"/>
    </i>
    <i>
      <x v="217"/>
    </i>
    <i>
      <x v="218"/>
    </i>
    <i>
      <x v="219"/>
    </i>
    <i>
      <x v="220"/>
    </i>
    <i>
      <x v="221"/>
    </i>
    <i>
      <x v="222"/>
    </i>
    <i>
      <x v="223"/>
    </i>
    <i>
      <x v="224"/>
    </i>
    <i>
      <x v="225"/>
    </i>
    <i>
      <x v="226"/>
    </i>
    <i>
      <x v="227"/>
    </i>
    <i>
      <x v="228"/>
    </i>
    <i>
      <x v="229"/>
    </i>
    <i>
      <x v="230"/>
    </i>
    <i>
      <x v="231"/>
    </i>
    <i>
      <x v="232"/>
    </i>
    <i>
      <x v="233"/>
    </i>
    <i>
      <x v="234"/>
    </i>
    <i>
      <x v="235"/>
    </i>
    <i>
      <x v="236"/>
    </i>
    <i>
      <x v="237"/>
    </i>
    <i>
      <x v="238"/>
    </i>
    <i>
      <x v="239"/>
    </i>
    <i>
      <x v="240"/>
    </i>
    <i>
      <x v="241"/>
    </i>
    <i>
      <x v="242"/>
    </i>
    <i>
      <x v="243"/>
    </i>
    <i>
      <x v="244"/>
    </i>
    <i>
      <x v="245"/>
    </i>
    <i>
      <x v="246"/>
    </i>
    <i>
      <x v="247"/>
    </i>
    <i>
      <x v="248"/>
    </i>
    <i>
      <x v="249"/>
    </i>
    <i>
      <x v="250"/>
    </i>
    <i>
      <x v="251"/>
    </i>
    <i>
      <x v="252"/>
    </i>
    <i>
      <x v="253"/>
    </i>
    <i>
      <x v="254"/>
    </i>
    <i>
      <x v="255"/>
    </i>
    <i>
      <x v="256"/>
    </i>
    <i>
      <x v="257"/>
    </i>
    <i>
      <x v="258"/>
    </i>
    <i>
      <x v="259"/>
    </i>
    <i>
      <x v="260"/>
    </i>
    <i>
      <x v="261"/>
    </i>
    <i>
      <x v="262"/>
    </i>
    <i>
      <x v="263"/>
    </i>
    <i>
      <x v="264"/>
    </i>
    <i>
      <x v="265"/>
    </i>
    <i>
      <x v="266"/>
    </i>
    <i>
      <x v="267"/>
    </i>
    <i>
      <x v="268"/>
    </i>
    <i>
      <x v="269"/>
    </i>
    <i>
      <x v="270"/>
    </i>
    <i>
      <x v="271"/>
    </i>
    <i>
      <x v="272"/>
    </i>
    <i>
      <x v="273"/>
    </i>
    <i>
      <x v="274"/>
    </i>
    <i>
      <x v="275"/>
    </i>
    <i>
      <x v="276"/>
    </i>
    <i>
      <x v="277"/>
    </i>
    <i>
      <x v="278"/>
    </i>
    <i>
      <x v="279"/>
    </i>
    <i>
      <x v="280"/>
    </i>
    <i>
      <x v="281"/>
    </i>
    <i>
      <x v="282"/>
    </i>
    <i>
      <x v="283"/>
    </i>
    <i>
      <x v="284"/>
    </i>
    <i>
      <x v="285"/>
    </i>
    <i>
      <x v="286"/>
    </i>
    <i>
      <x v="287"/>
    </i>
    <i>
      <x v="288"/>
    </i>
    <i>
      <x v="289"/>
    </i>
    <i>
      <x v="290"/>
    </i>
    <i>
      <x v="291"/>
    </i>
    <i>
      <x v="292"/>
    </i>
    <i>
      <x v="293"/>
    </i>
    <i>
      <x v="294"/>
    </i>
    <i>
      <x v="295"/>
    </i>
    <i>
      <x v="296"/>
    </i>
    <i>
      <x v="297"/>
    </i>
    <i>
      <x v="298"/>
    </i>
    <i>
      <x v="299"/>
    </i>
    <i>
      <x v="300"/>
    </i>
    <i>
      <x v="301"/>
    </i>
    <i>
      <x v="302"/>
    </i>
    <i>
      <x v="303"/>
    </i>
    <i>
      <x v="304"/>
    </i>
    <i>
      <x v="305"/>
    </i>
    <i>
      <x v="306"/>
    </i>
    <i>
      <x v="307"/>
    </i>
    <i>
      <x v="308"/>
    </i>
    <i>
      <x v="309"/>
    </i>
    <i>
      <x v="310"/>
    </i>
    <i>
      <x v="311"/>
    </i>
    <i>
      <x v="312"/>
    </i>
    <i>
      <x v="313"/>
    </i>
    <i>
      <x v="314"/>
    </i>
    <i>
      <x v="315"/>
    </i>
    <i>
      <x v="316"/>
    </i>
    <i>
      <x v="317"/>
    </i>
    <i>
      <x v="318"/>
    </i>
    <i>
      <x v="319"/>
    </i>
    <i>
      <x v="320"/>
    </i>
    <i>
      <x v="321"/>
    </i>
    <i>
      <x v="322"/>
    </i>
    <i>
      <x v="323"/>
    </i>
    <i>
      <x v="324"/>
    </i>
    <i>
      <x v="325"/>
    </i>
    <i>
      <x v="326"/>
    </i>
    <i>
      <x v="327"/>
    </i>
    <i>
      <x v="328"/>
    </i>
    <i>
      <x v="329"/>
    </i>
    <i>
      <x v="330"/>
    </i>
    <i>
      <x v="331"/>
    </i>
    <i>
      <x v="332"/>
    </i>
    <i>
      <x v="333"/>
    </i>
    <i>
      <x v="334"/>
    </i>
    <i>
      <x v="335"/>
    </i>
    <i>
      <x v="336"/>
    </i>
    <i>
      <x v="337"/>
    </i>
    <i>
      <x v="338"/>
    </i>
    <i>
      <x v="339"/>
    </i>
    <i>
      <x v="340"/>
    </i>
    <i>
      <x v="341"/>
    </i>
    <i>
      <x v="342"/>
    </i>
    <i>
      <x v="343"/>
    </i>
    <i>
      <x v="344"/>
    </i>
    <i>
      <x v="345"/>
    </i>
    <i>
      <x v="346"/>
    </i>
    <i>
      <x v="347"/>
    </i>
    <i>
      <x v="348"/>
    </i>
    <i>
      <x v="349"/>
    </i>
    <i>
      <x v="350"/>
    </i>
    <i>
      <x v="351"/>
    </i>
    <i>
      <x v="352"/>
    </i>
    <i>
      <x v="353"/>
    </i>
    <i>
      <x v="354"/>
    </i>
    <i>
      <x v="355"/>
    </i>
    <i>
      <x v="356"/>
    </i>
    <i>
      <x v="357"/>
    </i>
    <i>
      <x v="358"/>
    </i>
    <i>
      <x v="359"/>
    </i>
    <i>
      <x v="360"/>
    </i>
    <i>
      <x v="361"/>
    </i>
    <i>
      <x v="362"/>
    </i>
    <i>
      <x v="363"/>
    </i>
    <i>
      <x v="364"/>
    </i>
    <i>
      <x v="365"/>
    </i>
    <i>
      <x v="366"/>
    </i>
    <i>
      <x v="367"/>
    </i>
    <i>
      <x v="368"/>
    </i>
    <i>
      <x v="369"/>
    </i>
    <i>
      <x v="370"/>
    </i>
    <i>
      <x v="371"/>
    </i>
    <i>
      <x v="372"/>
    </i>
    <i>
      <x v="373"/>
    </i>
    <i>
      <x v="374"/>
    </i>
    <i>
      <x v="375"/>
    </i>
    <i>
      <x v="376"/>
    </i>
    <i>
      <x v="377"/>
    </i>
    <i>
      <x v="378"/>
    </i>
    <i>
      <x v="379"/>
    </i>
    <i>
      <x v="380"/>
    </i>
    <i>
      <x v="381"/>
    </i>
    <i>
      <x v="382"/>
    </i>
    <i>
      <x v="383"/>
    </i>
    <i>
      <x v="384"/>
    </i>
    <i>
      <x v="385"/>
    </i>
    <i>
      <x v="386"/>
    </i>
    <i>
      <x v="387"/>
    </i>
    <i>
      <x v="388"/>
    </i>
    <i>
      <x v="389"/>
    </i>
    <i>
      <x v="390"/>
    </i>
    <i>
      <x v="391"/>
    </i>
    <i>
      <x v="392"/>
    </i>
    <i>
      <x v="393"/>
    </i>
    <i>
      <x v="394"/>
    </i>
    <i>
      <x v="395"/>
    </i>
    <i>
      <x v="396"/>
    </i>
    <i>
      <x v="397"/>
    </i>
    <i>
      <x v="398"/>
    </i>
    <i>
      <x v="399"/>
    </i>
    <i>
      <x v="400"/>
    </i>
    <i>
      <x v="401"/>
    </i>
    <i>
      <x v="402"/>
    </i>
    <i>
      <x v="403"/>
    </i>
    <i>
      <x v="404"/>
    </i>
    <i>
      <x v="405"/>
    </i>
    <i>
      <x v="406"/>
    </i>
    <i>
      <x v="407"/>
    </i>
    <i>
      <x v="408"/>
    </i>
    <i>
      <x v="409"/>
    </i>
    <i>
      <x v="410"/>
    </i>
    <i>
      <x v="411"/>
    </i>
    <i>
      <x v="412"/>
    </i>
    <i>
      <x v="413"/>
    </i>
    <i>
      <x v="414"/>
    </i>
    <i>
      <x v="415"/>
    </i>
    <i>
      <x v="416"/>
    </i>
    <i>
      <x v="417"/>
    </i>
    <i>
      <x v="418"/>
    </i>
    <i>
      <x v="419"/>
    </i>
    <i>
      <x v="420"/>
    </i>
    <i>
      <x v="421"/>
    </i>
    <i>
      <x v="422"/>
    </i>
    <i>
      <x v="423"/>
    </i>
    <i>
      <x v="424"/>
    </i>
    <i>
      <x v="425"/>
    </i>
    <i>
      <x v="426"/>
    </i>
    <i>
      <x v="427"/>
    </i>
    <i>
      <x v="428"/>
    </i>
    <i>
      <x v="429"/>
    </i>
    <i>
      <x v="430"/>
    </i>
    <i>
      <x v="431"/>
    </i>
    <i>
      <x v="432"/>
    </i>
    <i>
      <x v="433"/>
    </i>
    <i>
      <x v="434"/>
    </i>
    <i>
      <x v="435"/>
    </i>
    <i>
      <x v="436"/>
    </i>
    <i>
      <x v="437"/>
    </i>
    <i>
      <x v="438"/>
    </i>
    <i>
      <x v="439"/>
    </i>
    <i>
      <x v="440"/>
    </i>
    <i>
      <x v="441"/>
    </i>
    <i>
      <x v="442"/>
    </i>
    <i>
      <x v="443"/>
    </i>
    <i>
      <x v="444"/>
    </i>
    <i>
      <x v="445"/>
    </i>
    <i>
      <x v="446"/>
    </i>
    <i>
      <x v="447"/>
    </i>
    <i>
      <x v="448"/>
    </i>
    <i>
      <x v="449"/>
    </i>
    <i>
      <x v="450"/>
    </i>
    <i>
      <x v="451"/>
    </i>
    <i>
      <x v="452"/>
    </i>
    <i>
      <x v="453"/>
    </i>
    <i>
      <x v="454"/>
    </i>
    <i>
      <x v="455"/>
    </i>
    <i>
      <x v="456"/>
    </i>
    <i>
      <x v="457"/>
    </i>
    <i>
      <x v="458"/>
    </i>
    <i>
      <x v="459"/>
    </i>
    <i>
      <x v="460"/>
    </i>
    <i>
      <x v="461"/>
    </i>
    <i>
      <x v="462"/>
    </i>
    <i>
      <x v="463"/>
    </i>
    <i>
      <x v="464"/>
    </i>
    <i>
      <x v="465"/>
    </i>
    <i>
      <x v="466"/>
    </i>
    <i>
      <x v="467"/>
    </i>
    <i>
      <x v="468"/>
    </i>
    <i>
      <x v="469"/>
    </i>
    <i>
      <x v="470"/>
    </i>
    <i>
      <x v="471"/>
    </i>
    <i>
      <x v="472"/>
    </i>
    <i>
      <x v="473"/>
    </i>
    <i>
      <x v="474"/>
    </i>
    <i>
      <x v="475"/>
    </i>
    <i>
      <x v="476"/>
    </i>
    <i>
      <x v="477"/>
    </i>
    <i>
      <x v="478"/>
    </i>
    <i>
      <x v="479"/>
    </i>
    <i>
      <x v="480"/>
    </i>
    <i>
      <x v="481"/>
    </i>
    <i>
      <x v="482"/>
    </i>
    <i>
      <x v="483"/>
    </i>
    <i>
      <x v="484"/>
    </i>
    <i>
      <x v="485"/>
    </i>
    <i>
      <x v="486"/>
    </i>
    <i>
      <x v="487"/>
    </i>
    <i>
      <x v="488"/>
    </i>
    <i>
      <x v="489"/>
    </i>
    <i>
      <x v="490"/>
    </i>
    <i>
      <x v="491"/>
    </i>
    <i>
      <x v="492"/>
    </i>
    <i>
      <x v="493"/>
    </i>
    <i>
      <x v="494"/>
    </i>
    <i>
      <x v="495"/>
    </i>
    <i>
      <x v="496"/>
    </i>
    <i>
      <x v="497"/>
    </i>
    <i>
      <x v="498"/>
    </i>
    <i>
      <x v="499"/>
    </i>
    <i>
      <x v="500"/>
    </i>
    <i>
      <x v="501"/>
    </i>
    <i>
      <x v="502"/>
    </i>
    <i>
      <x v="503"/>
    </i>
    <i>
      <x v="504"/>
    </i>
    <i>
      <x v="505"/>
    </i>
    <i>
      <x v="506"/>
    </i>
    <i>
      <x v="507"/>
    </i>
    <i>
      <x v="508"/>
    </i>
    <i>
      <x v="509"/>
    </i>
    <i>
      <x v="510"/>
    </i>
    <i>
      <x v="511"/>
    </i>
    <i>
      <x v="512"/>
    </i>
    <i>
      <x v="513"/>
    </i>
    <i>
      <x v="514"/>
    </i>
    <i>
      <x v="515"/>
    </i>
    <i>
      <x v="516"/>
    </i>
    <i>
      <x v="517"/>
    </i>
    <i>
      <x v="518"/>
    </i>
    <i>
      <x v="519"/>
    </i>
    <i>
      <x v="520"/>
    </i>
    <i>
      <x v="521"/>
    </i>
    <i>
      <x v="522"/>
    </i>
    <i>
      <x v="523"/>
    </i>
    <i>
      <x v="524"/>
    </i>
    <i>
      <x v="525"/>
    </i>
    <i>
      <x v="526"/>
    </i>
    <i>
      <x v="527"/>
    </i>
    <i>
      <x v="528"/>
    </i>
    <i>
      <x v="529"/>
    </i>
    <i>
      <x v="530"/>
    </i>
    <i>
      <x v="531"/>
    </i>
    <i>
      <x v="532"/>
    </i>
    <i>
      <x v="533"/>
    </i>
    <i>
      <x v="534"/>
    </i>
    <i>
      <x v="535"/>
    </i>
    <i>
      <x v="536"/>
    </i>
    <i>
      <x v="537"/>
    </i>
    <i>
      <x v="538"/>
    </i>
    <i>
      <x v="539"/>
    </i>
    <i>
      <x v="540"/>
    </i>
    <i>
      <x v="541"/>
    </i>
    <i>
      <x v="542"/>
    </i>
    <i>
      <x v="543"/>
    </i>
    <i>
      <x v="544"/>
    </i>
    <i>
      <x v="545"/>
    </i>
    <i>
      <x v="546"/>
    </i>
    <i>
      <x v="547"/>
    </i>
    <i>
      <x v="548"/>
    </i>
    <i>
      <x v="549"/>
    </i>
    <i>
      <x v="550"/>
    </i>
    <i>
      <x v="551"/>
    </i>
    <i>
      <x v="552"/>
    </i>
    <i>
      <x v="553"/>
    </i>
    <i>
      <x v="554"/>
    </i>
    <i>
      <x v="555"/>
    </i>
    <i>
      <x v="556"/>
    </i>
    <i>
      <x v="557"/>
    </i>
    <i>
      <x v="558"/>
    </i>
    <i>
      <x v="559"/>
    </i>
    <i>
      <x v="560"/>
    </i>
    <i>
      <x v="561"/>
    </i>
    <i>
      <x v="562"/>
    </i>
    <i>
      <x v="563"/>
    </i>
    <i>
      <x v="564"/>
    </i>
    <i>
      <x v="565"/>
    </i>
    <i>
      <x v="566"/>
    </i>
    <i>
      <x v="567"/>
    </i>
    <i>
      <x v="568"/>
    </i>
    <i>
      <x v="569"/>
    </i>
    <i>
      <x v="570"/>
    </i>
    <i>
      <x v="571"/>
    </i>
    <i>
      <x v="572"/>
    </i>
    <i>
      <x v="573"/>
    </i>
    <i>
      <x v="574"/>
    </i>
    <i>
      <x v="575"/>
    </i>
    <i>
      <x v="576"/>
    </i>
    <i>
      <x v="577"/>
    </i>
    <i>
      <x v="578"/>
    </i>
    <i>
      <x v="579"/>
    </i>
    <i>
      <x v="580"/>
    </i>
    <i>
      <x v="581"/>
    </i>
    <i>
      <x v="582"/>
    </i>
    <i>
      <x v="583"/>
    </i>
    <i>
      <x v="584"/>
    </i>
    <i>
      <x v="585"/>
    </i>
    <i>
      <x v="586"/>
    </i>
    <i>
      <x v="587"/>
    </i>
    <i>
      <x v="588"/>
    </i>
    <i>
      <x v="589"/>
    </i>
    <i>
      <x v="590"/>
    </i>
    <i>
      <x v="591"/>
    </i>
    <i>
      <x v="592"/>
    </i>
    <i>
      <x v="593"/>
    </i>
    <i>
      <x v="594"/>
    </i>
    <i>
      <x v="595"/>
    </i>
    <i>
      <x v="596"/>
    </i>
    <i>
      <x v="597"/>
    </i>
    <i>
      <x v="598"/>
    </i>
    <i>
      <x v="599"/>
    </i>
    <i>
      <x v="600"/>
    </i>
    <i>
      <x v="601"/>
    </i>
    <i>
      <x v="602"/>
    </i>
    <i>
      <x v="603"/>
    </i>
    <i>
      <x v="604"/>
    </i>
    <i>
      <x v="605"/>
    </i>
    <i>
      <x v="606"/>
    </i>
    <i>
      <x v="607"/>
    </i>
    <i>
      <x v="608"/>
    </i>
    <i>
      <x v="609"/>
    </i>
    <i>
      <x v="610"/>
    </i>
    <i>
      <x v="611"/>
    </i>
    <i>
      <x v="612"/>
    </i>
    <i>
      <x v="613"/>
    </i>
    <i>
      <x v="614"/>
    </i>
    <i>
      <x v="615"/>
    </i>
    <i>
      <x v="616"/>
    </i>
    <i>
      <x v="617"/>
    </i>
    <i>
      <x v="618"/>
    </i>
    <i>
      <x v="619"/>
    </i>
    <i>
      <x v="620"/>
    </i>
    <i>
      <x v="621"/>
    </i>
    <i>
      <x v="622"/>
    </i>
    <i>
      <x v="623"/>
    </i>
    <i>
      <x v="624"/>
    </i>
    <i>
      <x v="625"/>
    </i>
    <i>
      <x v="626"/>
    </i>
    <i>
      <x v="627"/>
    </i>
    <i>
      <x v="628"/>
    </i>
    <i>
      <x v="629"/>
    </i>
    <i>
      <x v="630"/>
    </i>
    <i>
      <x v="631"/>
    </i>
    <i>
      <x v="632"/>
    </i>
    <i>
      <x v="633"/>
    </i>
    <i>
      <x v="634"/>
    </i>
    <i>
      <x v="635"/>
    </i>
    <i>
      <x v="636"/>
    </i>
    <i>
      <x v="637"/>
    </i>
    <i>
      <x v="638"/>
    </i>
    <i>
      <x v="639"/>
    </i>
    <i>
      <x v="640"/>
    </i>
    <i>
      <x v="641"/>
    </i>
    <i>
      <x v="642"/>
    </i>
    <i>
      <x v="643"/>
    </i>
    <i>
      <x v="644"/>
    </i>
    <i>
      <x v="645"/>
    </i>
    <i>
      <x v="646"/>
    </i>
    <i>
      <x v="647"/>
    </i>
    <i>
      <x v="648"/>
    </i>
    <i>
      <x v="649"/>
    </i>
    <i>
      <x v="650"/>
    </i>
    <i>
      <x v="651"/>
    </i>
    <i>
      <x v="652"/>
    </i>
    <i>
      <x v="653"/>
    </i>
    <i>
      <x v="654"/>
    </i>
    <i>
      <x v="655"/>
    </i>
    <i>
      <x v="656"/>
    </i>
    <i>
      <x v="657"/>
    </i>
    <i>
      <x v="658"/>
    </i>
    <i>
      <x v="659"/>
    </i>
    <i>
      <x v="660"/>
    </i>
    <i>
      <x v="661"/>
    </i>
    <i>
      <x v="662"/>
    </i>
    <i>
      <x v="663"/>
    </i>
    <i>
      <x v="664"/>
    </i>
    <i>
      <x v="665"/>
    </i>
    <i>
      <x v="666"/>
    </i>
    <i>
      <x v="667"/>
    </i>
    <i>
      <x v="668"/>
    </i>
    <i>
      <x v="669"/>
    </i>
    <i>
      <x v="670"/>
    </i>
    <i>
      <x v="671"/>
    </i>
    <i>
      <x v="672"/>
    </i>
    <i>
      <x v="673"/>
    </i>
    <i>
      <x v="674"/>
    </i>
    <i>
      <x v="675"/>
    </i>
    <i>
      <x v="676"/>
    </i>
    <i>
      <x v="677"/>
    </i>
    <i>
      <x v="678"/>
    </i>
    <i>
      <x v="682"/>
    </i>
    <i>
      <x v="683"/>
    </i>
    <i>
      <x v="684"/>
    </i>
    <i>
      <x v="685"/>
    </i>
    <i>
      <x v="688"/>
    </i>
  </rowItems>
  <colItems count="1">
    <i/>
  </colItems>
  <dataFields count="1">
    <dataField name="Cheapest price" fld="7" baseField="0" baseItem="0" numFmtId="165"/>
  </dataFields>
  <formats count="1">
    <format dxfId="113">
      <pivotArea outline="0" collapsedLevelsAreSubtotals="1" fieldPosition="0"/>
    </format>
  </formats>
  <chartFormats count="6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7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3" format="7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EB85CEC-C7C4-4E9E-852C-8EC5C258E843}" name="PivotTable2" cacheId="16" applyNumberFormats="0" applyBorderFormats="0" applyFontFormats="0" applyPatternFormats="0" applyAlignmentFormats="0" applyWidthHeightFormats="1" dataCaption="Values" updatedVersion="8" minRefreshableVersion="3" useAutoFormatting="1" rowGrandTotals="0" itemPrintTitles="1" createdVersion="8" indent="0" outline="1" outlineData="1" multipleFieldFilters="0" chartFormat="4">
  <location ref="D3:E687" firstHeaderRow="1" firstDataRow="1" firstDataCol="1"/>
  <pivotFields count="11">
    <pivotField axis="axisRow" numFmtId="14" showAll="0" sortType="ascending">
      <items count="690">
        <item x="683"/>
        <item x="682"/>
        <item x="681"/>
        <item x="680"/>
        <item x="679"/>
        <item x="678"/>
        <item x="677"/>
        <item x="676"/>
        <item x="675"/>
        <item x="674"/>
        <item x="673"/>
        <item x="672"/>
        <item x="671"/>
        <item x="670"/>
        <item x="669"/>
        <item x="668"/>
        <item x="667"/>
        <item x="666"/>
        <item x="665"/>
        <item x="664"/>
        <item x="663"/>
        <item x="662"/>
        <item x="661"/>
        <item x="660"/>
        <item x="659"/>
        <item x="658"/>
        <item x="657"/>
        <item x="656"/>
        <item x="655"/>
        <item x="654"/>
        <item x="653"/>
        <item x="652"/>
        <item x="651"/>
        <item x="650"/>
        <item x="649"/>
        <item x="648"/>
        <item x="647"/>
        <item x="646"/>
        <item x="645"/>
        <item x="644"/>
        <item x="643"/>
        <item x="642"/>
        <item x="641"/>
        <item x="640"/>
        <item x="639"/>
        <item x="638"/>
        <item x="637"/>
        <item x="636"/>
        <item x="635"/>
        <item x="634"/>
        <item x="633"/>
        <item x="632"/>
        <item x="631"/>
        <item x="630"/>
        <item x="629"/>
        <item x="628"/>
        <item x="627"/>
        <item x="626"/>
        <item x="625"/>
        <item x="624"/>
        <item x="623"/>
        <item x="622"/>
        <item x="621"/>
        <item x="620"/>
        <item x="619"/>
        <item x="618"/>
        <item x="617"/>
        <item x="616"/>
        <item x="615"/>
        <item x="614"/>
        <item x="613"/>
        <item x="612"/>
        <item x="611"/>
        <item x="610"/>
        <item x="609"/>
        <item x="608"/>
        <item x="607"/>
        <item x="606"/>
        <item x="605"/>
        <item x="604"/>
        <item x="603"/>
        <item x="602"/>
        <item x="601"/>
        <item x="600"/>
        <item x="599"/>
        <item x="598"/>
        <item x="597"/>
        <item x="596"/>
        <item x="595"/>
        <item x="594"/>
        <item x="593"/>
        <item x="592"/>
        <item x="591"/>
        <item x="590"/>
        <item x="589"/>
        <item x="588"/>
        <item x="587"/>
        <item x="586"/>
        <item x="585"/>
        <item x="584"/>
        <item x="583"/>
        <item x="582"/>
        <item x="581"/>
        <item x="580"/>
        <item x="579"/>
        <item x="578"/>
        <item x="577"/>
        <item x="576"/>
        <item x="575"/>
        <item x="574"/>
        <item x="573"/>
        <item x="572"/>
        <item x="571"/>
        <item x="570"/>
        <item x="569"/>
        <item x="568"/>
        <item x="567"/>
        <item x="566"/>
        <item x="565"/>
        <item x="564"/>
        <item x="563"/>
        <item x="562"/>
        <item x="561"/>
        <item x="560"/>
        <item x="559"/>
        <item x="558"/>
        <item x="557"/>
        <item x="556"/>
        <item x="555"/>
        <item x="554"/>
        <item x="553"/>
        <item x="552"/>
        <item x="551"/>
        <item x="550"/>
        <item x="549"/>
        <item x="548"/>
        <item x="547"/>
        <item x="546"/>
        <item x="545"/>
        <item x="544"/>
        <item x="543"/>
        <item x="542"/>
        <item x="541"/>
        <item x="540"/>
        <item x="539"/>
        <item x="538"/>
        <item x="537"/>
        <item x="536"/>
        <item x="535"/>
        <item x="534"/>
        <item x="533"/>
        <item x="532"/>
        <item x="531"/>
        <item x="530"/>
        <item x="529"/>
        <item x="528"/>
        <item x="527"/>
        <item x="526"/>
        <item x="525"/>
        <item x="524"/>
        <item x="523"/>
        <item x="522"/>
        <item x="521"/>
        <item x="520"/>
        <item x="519"/>
        <item x="518"/>
        <item x="517"/>
        <item x="516"/>
        <item x="515"/>
        <item x="514"/>
        <item x="513"/>
        <item x="512"/>
        <item x="511"/>
        <item x="510"/>
        <item x="509"/>
        <item x="508"/>
        <item x="507"/>
        <item x="506"/>
        <item x="505"/>
        <item x="504"/>
        <item x="503"/>
        <item x="502"/>
        <item x="501"/>
        <item x="500"/>
        <item x="499"/>
        <item x="498"/>
        <item x="497"/>
        <item x="496"/>
        <item x="495"/>
        <item x="494"/>
        <item x="493"/>
        <item x="492"/>
        <item x="491"/>
        <item x="490"/>
        <item x="489"/>
        <item x="488"/>
        <item x="487"/>
        <item x="486"/>
        <item x="485"/>
        <item x="484"/>
        <item x="483"/>
        <item x="482"/>
        <item x="481"/>
        <item x="480"/>
        <item x="479"/>
        <item x="478"/>
        <item x="477"/>
        <item x="476"/>
        <item x="475"/>
        <item x="474"/>
        <item x="473"/>
        <item x="472"/>
        <item x="471"/>
        <item x="470"/>
        <item x="469"/>
        <item x="468"/>
        <item x="467"/>
        <item x="466"/>
        <item x="465"/>
        <item x="464"/>
        <item x="463"/>
        <item x="462"/>
        <item x="461"/>
        <item x="460"/>
        <item x="459"/>
        <item x="458"/>
        <item x="457"/>
        <item x="456"/>
        <item x="455"/>
        <item x="454"/>
        <item x="453"/>
        <item x="452"/>
        <item x="451"/>
        <item x="450"/>
        <item x="449"/>
        <item x="448"/>
        <item x="447"/>
        <item x="446"/>
        <item x="445"/>
        <item x="444"/>
        <item x="443"/>
        <item x="442"/>
        <item x="441"/>
        <item x="440"/>
        <item x="439"/>
        <item x="438"/>
        <item x="437"/>
        <item x="436"/>
        <item x="435"/>
        <item x="434"/>
        <item x="433"/>
        <item x="432"/>
        <item x="431"/>
        <item x="430"/>
        <item x="429"/>
        <item x="428"/>
        <item x="427"/>
        <item x="426"/>
        <item x="425"/>
        <item x="424"/>
        <item x="423"/>
        <item x="422"/>
        <item x="421"/>
        <item x="420"/>
        <item x="419"/>
        <item x="418"/>
        <item x="417"/>
        <item x="416"/>
        <item x="415"/>
        <item x="414"/>
        <item x="413"/>
        <item x="412"/>
        <item x="411"/>
        <item x="410"/>
        <item x="409"/>
        <item x="408"/>
        <item x="407"/>
        <item x="406"/>
        <item x="405"/>
        <item x="404"/>
        <item x="403"/>
        <item x="402"/>
        <item x="401"/>
        <item x="400"/>
        <item x="399"/>
        <item x="398"/>
        <item x="397"/>
        <item x="396"/>
        <item x="395"/>
        <item x="394"/>
        <item x="393"/>
        <item x="392"/>
        <item x="391"/>
        <item x="390"/>
        <item x="389"/>
        <item x="388"/>
        <item x="387"/>
        <item x="386"/>
        <item x="385"/>
        <item x="384"/>
        <item x="383"/>
        <item x="382"/>
        <item x="381"/>
        <item x="380"/>
        <item x="379"/>
        <item x="378"/>
        <item x="377"/>
        <item x="376"/>
        <item x="375"/>
        <item x="374"/>
        <item x="373"/>
        <item x="372"/>
        <item x="371"/>
        <item x="370"/>
        <item x="369"/>
        <item x="368"/>
        <item x="367"/>
        <item x="366"/>
        <item x="365"/>
        <item x="364"/>
        <item x="363"/>
        <item x="362"/>
        <item x="361"/>
        <item x="360"/>
        <item x="359"/>
        <item x="358"/>
        <item x="357"/>
        <item x="356"/>
        <item x="355"/>
        <item x="354"/>
        <item x="353"/>
        <item x="352"/>
        <item x="351"/>
        <item x="350"/>
        <item x="349"/>
        <item x="348"/>
        <item x="347"/>
        <item x="346"/>
        <item x="345"/>
        <item x="344"/>
        <item x="343"/>
        <item x="342"/>
        <item x="341"/>
        <item x="340"/>
        <item x="339"/>
        <item x="338"/>
        <item x="337"/>
        <item x="336"/>
        <item x="335"/>
        <item x="334"/>
        <item x="333"/>
        <item x="332"/>
        <item x="331"/>
        <item x="330"/>
        <item x="329"/>
        <item x="328"/>
        <item x="327"/>
        <item x="326"/>
        <item x="325"/>
        <item x="324"/>
        <item x="323"/>
        <item x="322"/>
        <item x="321"/>
        <item x="320"/>
        <item x="319"/>
        <item x="318"/>
        <item x="317"/>
        <item x="316"/>
        <item x="315"/>
        <item x="314"/>
        <item x="313"/>
        <item x="312"/>
        <item x="311"/>
        <item x="310"/>
        <item x="309"/>
        <item x="308"/>
        <item x="307"/>
        <item x="306"/>
        <item x="305"/>
        <item x="304"/>
        <item x="303"/>
        <item x="302"/>
        <item x="301"/>
        <item x="300"/>
        <item x="299"/>
        <item x="298"/>
        <item x="297"/>
        <item x="296"/>
        <item x="295"/>
        <item x="294"/>
        <item x="293"/>
        <item x="292"/>
        <item x="291"/>
        <item x="290"/>
        <item x="289"/>
        <item x="288"/>
        <item x="287"/>
        <item x="286"/>
        <item x="285"/>
        <item x="284"/>
        <item x="283"/>
        <item x="282"/>
        <item x="281"/>
        <item x="280"/>
        <item x="279"/>
        <item x="278"/>
        <item x="277"/>
        <item x="276"/>
        <item x="275"/>
        <item x="274"/>
        <item x="273"/>
        <item x="272"/>
        <item x="271"/>
        <item x="270"/>
        <item x="269"/>
        <item x="268"/>
        <item x="267"/>
        <item x="266"/>
        <item x="265"/>
        <item x="264"/>
        <item x="263"/>
        <item x="262"/>
        <item x="261"/>
        <item x="260"/>
        <item x="259"/>
        <item x="258"/>
        <item x="257"/>
        <item x="256"/>
        <item x="255"/>
        <item x="254"/>
        <item x="253"/>
        <item x="252"/>
        <item x="251"/>
        <item x="250"/>
        <item x="249"/>
        <item x="248"/>
        <item x="247"/>
        <item x="246"/>
        <item x="245"/>
        <item x="244"/>
        <item x="243"/>
        <item x="242"/>
        <item x="241"/>
        <item x="240"/>
        <item x="239"/>
        <item x="238"/>
        <item x="237"/>
        <item x="236"/>
        <item x="235"/>
        <item x="234"/>
        <item x="233"/>
        <item x="232"/>
        <item x="231"/>
        <item x="230"/>
        <item x="229"/>
        <item x="228"/>
        <item x="227"/>
        <item x="226"/>
        <item x="225"/>
        <item x="224"/>
        <item x="223"/>
        <item x="222"/>
        <item x="221"/>
        <item x="220"/>
        <item x="219"/>
        <item x="218"/>
        <item x="217"/>
        <item x="216"/>
        <item x="215"/>
        <item x="214"/>
        <item x="213"/>
        <item x="212"/>
        <item x="211"/>
        <item x="210"/>
        <item x="209"/>
        <item x="208"/>
        <item x="207"/>
        <item x="206"/>
        <item x="205"/>
        <item x="204"/>
        <item x="203"/>
        <item x="202"/>
        <item x="201"/>
        <item x="200"/>
        <item x="199"/>
        <item x="198"/>
        <item x="197"/>
        <item x="196"/>
        <item x="195"/>
        <item x="194"/>
        <item x="193"/>
        <item x="192"/>
        <item x="191"/>
        <item x="190"/>
        <item x="189"/>
        <item x="188"/>
        <item x="187"/>
        <item x="186"/>
        <item x="185"/>
        <item x="184"/>
        <item x="183"/>
        <item x="182"/>
        <item x="181"/>
        <item x="180"/>
        <item x="179"/>
        <item x="178"/>
        <item x="177"/>
        <item x="176"/>
        <item x="175"/>
        <item x="174"/>
        <item x="173"/>
        <item x="172"/>
        <item x="171"/>
        <item x="170"/>
        <item x="169"/>
        <item x="168"/>
        <item x="167"/>
        <item x="166"/>
        <item x="165"/>
        <item x="164"/>
        <item x="163"/>
        <item x="162"/>
        <item x="161"/>
        <item x="160"/>
        <item x="159"/>
        <item x="158"/>
        <item x="157"/>
        <item x="156"/>
        <item x="155"/>
        <item x="154"/>
        <item x="153"/>
        <item x="152"/>
        <item x="151"/>
        <item x="150"/>
        <item x="149"/>
        <item x="148"/>
        <item x="147"/>
        <item x="146"/>
        <item x="145"/>
        <item x="144"/>
        <item x="143"/>
        <item x="142"/>
        <item x="141"/>
        <item x="140"/>
        <item x="139"/>
        <item x="138"/>
        <item x="137"/>
        <item x="136"/>
        <item x="135"/>
        <item x="134"/>
        <item x="133"/>
        <item x="132"/>
        <item x="131"/>
        <item x="130"/>
        <item x="129"/>
        <item x="128"/>
        <item x="127"/>
        <item x="126"/>
        <item x="125"/>
        <item x="124"/>
        <item x="123"/>
        <item x="122"/>
        <item x="121"/>
        <item x="120"/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m="1" x="684"/>
        <item m="1" x="687"/>
        <item m="1" x="685"/>
        <item x="4"/>
        <item x="3"/>
        <item x="2"/>
        <item x="1"/>
        <item m="1" x="688"/>
        <item m="1" x="686"/>
        <item x="0"/>
        <item t="default"/>
      </items>
    </pivotField>
    <pivotField numFmtId="165" showAll="0"/>
    <pivotField numFmtId="165" showAll="0"/>
    <pivotField numFmtId="165" showAll="0"/>
    <pivotField showAll="0"/>
    <pivotField showAll="0"/>
    <pivotField showAll="0"/>
    <pivotField numFmtId="165" showAll="0"/>
    <pivotField numFmtId="165" showAll="0"/>
    <pivotField dataField="1" showAll="0"/>
    <pivotField numFmtId="44" showAll="0"/>
  </pivotFields>
  <rowFields count="1">
    <field x="0"/>
  </rowFields>
  <rowItems count="68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86"/>
    </i>
    <i>
      <x v="187"/>
    </i>
    <i>
      <x v="188"/>
    </i>
    <i>
      <x v="189"/>
    </i>
    <i>
      <x v="190"/>
    </i>
    <i>
      <x v="191"/>
    </i>
    <i>
      <x v="192"/>
    </i>
    <i>
      <x v="193"/>
    </i>
    <i>
      <x v="194"/>
    </i>
    <i>
      <x v="195"/>
    </i>
    <i>
      <x v="196"/>
    </i>
    <i>
      <x v="197"/>
    </i>
    <i>
      <x v="198"/>
    </i>
    <i>
      <x v="199"/>
    </i>
    <i>
      <x v="200"/>
    </i>
    <i>
      <x v="201"/>
    </i>
    <i>
      <x v="202"/>
    </i>
    <i>
      <x v="203"/>
    </i>
    <i>
      <x v="204"/>
    </i>
    <i>
      <x v="205"/>
    </i>
    <i>
      <x v="206"/>
    </i>
    <i>
      <x v="207"/>
    </i>
    <i>
      <x v="208"/>
    </i>
    <i>
      <x v="209"/>
    </i>
    <i>
      <x v="210"/>
    </i>
    <i>
      <x v="211"/>
    </i>
    <i>
      <x v="212"/>
    </i>
    <i>
      <x v="213"/>
    </i>
    <i>
      <x v="214"/>
    </i>
    <i>
      <x v="215"/>
    </i>
    <i>
      <x v="216"/>
    </i>
    <i>
      <x v="217"/>
    </i>
    <i>
      <x v="218"/>
    </i>
    <i>
      <x v="219"/>
    </i>
    <i>
      <x v="220"/>
    </i>
    <i>
      <x v="221"/>
    </i>
    <i>
      <x v="222"/>
    </i>
    <i>
      <x v="223"/>
    </i>
    <i>
      <x v="224"/>
    </i>
    <i>
      <x v="225"/>
    </i>
    <i>
      <x v="226"/>
    </i>
    <i>
      <x v="227"/>
    </i>
    <i>
      <x v="228"/>
    </i>
    <i>
      <x v="229"/>
    </i>
    <i>
      <x v="230"/>
    </i>
    <i>
      <x v="231"/>
    </i>
    <i>
      <x v="232"/>
    </i>
    <i>
      <x v="233"/>
    </i>
    <i>
      <x v="234"/>
    </i>
    <i>
      <x v="235"/>
    </i>
    <i>
      <x v="236"/>
    </i>
    <i>
      <x v="237"/>
    </i>
    <i>
      <x v="238"/>
    </i>
    <i>
      <x v="239"/>
    </i>
    <i>
      <x v="240"/>
    </i>
    <i>
      <x v="241"/>
    </i>
    <i>
      <x v="242"/>
    </i>
    <i>
      <x v="243"/>
    </i>
    <i>
      <x v="244"/>
    </i>
    <i>
      <x v="245"/>
    </i>
    <i>
      <x v="246"/>
    </i>
    <i>
      <x v="247"/>
    </i>
    <i>
      <x v="248"/>
    </i>
    <i>
      <x v="249"/>
    </i>
    <i>
      <x v="250"/>
    </i>
    <i>
      <x v="251"/>
    </i>
    <i>
      <x v="252"/>
    </i>
    <i>
      <x v="253"/>
    </i>
    <i>
      <x v="254"/>
    </i>
    <i>
      <x v="255"/>
    </i>
    <i>
      <x v="256"/>
    </i>
    <i>
      <x v="257"/>
    </i>
    <i>
      <x v="258"/>
    </i>
    <i>
      <x v="259"/>
    </i>
    <i>
      <x v="260"/>
    </i>
    <i>
      <x v="261"/>
    </i>
    <i>
      <x v="262"/>
    </i>
    <i>
      <x v="263"/>
    </i>
    <i>
      <x v="264"/>
    </i>
    <i>
      <x v="265"/>
    </i>
    <i>
      <x v="266"/>
    </i>
    <i>
      <x v="267"/>
    </i>
    <i>
      <x v="268"/>
    </i>
    <i>
      <x v="269"/>
    </i>
    <i>
      <x v="270"/>
    </i>
    <i>
      <x v="271"/>
    </i>
    <i>
      <x v="272"/>
    </i>
    <i>
      <x v="273"/>
    </i>
    <i>
      <x v="274"/>
    </i>
    <i>
      <x v="275"/>
    </i>
    <i>
      <x v="276"/>
    </i>
    <i>
      <x v="277"/>
    </i>
    <i>
      <x v="278"/>
    </i>
    <i>
      <x v="279"/>
    </i>
    <i>
      <x v="280"/>
    </i>
    <i>
      <x v="281"/>
    </i>
    <i>
      <x v="282"/>
    </i>
    <i>
      <x v="283"/>
    </i>
    <i>
      <x v="284"/>
    </i>
    <i>
      <x v="285"/>
    </i>
    <i>
      <x v="286"/>
    </i>
    <i>
      <x v="287"/>
    </i>
    <i>
      <x v="288"/>
    </i>
    <i>
      <x v="289"/>
    </i>
    <i>
      <x v="290"/>
    </i>
    <i>
      <x v="291"/>
    </i>
    <i>
      <x v="292"/>
    </i>
    <i>
      <x v="293"/>
    </i>
    <i>
      <x v="294"/>
    </i>
    <i>
      <x v="295"/>
    </i>
    <i>
      <x v="296"/>
    </i>
    <i>
      <x v="297"/>
    </i>
    <i>
      <x v="298"/>
    </i>
    <i>
      <x v="299"/>
    </i>
    <i>
      <x v="300"/>
    </i>
    <i>
      <x v="301"/>
    </i>
    <i>
      <x v="302"/>
    </i>
    <i>
      <x v="303"/>
    </i>
    <i>
      <x v="304"/>
    </i>
    <i>
      <x v="305"/>
    </i>
    <i>
      <x v="306"/>
    </i>
    <i>
      <x v="307"/>
    </i>
    <i>
      <x v="308"/>
    </i>
    <i>
      <x v="309"/>
    </i>
    <i>
      <x v="310"/>
    </i>
    <i>
      <x v="311"/>
    </i>
    <i>
      <x v="312"/>
    </i>
    <i>
      <x v="313"/>
    </i>
    <i>
      <x v="314"/>
    </i>
    <i>
      <x v="315"/>
    </i>
    <i>
      <x v="316"/>
    </i>
    <i>
      <x v="317"/>
    </i>
    <i>
      <x v="318"/>
    </i>
    <i>
      <x v="319"/>
    </i>
    <i>
      <x v="320"/>
    </i>
    <i>
      <x v="321"/>
    </i>
    <i>
      <x v="322"/>
    </i>
    <i>
      <x v="323"/>
    </i>
    <i>
      <x v="324"/>
    </i>
    <i>
      <x v="325"/>
    </i>
    <i>
      <x v="326"/>
    </i>
    <i>
      <x v="327"/>
    </i>
    <i>
      <x v="328"/>
    </i>
    <i>
      <x v="329"/>
    </i>
    <i>
      <x v="330"/>
    </i>
    <i>
      <x v="331"/>
    </i>
    <i>
      <x v="332"/>
    </i>
    <i>
      <x v="333"/>
    </i>
    <i>
      <x v="334"/>
    </i>
    <i>
      <x v="335"/>
    </i>
    <i>
      <x v="336"/>
    </i>
    <i>
      <x v="337"/>
    </i>
    <i>
      <x v="338"/>
    </i>
    <i>
      <x v="339"/>
    </i>
    <i>
      <x v="340"/>
    </i>
    <i>
      <x v="341"/>
    </i>
    <i>
      <x v="342"/>
    </i>
    <i>
      <x v="343"/>
    </i>
    <i>
      <x v="344"/>
    </i>
    <i>
      <x v="345"/>
    </i>
    <i>
      <x v="346"/>
    </i>
    <i>
      <x v="347"/>
    </i>
    <i>
      <x v="348"/>
    </i>
    <i>
      <x v="349"/>
    </i>
    <i>
      <x v="350"/>
    </i>
    <i>
      <x v="351"/>
    </i>
    <i>
      <x v="352"/>
    </i>
    <i>
      <x v="353"/>
    </i>
    <i>
      <x v="354"/>
    </i>
    <i>
      <x v="355"/>
    </i>
    <i>
      <x v="356"/>
    </i>
    <i>
      <x v="357"/>
    </i>
    <i>
      <x v="358"/>
    </i>
    <i>
      <x v="359"/>
    </i>
    <i>
      <x v="360"/>
    </i>
    <i>
      <x v="361"/>
    </i>
    <i>
      <x v="362"/>
    </i>
    <i>
      <x v="363"/>
    </i>
    <i>
      <x v="364"/>
    </i>
    <i>
      <x v="365"/>
    </i>
    <i>
      <x v="366"/>
    </i>
    <i>
      <x v="367"/>
    </i>
    <i>
      <x v="368"/>
    </i>
    <i>
      <x v="369"/>
    </i>
    <i>
      <x v="370"/>
    </i>
    <i>
      <x v="371"/>
    </i>
    <i>
      <x v="372"/>
    </i>
    <i>
      <x v="373"/>
    </i>
    <i>
      <x v="374"/>
    </i>
    <i>
      <x v="375"/>
    </i>
    <i>
      <x v="376"/>
    </i>
    <i>
      <x v="377"/>
    </i>
    <i>
      <x v="378"/>
    </i>
    <i>
      <x v="379"/>
    </i>
    <i>
      <x v="380"/>
    </i>
    <i>
      <x v="381"/>
    </i>
    <i>
      <x v="382"/>
    </i>
    <i>
      <x v="383"/>
    </i>
    <i>
      <x v="384"/>
    </i>
    <i>
      <x v="385"/>
    </i>
    <i>
      <x v="386"/>
    </i>
    <i>
      <x v="387"/>
    </i>
    <i>
      <x v="388"/>
    </i>
    <i>
      <x v="389"/>
    </i>
    <i>
      <x v="390"/>
    </i>
    <i>
      <x v="391"/>
    </i>
    <i>
      <x v="392"/>
    </i>
    <i>
      <x v="393"/>
    </i>
    <i>
      <x v="394"/>
    </i>
    <i>
      <x v="395"/>
    </i>
    <i>
      <x v="396"/>
    </i>
    <i>
      <x v="397"/>
    </i>
    <i>
      <x v="398"/>
    </i>
    <i>
      <x v="399"/>
    </i>
    <i>
      <x v="400"/>
    </i>
    <i>
      <x v="401"/>
    </i>
    <i>
      <x v="402"/>
    </i>
    <i>
      <x v="403"/>
    </i>
    <i>
      <x v="404"/>
    </i>
    <i>
      <x v="405"/>
    </i>
    <i>
      <x v="406"/>
    </i>
    <i>
      <x v="407"/>
    </i>
    <i>
      <x v="408"/>
    </i>
    <i>
      <x v="409"/>
    </i>
    <i>
      <x v="410"/>
    </i>
    <i>
      <x v="411"/>
    </i>
    <i>
      <x v="412"/>
    </i>
    <i>
      <x v="413"/>
    </i>
    <i>
      <x v="414"/>
    </i>
    <i>
      <x v="415"/>
    </i>
    <i>
      <x v="416"/>
    </i>
    <i>
      <x v="417"/>
    </i>
    <i>
      <x v="418"/>
    </i>
    <i>
      <x v="419"/>
    </i>
    <i>
      <x v="420"/>
    </i>
    <i>
      <x v="421"/>
    </i>
    <i>
      <x v="422"/>
    </i>
    <i>
      <x v="423"/>
    </i>
    <i>
      <x v="424"/>
    </i>
    <i>
      <x v="425"/>
    </i>
    <i>
      <x v="426"/>
    </i>
    <i>
      <x v="427"/>
    </i>
    <i>
      <x v="428"/>
    </i>
    <i>
      <x v="429"/>
    </i>
    <i>
      <x v="430"/>
    </i>
    <i>
      <x v="431"/>
    </i>
    <i>
      <x v="432"/>
    </i>
    <i>
      <x v="433"/>
    </i>
    <i>
      <x v="434"/>
    </i>
    <i>
      <x v="435"/>
    </i>
    <i>
      <x v="436"/>
    </i>
    <i>
      <x v="437"/>
    </i>
    <i>
      <x v="438"/>
    </i>
    <i>
      <x v="439"/>
    </i>
    <i>
      <x v="440"/>
    </i>
    <i>
      <x v="441"/>
    </i>
    <i>
      <x v="442"/>
    </i>
    <i>
      <x v="443"/>
    </i>
    <i>
      <x v="444"/>
    </i>
    <i>
      <x v="445"/>
    </i>
    <i>
      <x v="446"/>
    </i>
    <i>
      <x v="447"/>
    </i>
    <i>
      <x v="448"/>
    </i>
    <i>
      <x v="449"/>
    </i>
    <i>
      <x v="450"/>
    </i>
    <i>
      <x v="451"/>
    </i>
    <i>
      <x v="452"/>
    </i>
    <i>
      <x v="453"/>
    </i>
    <i>
      <x v="454"/>
    </i>
    <i>
      <x v="455"/>
    </i>
    <i>
      <x v="456"/>
    </i>
    <i>
      <x v="457"/>
    </i>
    <i>
      <x v="458"/>
    </i>
    <i>
      <x v="459"/>
    </i>
    <i>
      <x v="460"/>
    </i>
    <i>
      <x v="461"/>
    </i>
    <i>
      <x v="462"/>
    </i>
    <i>
      <x v="463"/>
    </i>
    <i>
      <x v="464"/>
    </i>
    <i>
      <x v="465"/>
    </i>
    <i>
      <x v="466"/>
    </i>
    <i>
      <x v="467"/>
    </i>
    <i>
      <x v="468"/>
    </i>
    <i>
      <x v="469"/>
    </i>
    <i>
      <x v="470"/>
    </i>
    <i>
      <x v="471"/>
    </i>
    <i>
      <x v="472"/>
    </i>
    <i>
      <x v="473"/>
    </i>
    <i>
      <x v="474"/>
    </i>
    <i>
      <x v="475"/>
    </i>
    <i>
      <x v="476"/>
    </i>
    <i>
      <x v="477"/>
    </i>
    <i>
      <x v="478"/>
    </i>
    <i>
      <x v="479"/>
    </i>
    <i>
      <x v="480"/>
    </i>
    <i>
      <x v="481"/>
    </i>
    <i>
      <x v="482"/>
    </i>
    <i>
      <x v="483"/>
    </i>
    <i>
      <x v="484"/>
    </i>
    <i>
      <x v="485"/>
    </i>
    <i>
      <x v="486"/>
    </i>
    <i>
      <x v="487"/>
    </i>
    <i>
      <x v="488"/>
    </i>
    <i>
      <x v="489"/>
    </i>
    <i>
      <x v="490"/>
    </i>
    <i>
      <x v="491"/>
    </i>
    <i>
      <x v="492"/>
    </i>
    <i>
      <x v="493"/>
    </i>
    <i>
      <x v="494"/>
    </i>
    <i>
      <x v="495"/>
    </i>
    <i>
      <x v="496"/>
    </i>
    <i>
      <x v="497"/>
    </i>
    <i>
      <x v="498"/>
    </i>
    <i>
      <x v="499"/>
    </i>
    <i>
      <x v="500"/>
    </i>
    <i>
      <x v="501"/>
    </i>
    <i>
      <x v="502"/>
    </i>
    <i>
      <x v="503"/>
    </i>
    <i>
      <x v="504"/>
    </i>
    <i>
      <x v="505"/>
    </i>
    <i>
      <x v="506"/>
    </i>
    <i>
      <x v="507"/>
    </i>
    <i>
      <x v="508"/>
    </i>
    <i>
      <x v="509"/>
    </i>
    <i>
      <x v="510"/>
    </i>
    <i>
      <x v="511"/>
    </i>
    <i>
      <x v="512"/>
    </i>
    <i>
      <x v="513"/>
    </i>
    <i>
      <x v="514"/>
    </i>
    <i>
      <x v="515"/>
    </i>
    <i>
      <x v="516"/>
    </i>
    <i>
      <x v="517"/>
    </i>
    <i>
      <x v="518"/>
    </i>
    <i>
      <x v="519"/>
    </i>
    <i>
      <x v="520"/>
    </i>
    <i>
      <x v="521"/>
    </i>
    <i>
      <x v="522"/>
    </i>
    <i>
      <x v="523"/>
    </i>
    <i>
      <x v="524"/>
    </i>
    <i>
      <x v="525"/>
    </i>
    <i>
      <x v="526"/>
    </i>
    <i>
      <x v="527"/>
    </i>
    <i>
      <x v="528"/>
    </i>
    <i>
      <x v="529"/>
    </i>
    <i>
      <x v="530"/>
    </i>
    <i>
      <x v="531"/>
    </i>
    <i>
      <x v="532"/>
    </i>
    <i>
      <x v="533"/>
    </i>
    <i>
      <x v="534"/>
    </i>
    <i>
      <x v="535"/>
    </i>
    <i>
      <x v="536"/>
    </i>
    <i>
      <x v="537"/>
    </i>
    <i>
      <x v="538"/>
    </i>
    <i>
      <x v="539"/>
    </i>
    <i>
      <x v="540"/>
    </i>
    <i>
      <x v="541"/>
    </i>
    <i>
      <x v="542"/>
    </i>
    <i>
      <x v="543"/>
    </i>
    <i>
      <x v="544"/>
    </i>
    <i>
      <x v="545"/>
    </i>
    <i>
      <x v="546"/>
    </i>
    <i>
      <x v="547"/>
    </i>
    <i>
      <x v="548"/>
    </i>
    <i>
      <x v="549"/>
    </i>
    <i>
      <x v="550"/>
    </i>
    <i>
      <x v="551"/>
    </i>
    <i>
      <x v="552"/>
    </i>
    <i>
      <x v="553"/>
    </i>
    <i>
      <x v="554"/>
    </i>
    <i>
      <x v="555"/>
    </i>
    <i>
      <x v="556"/>
    </i>
    <i>
      <x v="557"/>
    </i>
    <i>
      <x v="558"/>
    </i>
    <i>
      <x v="559"/>
    </i>
    <i>
      <x v="560"/>
    </i>
    <i>
      <x v="561"/>
    </i>
    <i>
      <x v="562"/>
    </i>
    <i>
      <x v="563"/>
    </i>
    <i>
      <x v="564"/>
    </i>
    <i>
      <x v="565"/>
    </i>
    <i>
      <x v="566"/>
    </i>
    <i>
      <x v="567"/>
    </i>
    <i>
      <x v="568"/>
    </i>
    <i>
      <x v="569"/>
    </i>
    <i>
      <x v="570"/>
    </i>
    <i>
      <x v="571"/>
    </i>
    <i>
      <x v="572"/>
    </i>
    <i>
      <x v="573"/>
    </i>
    <i>
      <x v="574"/>
    </i>
    <i>
      <x v="575"/>
    </i>
    <i>
      <x v="576"/>
    </i>
    <i>
      <x v="577"/>
    </i>
    <i>
      <x v="578"/>
    </i>
    <i>
      <x v="579"/>
    </i>
    <i>
      <x v="580"/>
    </i>
    <i>
      <x v="581"/>
    </i>
    <i>
      <x v="582"/>
    </i>
    <i>
      <x v="583"/>
    </i>
    <i>
      <x v="584"/>
    </i>
    <i>
      <x v="585"/>
    </i>
    <i>
      <x v="586"/>
    </i>
    <i>
      <x v="587"/>
    </i>
    <i>
      <x v="588"/>
    </i>
    <i>
      <x v="589"/>
    </i>
    <i>
      <x v="590"/>
    </i>
    <i>
      <x v="591"/>
    </i>
    <i>
      <x v="592"/>
    </i>
    <i>
      <x v="593"/>
    </i>
    <i>
      <x v="594"/>
    </i>
    <i>
      <x v="595"/>
    </i>
    <i>
      <x v="596"/>
    </i>
    <i>
      <x v="597"/>
    </i>
    <i>
      <x v="598"/>
    </i>
    <i>
      <x v="599"/>
    </i>
    <i>
      <x v="600"/>
    </i>
    <i>
      <x v="601"/>
    </i>
    <i>
      <x v="602"/>
    </i>
    <i>
      <x v="603"/>
    </i>
    <i>
      <x v="604"/>
    </i>
    <i>
      <x v="605"/>
    </i>
    <i>
      <x v="606"/>
    </i>
    <i>
      <x v="607"/>
    </i>
    <i>
      <x v="608"/>
    </i>
    <i>
      <x v="609"/>
    </i>
    <i>
      <x v="610"/>
    </i>
    <i>
      <x v="611"/>
    </i>
    <i>
      <x v="612"/>
    </i>
    <i>
      <x v="613"/>
    </i>
    <i>
      <x v="614"/>
    </i>
    <i>
      <x v="615"/>
    </i>
    <i>
      <x v="616"/>
    </i>
    <i>
      <x v="617"/>
    </i>
    <i>
      <x v="618"/>
    </i>
    <i>
      <x v="619"/>
    </i>
    <i>
      <x v="620"/>
    </i>
    <i>
      <x v="621"/>
    </i>
    <i>
      <x v="622"/>
    </i>
    <i>
      <x v="623"/>
    </i>
    <i>
      <x v="624"/>
    </i>
    <i>
      <x v="625"/>
    </i>
    <i>
      <x v="626"/>
    </i>
    <i>
      <x v="627"/>
    </i>
    <i>
      <x v="628"/>
    </i>
    <i>
      <x v="629"/>
    </i>
    <i>
      <x v="630"/>
    </i>
    <i>
      <x v="631"/>
    </i>
    <i>
      <x v="632"/>
    </i>
    <i>
      <x v="633"/>
    </i>
    <i>
      <x v="634"/>
    </i>
    <i>
      <x v="635"/>
    </i>
    <i>
      <x v="636"/>
    </i>
    <i>
      <x v="637"/>
    </i>
    <i>
      <x v="638"/>
    </i>
    <i>
      <x v="639"/>
    </i>
    <i>
      <x v="640"/>
    </i>
    <i>
      <x v="641"/>
    </i>
    <i>
      <x v="642"/>
    </i>
    <i>
      <x v="643"/>
    </i>
    <i>
      <x v="644"/>
    </i>
    <i>
      <x v="645"/>
    </i>
    <i>
      <x v="646"/>
    </i>
    <i>
      <x v="647"/>
    </i>
    <i>
      <x v="648"/>
    </i>
    <i>
      <x v="649"/>
    </i>
    <i>
      <x v="650"/>
    </i>
    <i>
      <x v="651"/>
    </i>
    <i>
      <x v="652"/>
    </i>
    <i>
      <x v="653"/>
    </i>
    <i>
      <x v="654"/>
    </i>
    <i>
      <x v="655"/>
    </i>
    <i>
      <x v="656"/>
    </i>
    <i>
      <x v="657"/>
    </i>
    <i>
      <x v="658"/>
    </i>
    <i>
      <x v="659"/>
    </i>
    <i>
      <x v="660"/>
    </i>
    <i>
      <x v="661"/>
    </i>
    <i>
      <x v="662"/>
    </i>
    <i>
      <x v="663"/>
    </i>
    <i>
      <x v="664"/>
    </i>
    <i>
      <x v="665"/>
    </i>
    <i>
      <x v="666"/>
    </i>
    <i>
      <x v="667"/>
    </i>
    <i>
      <x v="668"/>
    </i>
    <i>
      <x v="669"/>
    </i>
    <i>
      <x v="670"/>
    </i>
    <i>
      <x v="671"/>
    </i>
    <i>
      <x v="672"/>
    </i>
    <i>
      <x v="673"/>
    </i>
    <i>
      <x v="674"/>
    </i>
    <i>
      <x v="675"/>
    </i>
    <i>
      <x v="676"/>
    </i>
    <i>
      <x v="677"/>
    </i>
    <i>
      <x v="678"/>
    </i>
    <i>
      <x v="682"/>
    </i>
    <i>
      <x v="683"/>
    </i>
    <i>
      <x v="684"/>
    </i>
    <i>
      <x v="685"/>
    </i>
    <i>
      <x v="688"/>
    </i>
  </rowItems>
  <colItems count="1">
    <i/>
  </colItems>
  <dataFields count="1">
    <dataField name="Sum of GasP" fld="9" baseField="0" baseItem="0" numFmtId="165"/>
  </dataFields>
  <formats count="2">
    <format dxfId="115">
      <pivotArea outline="0" collapsedLevelsAreSubtotals="1" fieldPosition="0"/>
    </format>
    <format dxfId="114">
      <pivotArea dataOnly="0" labelOnly="1" outline="0" axis="axisValues" fieldPosition="0"/>
    </format>
  </formats>
  <chartFormats count="1">
    <chartFormat chart="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870A2B0-89D4-4821-B5F7-AE7B4740C673}" name="GasolineFinalProject" cacheId="16" applyNumberFormats="0" applyBorderFormats="0" applyFontFormats="0" applyPatternFormats="0" applyAlignmentFormats="0" applyWidthHeightFormats="1" dataCaption="Values" updatedVersion="8" minRefreshableVersion="5" useAutoFormatting="1" rowGrandTotals="0" itemPrintTitles="1" createdVersion="8" indent="0" outline="1" outlineData="1" multipleFieldFilters="0" chartFormat="12">
  <location ref="A3:B687" firstHeaderRow="1" firstDataRow="1" firstDataCol="1"/>
  <pivotFields count="11">
    <pivotField axis="axisRow" numFmtId="14" showAll="0" sortType="ascending">
      <items count="690">
        <item x="683"/>
        <item x="682"/>
        <item x="681"/>
        <item x="680"/>
        <item x="679"/>
        <item x="678"/>
        <item x="677"/>
        <item x="676"/>
        <item x="675"/>
        <item x="674"/>
        <item x="673"/>
        <item x="672"/>
        <item x="671"/>
        <item x="670"/>
        <item x="669"/>
        <item x="668"/>
        <item x="667"/>
        <item x="666"/>
        <item x="665"/>
        <item x="664"/>
        <item x="663"/>
        <item x="662"/>
        <item x="661"/>
        <item x="660"/>
        <item x="659"/>
        <item x="658"/>
        <item x="657"/>
        <item x="656"/>
        <item x="655"/>
        <item x="654"/>
        <item x="653"/>
        <item x="652"/>
        <item x="651"/>
        <item x="650"/>
        <item x="649"/>
        <item x="648"/>
        <item x="647"/>
        <item x="646"/>
        <item x="645"/>
        <item x="644"/>
        <item x="643"/>
        <item x="642"/>
        <item x="641"/>
        <item x="640"/>
        <item x="639"/>
        <item x="638"/>
        <item x="637"/>
        <item x="636"/>
        <item x="635"/>
        <item x="634"/>
        <item x="633"/>
        <item x="632"/>
        <item x="631"/>
        <item x="630"/>
        <item x="629"/>
        <item x="628"/>
        <item x="627"/>
        <item x="626"/>
        <item x="625"/>
        <item x="624"/>
        <item x="623"/>
        <item x="622"/>
        <item x="621"/>
        <item x="620"/>
        <item x="619"/>
        <item x="618"/>
        <item x="617"/>
        <item x="616"/>
        <item x="615"/>
        <item x="614"/>
        <item x="613"/>
        <item x="612"/>
        <item x="611"/>
        <item x="610"/>
        <item x="609"/>
        <item x="608"/>
        <item x="607"/>
        <item x="606"/>
        <item x="605"/>
        <item x="604"/>
        <item x="603"/>
        <item x="602"/>
        <item x="601"/>
        <item x="600"/>
        <item x="599"/>
        <item x="598"/>
        <item x="597"/>
        <item x="596"/>
        <item x="595"/>
        <item x="594"/>
        <item x="593"/>
        <item x="592"/>
        <item x="591"/>
        <item x="590"/>
        <item x="589"/>
        <item x="588"/>
        <item x="587"/>
        <item x="586"/>
        <item x="585"/>
        <item x="584"/>
        <item x="583"/>
        <item x="582"/>
        <item x="581"/>
        <item x="580"/>
        <item x="579"/>
        <item x="578"/>
        <item x="577"/>
        <item x="576"/>
        <item x="575"/>
        <item x="574"/>
        <item x="573"/>
        <item x="572"/>
        <item x="571"/>
        <item x="570"/>
        <item x="569"/>
        <item x="568"/>
        <item x="567"/>
        <item x="566"/>
        <item x="565"/>
        <item x="564"/>
        <item x="563"/>
        <item x="562"/>
        <item x="561"/>
        <item x="560"/>
        <item x="559"/>
        <item x="558"/>
        <item x="557"/>
        <item x="556"/>
        <item x="555"/>
        <item x="554"/>
        <item x="553"/>
        <item x="552"/>
        <item x="551"/>
        <item x="550"/>
        <item x="549"/>
        <item x="548"/>
        <item x="547"/>
        <item x="546"/>
        <item x="545"/>
        <item x="544"/>
        <item x="543"/>
        <item x="542"/>
        <item x="541"/>
        <item x="540"/>
        <item x="539"/>
        <item x="538"/>
        <item x="537"/>
        <item x="536"/>
        <item x="535"/>
        <item x="534"/>
        <item x="533"/>
        <item x="532"/>
        <item x="531"/>
        <item x="530"/>
        <item x="529"/>
        <item x="528"/>
        <item x="527"/>
        <item x="526"/>
        <item x="525"/>
        <item x="524"/>
        <item x="523"/>
        <item x="522"/>
        <item x="521"/>
        <item x="520"/>
        <item x="519"/>
        <item x="518"/>
        <item x="517"/>
        <item x="516"/>
        <item x="515"/>
        <item x="514"/>
        <item x="513"/>
        <item x="512"/>
        <item x="511"/>
        <item x="510"/>
        <item x="509"/>
        <item x="508"/>
        <item x="507"/>
        <item x="506"/>
        <item x="505"/>
        <item x="504"/>
        <item x="503"/>
        <item x="502"/>
        <item x="501"/>
        <item x="500"/>
        <item x="499"/>
        <item x="498"/>
        <item x="497"/>
        <item x="496"/>
        <item x="495"/>
        <item x="494"/>
        <item x="493"/>
        <item x="492"/>
        <item x="491"/>
        <item x="490"/>
        <item x="489"/>
        <item x="488"/>
        <item x="487"/>
        <item x="486"/>
        <item x="485"/>
        <item x="484"/>
        <item x="483"/>
        <item x="482"/>
        <item x="481"/>
        <item x="480"/>
        <item x="479"/>
        <item x="478"/>
        <item x="477"/>
        <item x="476"/>
        <item x="475"/>
        <item x="474"/>
        <item x="473"/>
        <item x="472"/>
        <item x="471"/>
        <item x="470"/>
        <item x="469"/>
        <item x="468"/>
        <item x="467"/>
        <item x="466"/>
        <item x="465"/>
        <item x="464"/>
        <item x="463"/>
        <item x="462"/>
        <item x="461"/>
        <item x="460"/>
        <item x="459"/>
        <item x="458"/>
        <item x="457"/>
        <item x="456"/>
        <item x="455"/>
        <item x="454"/>
        <item x="453"/>
        <item x="452"/>
        <item x="451"/>
        <item x="450"/>
        <item x="449"/>
        <item x="448"/>
        <item x="447"/>
        <item x="446"/>
        <item x="445"/>
        <item x="444"/>
        <item x="443"/>
        <item x="442"/>
        <item x="441"/>
        <item x="440"/>
        <item x="439"/>
        <item x="438"/>
        <item x="437"/>
        <item x="436"/>
        <item x="435"/>
        <item x="434"/>
        <item x="433"/>
        <item x="432"/>
        <item x="431"/>
        <item x="430"/>
        <item x="429"/>
        <item x="428"/>
        <item x="427"/>
        <item x="426"/>
        <item x="425"/>
        <item x="424"/>
        <item x="423"/>
        <item x="422"/>
        <item x="421"/>
        <item x="420"/>
        <item x="419"/>
        <item x="418"/>
        <item x="417"/>
        <item x="416"/>
        <item x="415"/>
        <item x="414"/>
        <item x="413"/>
        <item x="412"/>
        <item x="411"/>
        <item x="410"/>
        <item x="409"/>
        <item x="408"/>
        <item x="407"/>
        <item x="406"/>
        <item x="405"/>
        <item x="404"/>
        <item x="403"/>
        <item x="402"/>
        <item x="401"/>
        <item x="400"/>
        <item x="399"/>
        <item x="398"/>
        <item x="397"/>
        <item x="396"/>
        <item x="395"/>
        <item x="394"/>
        <item x="393"/>
        <item x="392"/>
        <item x="391"/>
        <item x="390"/>
        <item x="389"/>
        <item x="388"/>
        <item x="387"/>
        <item x="386"/>
        <item x="385"/>
        <item x="384"/>
        <item x="383"/>
        <item x="382"/>
        <item x="381"/>
        <item x="380"/>
        <item x="379"/>
        <item x="378"/>
        <item x="377"/>
        <item x="376"/>
        <item x="375"/>
        <item x="374"/>
        <item x="373"/>
        <item x="372"/>
        <item x="371"/>
        <item x="370"/>
        <item x="369"/>
        <item x="368"/>
        <item x="367"/>
        <item x="366"/>
        <item x="365"/>
        <item x="364"/>
        <item x="363"/>
        <item x="362"/>
        <item x="361"/>
        <item x="360"/>
        <item x="359"/>
        <item x="358"/>
        <item x="357"/>
        <item x="356"/>
        <item x="355"/>
        <item x="354"/>
        <item x="353"/>
        <item x="352"/>
        <item x="351"/>
        <item x="350"/>
        <item x="349"/>
        <item x="348"/>
        <item x="347"/>
        <item x="346"/>
        <item x="345"/>
        <item x="344"/>
        <item x="343"/>
        <item x="342"/>
        <item x="341"/>
        <item x="340"/>
        <item x="339"/>
        <item x="338"/>
        <item x="337"/>
        <item x="336"/>
        <item x="335"/>
        <item x="334"/>
        <item x="333"/>
        <item x="332"/>
        <item x="331"/>
        <item x="330"/>
        <item x="329"/>
        <item x="328"/>
        <item x="327"/>
        <item x="326"/>
        <item x="325"/>
        <item x="324"/>
        <item x="323"/>
        <item x="322"/>
        <item x="321"/>
        <item x="320"/>
        <item x="319"/>
        <item x="318"/>
        <item x="317"/>
        <item x="316"/>
        <item x="315"/>
        <item x="314"/>
        <item x="313"/>
        <item x="312"/>
        <item x="311"/>
        <item x="310"/>
        <item x="309"/>
        <item x="308"/>
        <item x="307"/>
        <item x="306"/>
        <item x="305"/>
        <item x="304"/>
        <item x="303"/>
        <item x="302"/>
        <item x="301"/>
        <item x="300"/>
        <item x="299"/>
        <item x="298"/>
        <item x="297"/>
        <item x="296"/>
        <item x="295"/>
        <item x="294"/>
        <item x="293"/>
        <item x="292"/>
        <item x="291"/>
        <item x="290"/>
        <item x="289"/>
        <item x="288"/>
        <item x="287"/>
        <item x="286"/>
        <item x="285"/>
        <item x="284"/>
        <item x="283"/>
        <item x="282"/>
        <item x="281"/>
        <item x="280"/>
        <item x="279"/>
        <item x="278"/>
        <item x="277"/>
        <item x="276"/>
        <item x="275"/>
        <item x="274"/>
        <item x="273"/>
        <item x="272"/>
        <item x="271"/>
        <item x="270"/>
        <item x="269"/>
        <item x="268"/>
        <item x="267"/>
        <item x="266"/>
        <item x="265"/>
        <item x="264"/>
        <item x="263"/>
        <item x="262"/>
        <item x="261"/>
        <item x="260"/>
        <item x="259"/>
        <item x="258"/>
        <item x="257"/>
        <item x="256"/>
        <item x="255"/>
        <item x="254"/>
        <item x="253"/>
        <item x="252"/>
        <item x="251"/>
        <item x="250"/>
        <item x="249"/>
        <item x="248"/>
        <item x="247"/>
        <item x="246"/>
        <item x="245"/>
        <item x="244"/>
        <item x="243"/>
        <item x="242"/>
        <item x="241"/>
        <item x="240"/>
        <item x="239"/>
        <item x="238"/>
        <item x="237"/>
        <item x="236"/>
        <item x="235"/>
        <item x="234"/>
        <item x="233"/>
        <item x="232"/>
        <item x="231"/>
        <item x="230"/>
        <item x="229"/>
        <item x="228"/>
        <item x="227"/>
        <item x="226"/>
        <item x="225"/>
        <item x="224"/>
        <item x="223"/>
        <item x="222"/>
        <item x="221"/>
        <item x="220"/>
        <item x="219"/>
        <item x="218"/>
        <item x="217"/>
        <item x="216"/>
        <item x="215"/>
        <item x="214"/>
        <item x="213"/>
        <item x="212"/>
        <item x="211"/>
        <item x="210"/>
        <item x="209"/>
        <item x="208"/>
        <item x="207"/>
        <item x="206"/>
        <item x="205"/>
        <item x="204"/>
        <item x="203"/>
        <item x="202"/>
        <item x="201"/>
        <item x="200"/>
        <item x="199"/>
        <item x="198"/>
        <item x="197"/>
        <item x="196"/>
        <item x="195"/>
        <item x="194"/>
        <item x="193"/>
        <item x="192"/>
        <item x="191"/>
        <item x="190"/>
        <item x="189"/>
        <item x="188"/>
        <item x="187"/>
        <item x="186"/>
        <item x="185"/>
        <item x="184"/>
        <item x="183"/>
        <item x="182"/>
        <item x="181"/>
        <item x="180"/>
        <item x="179"/>
        <item x="178"/>
        <item x="177"/>
        <item x="176"/>
        <item x="175"/>
        <item x="174"/>
        <item x="173"/>
        <item x="172"/>
        <item x="171"/>
        <item x="170"/>
        <item x="169"/>
        <item x="168"/>
        <item x="167"/>
        <item x="166"/>
        <item x="165"/>
        <item x="164"/>
        <item x="163"/>
        <item x="162"/>
        <item x="161"/>
        <item x="160"/>
        <item x="159"/>
        <item x="158"/>
        <item x="157"/>
        <item x="156"/>
        <item x="155"/>
        <item x="154"/>
        <item x="153"/>
        <item x="152"/>
        <item x="151"/>
        <item x="150"/>
        <item x="149"/>
        <item x="148"/>
        <item x="147"/>
        <item x="146"/>
        <item x="145"/>
        <item x="144"/>
        <item x="143"/>
        <item x="142"/>
        <item x="141"/>
        <item x="140"/>
        <item x="139"/>
        <item x="138"/>
        <item x="137"/>
        <item x="136"/>
        <item x="135"/>
        <item x="134"/>
        <item x="133"/>
        <item x="132"/>
        <item x="131"/>
        <item x="130"/>
        <item x="129"/>
        <item x="128"/>
        <item x="127"/>
        <item x="126"/>
        <item x="125"/>
        <item x="124"/>
        <item x="123"/>
        <item x="122"/>
        <item x="121"/>
        <item x="120"/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m="1" x="684"/>
        <item m="1" x="687"/>
        <item m="1" x="685"/>
        <item x="4"/>
        <item x="3"/>
        <item x="2"/>
        <item x="1"/>
        <item m="1" x="688"/>
        <item m="1" x="686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dataField="1" numFmtId="2" showAll="0"/>
    <pivotField showAll="0"/>
    <pivotField showAll="0"/>
  </pivotFields>
  <rowFields count="1">
    <field x="0"/>
  </rowFields>
  <rowItems count="68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86"/>
    </i>
    <i>
      <x v="187"/>
    </i>
    <i>
      <x v="188"/>
    </i>
    <i>
      <x v="189"/>
    </i>
    <i>
      <x v="190"/>
    </i>
    <i>
      <x v="191"/>
    </i>
    <i>
      <x v="192"/>
    </i>
    <i>
      <x v="193"/>
    </i>
    <i>
      <x v="194"/>
    </i>
    <i>
      <x v="195"/>
    </i>
    <i>
      <x v="196"/>
    </i>
    <i>
      <x v="197"/>
    </i>
    <i>
      <x v="198"/>
    </i>
    <i>
      <x v="199"/>
    </i>
    <i>
      <x v="200"/>
    </i>
    <i>
      <x v="201"/>
    </i>
    <i>
      <x v="202"/>
    </i>
    <i>
      <x v="203"/>
    </i>
    <i>
      <x v="204"/>
    </i>
    <i>
      <x v="205"/>
    </i>
    <i>
      <x v="206"/>
    </i>
    <i>
      <x v="207"/>
    </i>
    <i>
      <x v="208"/>
    </i>
    <i>
      <x v="209"/>
    </i>
    <i>
      <x v="210"/>
    </i>
    <i>
      <x v="211"/>
    </i>
    <i>
      <x v="212"/>
    </i>
    <i>
      <x v="213"/>
    </i>
    <i>
      <x v="214"/>
    </i>
    <i>
      <x v="215"/>
    </i>
    <i>
      <x v="216"/>
    </i>
    <i>
      <x v="217"/>
    </i>
    <i>
      <x v="218"/>
    </i>
    <i>
      <x v="219"/>
    </i>
    <i>
      <x v="220"/>
    </i>
    <i>
      <x v="221"/>
    </i>
    <i>
      <x v="222"/>
    </i>
    <i>
      <x v="223"/>
    </i>
    <i>
      <x v="224"/>
    </i>
    <i>
      <x v="225"/>
    </i>
    <i>
      <x v="226"/>
    </i>
    <i>
      <x v="227"/>
    </i>
    <i>
      <x v="228"/>
    </i>
    <i>
      <x v="229"/>
    </i>
    <i>
      <x v="230"/>
    </i>
    <i>
      <x v="231"/>
    </i>
    <i>
      <x v="232"/>
    </i>
    <i>
      <x v="233"/>
    </i>
    <i>
      <x v="234"/>
    </i>
    <i>
      <x v="235"/>
    </i>
    <i>
      <x v="236"/>
    </i>
    <i>
      <x v="237"/>
    </i>
    <i>
      <x v="238"/>
    </i>
    <i>
      <x v="239"/>
    </i>
    <i>
      <x v="240"/>
    </i>
    <i>
      <x v="241"/>
    </i>
    <i>
      <x v="242"/>
    </i>
    <i>
      <x v="243"/>
    </i>
    <i>
      <x v="244"/>
    </i>
    <i>
      <x v="245"/>
    </i>
    <i>
      <x v="246"/>
    </i>
    <i>
      <x v="247"/>
    </i>
    <i>
      <x v="248"/>
    </i>
    <i>
      <x v="249"/>
    </i>
    <i>
      <x v="250"/>
    </i>
    <i>
      <x v="251"/>
    </i>
    <i>
      <x v="252"/>
    </i>
    <i>
      <x v="253"/>
    </i>
    <i>
      <x v="254"/>
    </i>
    <i>
      <x v="255"/>
    </i>
    <i>
      <x v="256"/>
    </i>
    <i>
      <x v="257"/>
    </i>
    <i>
      <x v="258"/>
    </i>
    <i>
      <x v="259"/>
    </i>
    <i>
      <x v="260"/>
    </i>
    <i>
      <x v="261"/>
    </i>
    <i>
      <x v="262"/>
    </i>
    <i>
      <x v="263"/>
    </i>
    <i>
      <x v="264"/>
    </i>
    <i>
      <x v="265"/>
    </i>
    <i>
      <x v="266"/>
    </i>
    <i>
      <x v="267"/>
    </i>
    <i>
      <x v="268"/>
    </i>
    <i>
      <x v="269"/>
    </i>
    <i>
      <x v="270"/>
    </i>
    <i>
      <x v="271"/>
    </i>
    <i>
      <x v="272"/>
    </i>
    <i>
      <x v="273"/>
    </i>
    <i>
      <x v="274"/>
    </i>
    <i>
      <x v="275"/>
    </i>
    <i>
      <x v="276"/>
    </i>
    <i>
      <x v="277"/>
    </i>
    <i>
      <x v="278"/>
    </i>
    <i>
      <x v="279"/>
    </i>
    <i>
      <x v="280"/>
    </i>
    <i>
      <x v="281"/>
    </i>
    <i>
      <x v="282"/>
    </i>
    <i>
      <x v="283"/>
    </i>
    <i>
      <x v="284"/>
    </i>
    <i>
      <x v="285"/>
    </i>
    <i>
      <x v="286"/>
    </i>
    <i>
      <x v="287"/>
    </i>
    <i>
      <x v="288"/>
    </i>
    <i>
      <x v="289"/>
    </i>
    <i>
      <x v="290"/>
    </i>
    <i>
      <x v="291"/>
    </i>
    <i>
      <x v="292"/>
    </i>
    <i>
      <x v="293"/>
    </i>
    <i>
      <x v="294"/>
    </i>
    <i>
      <x v="295"/>
    </i>
    <i>
      <x v="296"/>
    </i>
    <i>
      <x v="297"/>
    </i>
    <i>
      <x v="298"/>
    </i>
    <i>
      <x v="299"/>
    </i>
    <i>
      <x v="300"/>
    </i>
    <i>
      <x v="301"/>
    </i>
    <i>
      <x v="302"/>
    </i>
    <i>
      <x v="303"/>
    </i>
    <i>
      <x v="304"/>
    </i>
    <i>
      <x v="305"/>
    </i>
    <i>
      <x v="306"/>
    </i>
    <i>
      <x v="307"/>
    </i>
    <i>
      <x v="308"/>
    </i>
    <i>
      <x v="309"/>
    </i>
    <i>
      <x v="310"/>
    </i>
    <i>
      <x v="311"/>
    </i>
    <i>
      <x v="312"/>
    </i>
    <i>
      <x v="313"/>
    </i>
    <i>
      <x v="314"/>
    </i>
    <i>
      <x v="315"/>
    </i>
    <i>
      <x v="316"/>
    </i>
    <i>
      <x v="317"/>
    </i>
    <i>
      <x v="318"/>
    </i>
    <i>
      <x v="319"/>
    </i>
    <i>
      <x v="320"/>
    </i>
    <i>
      <x v="321"/>
    </i>
    <i>
      <x v="322"/>
    </i>
    <i>
      <x v="323"/>
    </i>
    <i>
      <x v="324"/>
    </i>
    <i>
      <x v="325"/>
    </i>
    <i>
      <x v="326"/>
    </i>
    <i>
      <x v="327"/>
    </i>
    <i>
      <x v="328"/>
    </i>
    <i>
      <x v="329"/>
    </i>
    <i>
      <x v="330"/>
    </i>
    <i>
      <x v="331"/>
    </i>
    <i>
      <x v="332"/>
    </i>
    <i>
      <x v="333"/>
    </i>
    <i>
      <x v="334"/>
    </i>
    <i>
      <x v="335"/>
    </i>
    <i>
      <x v="336"/>
    </i>
    <i>
      <x v="337"/>
    </i>
    <i>
      <x v="338"/>
    </i>
    <i>
      <x v="339"/>
    </i>
    <i>
      <x v="340"/>
    </i>
    <i>
      <x v="341"/>
    </i>
    <i>
      <x v="342"/>
    </i>
    <i>
      <x v="343"/>
    </i>
    <i>
      <x v="344"/>
    </i>
    <i>
      <x v="345"/>
    </i>
    <i>
      <x v="346"/>
    </i>
    <i>
      <x v="347"/>
    </i>
    <i>
      <x v="348"/>
    </i>
    <i>
      <x v="349"/>
    </i>
    <i>
      <x v="350"/>
    </i>
    <i>
      <x v="351"/>
    </i>
    <i>
      <x v="352"/>
    </i>
    <i>
      <x v="353"/>
    </i>
    <i>
      <x v="354"/>
    </i>
    <i>
      <x v="355"/>
    </i>
    <i>
      <x v="356"/>
    </i>
    <i>
      <x v="357"/>
    </i>
    <i>
      <x v="358"/>
    </i>
    <i>
      <x v="359"/>
    </i>
    <i>
      <x v="360"/>
    </i>
    <i>
      <x v="361"/>
    </i>
    <i>
      <x v="362"/>
    </i>
    <i>
      <x v="363"/>
    </i>
    <i>
      <x v="364"/>
    </i>
    <i>
      <x v="365"/>
    </i>
    <i>
      <x v="366"/>
    </i>
    <i>
      <x v="367"/>
    </i>
    <i>
      <x v="368"/>
    </i>
    <i>
      <x v="369"/>
    </i>
    <i>
      <x v="370"/>
    </i>
    <i>
      <x v="371"/>
    </i>
    <i>
      <x v="372"/>
    </i>
    <i>
      <x v="373"/>
    </i>
    <i>
      <x v="374"/>
    </i>
    <i>
      <x v="375"/>
    </i>
    <i>
      <x v="376"/>
    </i>
    <i>
      <x v="377"/>
    </i>
    <i>
      <x v="378"/>
    </i>
    <i>
      <x v="379"/>
    </i>
    <i>
      <x v="380"/>
    </i>
    <i>
      <x v="381"/>
    </i>
    <i>
      <x v="382"/>
    </i>
    <i>
      <x v="383"/>
    </i>
    <i>
      <x v="384"/>
    </i>
    <i>
      <x v="385"/>
    </i>
    <i>
      <x v="386"/>
    </i>
    <i>
      <x v="387"/>
    </i>
    <i>
      <x v="388"/>
    </i>
    <i>
      <x v="389"/>
    </i>
    <i>
      <x v="390"/>
    </i>
    <i>
      <x v="391"/>
    </i>
    <i>
      <x v="392"/>
    </i>
    <i>
      <x v="393"/>
    </i>
    <i>
      <x v="394"/>
    </i>
    <i>
      <x v="395"/>
    </i>
    <i>
      <x v="396"/>
    </i>
    <i>
      <x v="397"/>
    </i>
    <i>
      <x v="398"/>
    </i>
    <i>
      <x v="399"/>
    </i>
    <i>
      <x v="400"/>
    </i>
    <i>
      <x v="401"/>
    </i>
    <i>
      <x v="402"/>
    </i>
    <i>
      <x v="403"/>
    </i>
    <i>
      <x v="404"/>
    </i>
    <i>
      <x v="405"/>
    </i>
    <i>
      <x v="406"/>
    </i>
    <i>
      <x v="407"/>
    </i>
    <i>
      <x v="408"/>
    </i>
    <i>
      <x v="409"/>
    </i>
    <i>
      <x v="410"/>
    </i>
    <i>
      <x v="411"/>
    </i>
    <i>
      <x v="412"/>
    </i>
    <i>
      <x v="413"/>
    </i>
    <i>
      <x v="414"/>
    </i>
    <i>
      <x v="415"/>
    </i>
    <i>
      <x v="416"/>
    </i>
    <i>
      <x v="417"/>
    </i>
    <i>
      <x v="418"/>
    </i>
    <i>
      <x v="419"/>
    </i>
    <i>
      <x v="420"/>
    </i>
    <i>
      <x v="421"/>
    </i>
    <i>
      <x v="422"/>
    </i>
    <i>
      <x v="423"/>
    </i>
    <i>
      <x v="424"/>
    </i>
    <i>
      <x v="425"/>
    </i>
    <i>
      <x v="426"/>
    </i>
    <i>
      <x v="427"/>
    </i>
    <i>
      <x v="428"/>
    </i>
    <i>
      <x v="429"/>
    </i>
    <i>
      <x v="430"/>
    </i>
    <i>
      <x v="431"/>
    </i>
    <i>
      <x v="432"/>
    </i>
    <i>
      <x v="433"/>
    </i>
    <i>
      <x v="434"/>
    </i>
    <i>
      <x v="435"/>
    </i>
    <i>
      <x v="436"/>
    </i>
    <i>
      <x v="437"/>
    </i>
    <i>
      <x v="438"/>
    </i>
    <i>
      <x v="439"/>
    </i>
    <i>
      <x v="440"/>
    </i>
    <i>
      <x v="441"/>
    </i>
    <i>
      <x v="442"/>
    </i>
    <i>
      <x v="443"/>
    </i>
    <i>
      <x v="444"/>
    </i>
    <i>
      <x v="445"/>
    </i>
    <i>
      <x v="446"/>
    </i>
    <i>
      <x v="447"/>
    </i>
    <i>
      <x v="448"/>
    </i>
    <i>
      <x v="449"/>
    </i>
    <i>
      <x v="450"/>
    </i>
    <i>
      <x v="451"/>
    </i>
    <i>
      <x v="452"/>
    </i>
    <i>
      <x v="453"/>
    </i>
    <i>
      <x v="454"/>
    </i>
    <i>
      <x v="455"/>
    </i>
    <i>
      <x v="456"/>
    </i>
    <i>
      <x v="457"/>
    </i>
    <i>
      <x v="458"/>
    </i>
    <i>
      <x v="459"/>
    </i>
    <i>
      <x v="460"/>
    </i>
    <i>
      <x v="461"/>
    </i>
    <i>
      <x v="462"/>
    </i>
    <i>
      <x v="463"/>
    </i>
    <i>
      <x v="464"/>
    </i>
    <i>
      <x v="465"/>
    </i>
    <i>
      <x v="466"/>
    </i>
    <i>
      <x v="467"/>
    </i>
    <i>
      <x v="468"/>
    </i>
    <i>
      <x v="469"/>
    </i>
    <i>
      <x v="470"/>
    </i>
    <i>
      <x v="471"/>
    </i>
    <i>
      <x v="472"/>
    </i>
    <i>
      <x v="473"/>
    </i>
    <i>
      <x v="474"/>
    </i>
    <i>
      <x v="475"/>
    </i>
    <i>
      <x v="476"/>
    </i>
    <i>
      <x v="477"/>
    </i>
    <i>
      <x v="478"/>
    </i>
    <i>
      <x v="479"/>
    </i>
    <i>
      <x v="480"/>
    </i>
    <i>
      <x v="481"/>
    </i>
    <i>
      <x v="482"/>
    </i>
    <i>
      <x v="483"/>
    </i>
    <i>
      <x v="484"/>
    </i>
    <i>
      <x v="485"/>
    </i>
    <i>
      <x v="486"/>
    </i>
    <i>
      <x v="487"/>
    </i>
    <i>
      <x v="488"/>
    </i>
    <i>
      <x v="489"/>
    </i>
    <i>
      <x v="490"/>
    </i>
    <i>
      <x v="491"/>
    </i>
    <i>
      <x v="492"/>
    </i>
    <i>
      <x v="493"/>
    </i>
    <i>
      <x v="494"/>
    </i>
    <i>
      <x v="495"/>
    </i>
    <i>
      <x v="496"/>
    </i>
    <i>
      <x v="497"/>
    </i>
    <i>
      <x v="498"/>
    </i>
    <i>
      <x v="499"/>
    </i>
    <i>
      <x v="500"/>
    </i>
    <i>
      <x v="501"/>
    </i>
    <i>
      <x v="502"/>
    </i>
    <i>
      <x v="503"/>
    </i>
    <i>
      <x v="504"/>
    </i>
    <i>
      <x v="505"/>
    </i>
    <i>
      <x v="506"/>
    </i>
    <i>
      <x v="507"/>
    </i>
    <i>
      <x v="508"/>
    </i>
    <i>
      <x v="509"/>
    </i>
    <i>
      <x v="510"/>
    </i>
    <i>
      <x v="511"/>
    </i>
    <i>
      <x v="512"/>
    </i>
    <i>
      <x v="513"/>
    </i>
    <i>
      <x v="514"/>
    </i>
    <i>
      <x v="515"/>
    </i>
    <i>
      <x v="516"/>
    </i>
    <i>
      <x v="517"/>
    </i>
    <i>
      <x v="518"/>
    </i>
    <i>
      <x v="519"/>
    </i>
    <i>
      <x v="520"/>
    </i>
    <i>
      <x v="521"/>
    </i>
    <i>
      <x v="522"/>
    </i>
    <i>
      <x v="523"/>
    </i>
    <i>
      <x v="524"/>
    </i>
    <i>
      <x v="525"/>
    </i>
    <i>
      <x v="526"/>
    </i>
    <i>
      <x v="527"/>
    </i>
    <i>
      <x v="528"/>
    </i>
    <i>
      <x v="529"/>
    </i>
    <i>
      <x v="530"/>
    </i>
    <i>
      <x v="531"/>
    </i>
    <i>
      <x v="532"/>
    </i>
    <i>
      <x v="533"/>
    </i>
    <i>
      <x v="534"/>
    </i>
    <i>
      <x v="535"/>
    </i>
    <i>
      <x v="536"/>
    </i>
    <i>
      <x v="537"/>
    </i>
    <i>
      <x v="538"/>
    </i>
    <i>
      <x v="539"/>
    </i>
    <i>
      <x v="540"/>
    </i>
    <i>
      <x v="541"/>
    </i>
    <i>
      <x v="542"/>
    </i>
    <i>
      <x v="543"/>
    </i>
    <i>
      <x v="544"/>
    </i>
    <i>
      <x v="545"/>
    </i>
    <i>
      <x v="546"/>
    </i>
    <i>
      <x v="547"/>
    </i>
    <i>
      <x v="548"/>
    </i>
    <i>
      <x v="549"/>
    </i>
    <i>
      <x v="550"/>
    </i>
    <i>
      <x v="551"/>
    </i>
    <i>
      <x v="552"/>
    </i>
    <i>
      <x v="553"/>
    </i>
    <i>
      <x v="554"/>
    </i>
    <i>
      <x v="555"/>
    </i>
    <i>
      <x v="556"/>
    </i>
    <i>
      <x v="557"/>
    </i>
    <i>
      <x v="558"/>
    </i>
    <i>
      <x v="559"/>
    </i>
    <i>
      <x v="560"/>
    </i>
    <i>
      <x v="561"/>
    </i>
    <i>
      <x v="562"/>
    </i>
    <i>
      <x v="563"/>
    </i>
    <i>
      <x v="564"/>
    </i>
    <i>
      <x v="565"/>
    </i>
    <i>
      <x v="566"/>
    </i>
    <i>
      <x v="567"/>
    </i>
    <i>
      <x v="568"/>
    </i>
    <i>
      <x v="569"/>
    </i>
    <i>
      <x v="570"/>
    </i>
    <i>
      <x v="571"/>
    </i>
    <i>
      <x v="572"/>
    </i>
    <i>
      <x v="573"/>
    </i>
    <i>
      <x v="574"/>
    </i>
    <i>
      <x v="575"/>
    </i>
    <i>
      <x v="576"/>
    </i>
    <i>
      <x v="577"/>
    </i>
    <i>
      <x v="578"/>
    </i>
    <i>
      <x v="579"/>
    </i>
    <i>
      <x v="580"/>
    </i>
    <i>
      <x v="581"/>
    </i>
    <i>
      <x v="582"/>
    </i>
    <i>
      <x v="583"/>
    </i>
    <i>
      <x v="584"/>
    </i>
    <i>
      <x v="585"/>
    </i>
    <i>
      <x v="586"/>
    </i>
    <i>
      <x v="587"/>
    </i>
    <i>
      <x v="588"/>
    </i>
    <i>
      <x v="589"/>
    </i>
    <i>
      <x v="590"/>
    </i>
    <i>
      <x v="591"/>
    </i>
    <i>
      <x v="592"/>
    </i>
    <i>
      <x v="593"/>
    </i>
    <i>
      <x v="594"/>
    </i>
    <i>
      <x v="595"/>
    </i>
    <i>
      <x v="596"/>
    </i>
    <i>
      <x v="597"/>
    </i>
    <i>
      <x v="598"/>
    </i>
    <i>
      <x v="599"/>
    </i>
    <i>
      <x v="600"/>
    </i>
    <i>
      <x v="601"/>
    </i>
    <i>
      <x v="602"/>
    </i>
    <i>
      <x v="603"/>
    </i>
    <i>
      <x v="604"/>
    </i>
    <i>
      <x v="605"/>
    </i>
    <i>
      <x v="606"/>
    </i>
    <i>
      <x v="607"/>
    </i>
    <i>
      <x v="608"/>
    </i>
    <i>
      <x v="609"/>
    </i>
    <i>
      <x v="610"/>
    </i>
    <i>
      <x v="611"/>
    </i>
    <i>
      <x v="612"/>
    </i>
    <i>
      <x v="613"/>
    </i>
    <i>
      <x v="614"/>
    </i>
    <i>
      <x v="615"/>
    </i>
    <i>
      <x v="616"/>
    </i>
    <i>
      <x v="617"/>
    </i>
    <i>
      <x v="618"/>
    </i>
    <i>
      <x v="619"/>
    </i>
    <i>
      <x v="620"/>
    </i>
    <i>
      <x v="621"/>
    </i>
    <i>
      <x v="622"/>
    </i>
    <i>
      <x v="623"/>
    </i>
    <i>
      <x v="624"/>
    </i>
    <i>
      <x v="625"/>
    </i>
    <i>
      <x v="626"/>
    </i>
    <i>
      <x v="627"/>
    </i>
    <i>
      <x v="628"/>
    </i>
    <i>
      <x v="629"/>
    </i>
    <i>
      <x v="630"/>
    </i>
    <i>
      <x v="631"/>
    </i>
    <i>
      <x v="632"/>
    </i>
    <i>
      <x v="633"/>
    </i>
    <i>
      <x v="634"/>
    </i>
    <i>
      <x v="635"/>
    </i>
    <i>
      <x v="636"/>
    </i>
    <i>
      <x v="637"/>
    </i>
    <i>
      <x v="638"/>
    </i>
    <i>
      <x v="639"/>
    </i>
    <i>
      <x v="640"/>
    </i>
    <i>
      <x v="641"/>
    </i>
    <i>
      <x v="642"/>
    </i>
    <i>
      <x v="643"/>
    </i>
    <i>
      <x v="644"/>
    </i>
    <i>
      <x v="645"/>
    </i>
    <i>
      <x v="646"/>
    </i>
    <i>
      <x v="647"/>
    </i>
    <i>
      <x v="648"/>
    </i>
    <i>
      <x v="649"/>
    </i>
    <i>
      <x v="650"/>
    </i>
    <i>
      <x v="651"/>
    </i>
    <i>
      <x v="652"/>
    </i>
    <i>
      <x v="653"/>
    </i>
    <i>
      <x v="654"/>
    </i>
    <i>
      <x v="655"/>
    </i>
    <i>
      <x v="656"/>
    </i>
    <i>
      <x v="657"/>
    </i>
    <i>
      <x v="658"/>
    </i>
    <i>
      <x v="659"/>
    </i>
    <i>
      <x v="660"/>
    </i>
    <i>
      <x v="661"/>
    </i>
    <i>
      <x v="662"/>
    </i>
    <i>
      <x v="663"/>
    </i>
    <i>
      <x v="664"/>
    </i>
    <i>
      <x v="665"/>
    </i>
    <i>
      <x v="666"/>
    </i>
    <i>
      <x v="667"/>
    </i>
    <i>
      <x v="668"/>
    </i>
    <i>
      <x v="669"/>
    </i>
    <i>
      <x v="670"/>
    </i>
    <i>
      <x v="671"/>
    </i>
    <i>
      <x v="672"/>
    </i>
    <i>
      <x v="673"/>
    </i>
    <i>
      <x v="674"/>
    </i>
    <i>
      <x v="675"/>
    </i>
    <i>
      <x v="676"/>
    </i>
    <i>
      <x v="677"/>
    </i>
    <i>
      <x v="678"/>
    </i>
    <i>
      <x v="682"/>
    </i>
    <i>
      <x v="683"/>
    </i>
    <i>
      <x v="684"/>
    </i>
    <i>
      <x v="685"/>
    </i>
    <i>
      <x v="688"/>
    </i>
  </rowItems>
  <colItems count="1">
    <i/>
  </colItems>
  <dataFields count="1">
    <dataField name="Sum of Gasoline" fld="8" baseField="0" baseItem="0" numFmtId="165"/>
  </dataFields>
  <formats count="1">
    <format dxfId="112">
      <pivotArea outline="0" collapsedLevelsAreSubtotals="1" fieldPosition="0"/>
    </format>
  </formats>
  <chartFormats count="4">
    <chartFormat chart="4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" format="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8" format="5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0" format="7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2D6C9FE-7EEC-4D30-9AFB-EDA5EA0CAD5E}" name="GasPriceFinalProject" cacheId="16" applyNumberFormats="0" applyBorderFormats="0" applyFontFormats="0" applyPatternFormats="0" applyAlignmentFormats="0" applyWidthHeightFormats="1" dataCaption="Values" updatedVersion="8" minRefreshableVersion="5" useAutoFormatting="1" rowGrandTotals="0" itemPrintTitles="1" createdVersion="8" indent="0" outline="1" outlineData="1" multipleFieldFilters="0" chartFormat="5">
  <location ref="A3:B687" firstHeaderRow="1" firstDataRow="1" firstDataCol="1"/>
  <pivotFields count="11">
    <pivotField axis="axisRow" numFmtId="14" showAll="0" sortType="ascending">
      <items count="690">
        <item x="683"/>
        <item x="682"/>
        <item x="681"/>
        <item x="680"/>
        <item x="679"/>
        <item x="678"/>
        <item x="677"/>
        <item x="676"/>
        <item x="675"/>
        <item x="674"/>
        <item x="673"/>
        <item x="672"/>
        <item x="671"/>
        <item x="670"/>
        <item x="669"/>
        <item x="668"/>
        <item x="667"/>
        <item x="666"/>
        <item x="665"/>
        <item x="664"/>
        <item x="663"/>
        <item x="662"/>
        <item x="661"/>
        <item x="660"/>
        <item x="659"/>
        <item x="658"/>
        <item x="657"/>
        <item x="656"/>
        <item x="655"/>
        <item x="654"/>
        <item x="653"/>
        <item x="652"/>
        <item x="651"/>
        <item x="650"/>
        <item x="649"/>
        <item x="648"/>
        <item x="647"/>
        <item x="646"/>
        <item x="645"/>
        <item x="644"/>
        <item x="643"/>
        <item x="642"/>
        <item x="641"/>
        <item x="640"/>
        <item x="639"/>
        <item x="638"/>
        <item x="637"/>
        <item x="636"/>
        <item x="635"/>
        <item x="634"/>
        <item x="633"/>
        <item x="632"/>
        <item x="631"/>
        <item x="630"/>
        <item x="629"/>
        <item x="628"/>
        <item x="627"/>
        <item x="626"/>
        <item x="625"/>
        <item x="624"/>
        <item x="623"/>
        <item x="622"/>
        <item x="621"/>
        <item x="620"/>
        <item x="619"/>
        <item x="618"/>
        <item x="617"/>
        <item x="616"/>
        <item x="615"/>
        <item x="614"/>
        <item x="613"/>
        <item x="612"/>
        <item x="611"/>
        <item x="610"/>
        <item x="609"/>
        <item x="608"/>
        <item x="607"/>
        <item x="606"/>
        <item x="605"/>
        <item x="604"/>
        <item x="603"/>
        <item x="602"/>
        <item x="601"/>
        <item x="600"/>
        <item x="599"/>
        <item x="598"/>
        <item x="597"/>
        <item x="596"/>
        <item x="595"/>
        <item x="594"/>
        <item x="593"/>
        <item x="592"/>
        <item x="591"/>
        <item x="590"/>
        <item x="589"/>
        <item x="588"/>
        <item x="587"/>
        <item x="586"/>
        <item x="585"/>
        <item x="584"/>
        <item x="583"/>
        <item x="582"/>
        <item x="581"/>
        <item x="580"/>
        <item x="579"/>
        <item x="578"/>
        <item x="577"/>
        <item x="576"/>
        <item x="575"/>
        <item x="574"/>
        <item x="573"/>
        <item x="572"/>
        <item x="571"/>
        <item x="570"/>
        <item x="569"/>
        <item x="568"/>
        <item x="567"/>
        <item x="566"/>
        <item x="565"/>
        <item x="564"/>
        <item x="563"/>
        <item x="562"/>
        <item x="561"/>
        <item x="560"/>
        <item x="559"/>
        <item x="558"/>
        <item x="557"/>
        <item x="556"/>
        <item x="555"/>
        <item x="554"/>
        <item x="553"/>
        <item x="552"/>
        <item x="551"/>
        <item x="550"/>
        <item x="549"/>
        <item x="548"/>
        <item x="547"/>
        <item x="546"/>
        <item x="545"/>
        <item x="544"/>
        <item x="543"/>
        <item x="542"/>
        <item x="541"/>
        <item x="540"/>
        <item x="539"/>
        <item x="538"/>
        <item x="537"/>
        <item x="536"/>
        <item x="535"/>
        <item x="534"/>
        <item x="533"/>
        <item x="532"/>
        <item x="531"/>
        <item x="530"/>
        <item x="529"/>
        <item x="528"/>
        <item x="527"/>
        <item x="526"/>
        <item x="525"/>
        <item x="524"/>
        <item x="523"/>
        <item x="522"/>
        <item x="521"/>
        <item x="520"/>
        <item x="519"/>
        <item x="518"/>
        <item x="517"/>
        <item x="516"/>
        <item x="515"/>
        <item x="514"/>
        <item x="513"/>
        <item x="512"/>
        <item x="511"/>
        <item x="510"/>
        <item x="509"/>
        <item x="508"/>
        <item x="507"/>
        <item x="506"/>
        <item x="505"/>
        <item x="504"/>
        <item x="503"/>
        <item x="502"/>
        <item x="501"/>
        <item x="500"/>
        <item x="499"/>
        <item x="498"/>
        <item x="497"/>
        <item x="496"/>
        <item x="495"/>
        <item x="494"/>
        <item x="493"/>
        <item x="492"/>
        <item x="491"/>
        <item x="490"/>
        <item x="489"/>
        <item x="488"/>
        <item x="487"/>
        <item x="486"/>
        <item x="485"/>
        <item x="484"/>
        <item x="483"/>
        <item x="482"/>
        <item x="481"/>
        <item x="480"/>
        <item x="479"/>
        <item x="478"/>
        <item x="477"/>
        <item x="476"/>
        <item x="475"/>
        <item x="474"/>
        <item x="473"/>
        <item x="472"/>
        <item x="471"/>
        <item x="470"/>
        <item x="469"/>
        <item x="468"/>
        <item x="467"/>
        <item x="466"/>
        <item x="465"/>
        <item x="464"/>
        <item x="463"/>
        <item x="462"/>
        <item x="461"/>
        <item x="460"/>
        <item x="459"/>
        <item x="458"/>
        <item x="457"/>
        <item x="456"/>
        <item x="455"/>
        <item x="454"/>
        <item x="453"/>
        <item x="452"/>
        <item x="451"/>
        <item x="450"/>
        <item x="449"/>
        <item x="448"/>
        <item x="447"/>
        <item x="446"/>
        <item x="445"/>
        <item x="444"/>
        <item x="443"/>
        <item x="442"/>
        <item x="441"/>
        <item x="440"/>
        <item x="439"/>
        <item x="438"/>
        <item x="437"/>
        <item x="436"/>
        <item x="435"/>
        <item x="434"/>
        <item x="433"/>
        <item x="432"/>
        <item x="431"/>
        <item x="430"/>
        <item x="429"/>
        <item x="428"/>
        <item x="427"/>
        <item x="426"/>
        <item x="425"/>
        <item x="424"/>
        <item x="423"/>
        <item x="422"/>
        <item x="421"/>
        <item x="420"/>
        <item x="419"/>
        <item x="418"/>
        <item x="417"/>
        <item x="416"/>
        <item x="415"/>
        <item x="414"/>
        <item x="413"/>
        <item x="412"/>
        <item x="411"/>
        <item x="410"/>
        <item x="409"/>
        <item x="408"/>
        <item x="407"/>
        <item x="406"/>
        <item x="405"/>
        <item x="404"/>
        <item x="403"/>
        <item x="402"/>
        <item x="401"/>
        <item x="400"/>
        <item x="399"/>
        <item x="398"/>
        <item x="397"/>
        <item x="396"/>
        <item x="395"/>
        <item x="394"/>
        <item x="393"/>
        <item x="392"/>
        <item x="391"/>
        <item x="390"/>
        <item x="389"/>
        <item x="388"/>
        <item x="387"/>
        <item x="386"/>
        <item x="385"/>
        <item x="384"/>
        <item x="383"/>
        <item x="382"/>
        <item x="381"/>
        <item x="380"/>
        <item x="379"/>
        <item x="378"/>
        <item x="377"/>
        <item x="376"/>
        <item x="375"/>
        <item x="374"/>
        <item x="373"/>
        <item x="372"/>
        <item x="371"/>
        <item x="370"/>
        <item x="369"/>
        <item x="368"/>
        <item x="367"/>
        <item x="366"/>
        <item x="365"/>
        <item x="364"/>
        <item x="363"/>
        <item x="362"/>
        <item x="361"/>
        <item x="360"/>
        <item x="359"/>
        <item x="358"/>
        <item x="357"/>
        <item x="356"/>
        <item x="355"/>
        <item x="354"/>
        <item x="353"/>
        <item x="352"/>
        <item x="351"/>
        <item x="350"/>
        <item x="349"/>
        <item x="348"/>
        <item x="347"/>
        <item x="346"/>
        <item x="345"/>
        <item x="344"/>
        <item x="343"/>
        <item x="342"/>
        <item x="341"/>
        <item x="340"/>
        <item x="339"/>
        <item x="338"/>
        <item x="337"/>
        <item x="336"/>
        <item x="335"/>
        <item x="334"/>
        <item x="333"/>
        <item x="332"/>
        <item x="331"/>
        <item x="330"/>
        <item x="329"/>
        <item x="328"/>
        <item x="327"/>
        <item x="326"/>
        <item x="325"/>
        <item x="324"/>
        <item x="323"/>
        <item x="322"/>
        <item x="321"/>
        <item x="320"/>
        <item x="319"/>
        <item x="318"/>
        <item x="317"/>
        <item x="316"/>
        <item x="315"/>
        <item x="314"/>
        <item x="313"/>
        <item x="312"/>
        <item x="311"/>
        <item x="310"/>
        <item x="309"/>
        <item x="308"/>
        <item x="307"/>
        <item x="306"/>
        <item x="305"/>
        <item x="304"/>
        <item x="303"/>
        <item x="302"/>
        <item x="301"/>
        <item x="300"/>
        <item x="299"/>
        <item x="298"/>
        <item x="297"/>
        <item x="296"/>
        <item x="295"/>
        <item x="294"/>
        <item x="293"/>
        <item x="292"/>
        <item x="291"/>
        <item x="290"/>
        <item x="289"/>
        <item x="288"/>
        <item x="287"/>
        <item x="286"/>
        <item x="285"/>
        <item x="284"/>
        <item x="283"/>
        <item x="282"/>
        <item x="281"/>
        <item x="280"/>
        <item x="279"/>
        <item x="278"/>
        <item x="277"/>
        <item x="276"/>
        <item x="275"/>
        <item x="274"/>
        <item x="273"/>
        <item x="272"/>
        <item x="271"/>
        <item x="270"/>
        <item x="269"/>
        <item x="268"/>
        <item x="267"/>
        <item x="266"/>
        <item x="265"/>
        <item x="264"/>
        <item x="263"/>
        <item x="262"/>
        <item x="261"/>
        <item x="260"/>
        <item x="259"/>
        <item x="258"/>
        <item x="257"/>
        <item x="256"/>
        <item x="255"/>
        <item x="254"/>
        <item x="253"/>
        <item x="252"/>
        <item x="251"/>
        <item x="250"/>
        <item x="249"/>
        <item x="248"/>
        <item x="247"/>
        <item x="246"/>
        <item x="245"/>
        <item x="244"/>
        <item x="243"/>
        <item x="242"/>
        <item x="241"/>
        <item x="240"/>
        <item x="239"/>
        <item x="238"/>
        <item x="237"/>
        <item x="236"/>
        <item x="235"/>
        <item x="234"/>
        <item x="233"/>
        <item x="232"/>
        <item x="231"/>
        <item x="230"/>
        <item x="229"/>
        <item x="228"/>
        <item x="227"/>
        <item x="226"/>
        <item x="225"/>
        <item x="224"/>
        <item x="223"/>
        <item x="222"/>
        <item x="221"/>
        <item x="220"/>
        <item x="219"/>
        <item x="218"/>
        <item x="217"/>
        <item x="216"/>
        <item x="215"/>
        <item x="214"/>
        <item x="213"/>
        <item x="212"/>
        <item x="211"/>
        <item x="210"/>
        <item x="209"/>
        <item x="208"/>
        <item x="207"/>
        <item x="206"/>
        <item x="205"/>
        <item x="204"/>
        <item x="203"/>
        <item x="202"/>
        <item x="201"/>
        <item x="200"/>
        <item x="199"/>
        <item x="198"/>
        <item x="197"/>
        <item x="196"/>
        <item x="195"/>
        <item x="194"/>
        <item x="193"/>
        <item x="192"/>
        <item x="191"/>
        <item x="190"/>
        <item x="189"/>
        <item x="188"/>
        <item x="187"/>
        <item x="186"/>
        <item x="185"/>
        <item x="184"/>
        <item x="183"/>
        <item x="182"/>
        <item x="181"/>
        <item x="180"/>
        <item x="179"/>
        <item x="178"/>
        <item x="177"/>
        <item x="176"/>
        <item x="175"/>
        <item x="174"/>
        <item x="173"/>
        <item x="172"/>
        <item x="171"/>
        <item x="170"/>
        <item x="169"/>
        <item x="168"/>
        <item x="167"/>
        <item x="166"/>
        <item x="165"/>
        <item x="164"/>
        <item x="163"/>
        <item x="162"/>
        <item x="161"/>
        <item x="160"/>
        <item x="159"/>
        <item x="158"/>
        <item x="157"/>
        <item x="156"/>
        <item x="155"/>
        <item x="154"/>
        <item x="153"/>
        <item x="152"/>
        <item x="151"/>
        <item x="150"/>
        <item x="149"/>
        <item x="148"/>
        <item x="147"/>
        <item x="146"/>
        <item x="145"/>
        <item x="144"/>
        <item x="143"/>
        <item x="142"/>
        <item x="141"/>
        <item x="140"/>
        <item x="139"/>
        <item x="138"/>
        <item x="137"/>
        <item x="136"/>
        <item x="135"/>
        <item x="134"/>
        <item x="133"/>
        <item x="132"/>
        <item x="131"/>
        <item x="130"/>
        <item x="129"/>
        <item x="128"/>
        <item x="127"/>
        <item x="126"/>
        <item x="125"/>
        <item x="124"/>
        <item x="123"/>
        <item x="122"/>
        <item x="121"/>
        <item x="120"/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m="1" x="684"/>
        <item m="1" x="687"/>
        <item m="1" x="685"/>
        <item x="4"/>
        <item x="3"/>
        <item x="2"/>
        <item x="1"/>
        <item m="1" x="688"/>
        <item m="1" x="686"/>
        <item x="0"/>
        <item t="default"/>
      </items>
    </pivotField>
    <pivotField numFmtId="165" showAll="0"/>
    <pivotField numFmtId="165" showAll="0"/>
    <pivotField numFmtId="165" showAll="0"/>
    <pivotField showAll="0"/>
    <pivotField showAll="0"/>
    <pivotField showAll="0"/>
    <pivotField numFmtId="165" showAll="0"/>
    <pivotField numFmtId="165" showAll="0"/>
    <pivotField dataField="1" showAll="0"/>
    <pivotField numFmtId="44" showAll="0"/>
  </pivotFields>
  <rowFields count="1">
    <field x="0"/>
  </rowFields>
  <rowItems count="68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86"/>
    </i>
    <i>
      <x v="187"/>
    </i>
    <i>
      <x v="188"/>
    </i>
    <i>
      <x v="189"/>
    </i>
    <i>
      <x v="190"/>
    </i>
    <i>
      <x v="191"/>
    </i>
    <i>
      <x v="192"/>
    </i>
    <i>
      <x v="193"/>
    </i>
    <i>
      <x v="194"/>
    </i>
    <i>
      <x v="195"/>
    </i>
    <i>
      <x v="196"/>
    </i>
    <i>
      <x v="197"/>
    </i>
    <i>
      <x v="198"/>
    </i>
    <i>
      <x v="199"/>
    </i>
    <i>
      <x v="200"/>
    </i>
    <i>
      <x v="201"/>
    </i>
    <i>
      <x v="202"/>
    </i>
    <i>
      <x v="203"/>
    </i>
    <i>
      <x v="204"/>
    </i>
    <i>
      <x v="205"/>
    </i>
    <i>
      <x v="206"/>
    </i>
    <i>
      <x v="207"/>
    </i>
    <i>
      <x v="208"/>
    </i>
    <i>
      <x v="209"/>
    </i>
    <i>
      <x v="210"/>
    </i>
    <i>
      <x v="211"/>
    </i>
    <i>
      <x v="212"/>
    </i>
    <i>
      <x v="213"/>
    </i>
    <i>
      <x v="214"/>
    </i>
    <i>
      <x v="215"/>
    </i>
    <i>
      <x v="216"/>
    </i>
    <i>
      <x v="217"/>
    </i>
    <i>
      <x v="218"/>
    </i>
    <i>
      <x v="219"/>
    </i>
    <i>
      <x v="220"/>
    </i>
    <i>
      <x v="221"/>
    </i>
    <i>
      <x v="222"/>
    </i>
    <i>
      <x v="223"/>
    </i>
    <i>
      <x v="224"/>
    </i>
    <i>
      <x v="225"/>
    </i>
    <i>
      <x v="226"/>
    </i>
    <i>
      <x v="227"/>
    </i>
    <i>
      <x v="228"/>
    </i>
    <i>
      <x v="229"/>
    </i>
    <i>
      <x v="230"/>
    </i>
    <i>
      <x v="231"/>
    </i>
    <i>
      <x v="232"/>
    </i>
    <i>
      <x v="233"/>
    </i>
    <i>
      <x v="234"/>
    </i>
    <i>
      <x v="235"/>
    </i>
    <i>
      <x v="236"/>
    </i>
    <i>
      <x v="237"/>
    </i>
    <i>
      <x v="238"/>
    </i>
    <i>
      <x v="239"/>
    </i>
    <i>
      <x v="240"/>
    </i>
    <i>
      <x v="241"/>
    </i>
    <i>
      <x v="242"/>
    </i>
    <i>
      <x v="243"/>
    </i>
    <i>
      <x v="244"/>
    </i>
    <i>
      <x v="245"/>
    </i>
    <i>
      <x v="246"/>
    </i>
    <i>
      <x v="247"/>
    </i>
    <i>
      <x v="248"/>
    </i>
    <i>
      <x v="249"/>
    </i>
    <i>
      <x v="250"/>
    </i>
    <i>
      <x v="251"/>
    </i>
    <i>
      <x v="252"/>
    </i>
    <i>
      <x v="253"/>
    </i>
    <i>
      <x v="254"/>
    </i>
    <i>
      <x v="255"/>
    </i>
    <i>
      <x v="256"/>
    </i>
    <i>
      <x v="257"/>
    </i>
    <i>
      <x v="258"/>
    </i>
    <i>
      <x v="259"/>
    </i>
    <i>
      <x v="260"/>
    </i>
    <i>
      <x v="261"/>
    </i>
    <i>
      <x v="262"/>
    </i>
    <i>
      <x v="263"/>
    </i>
    <i>
      <x v="264"/>
    </i>
    <i>
      <x v="265"/>
    </i>
    <i>
      <x v="266"/>
    </i>
    <i>
      <x v="267"/>
    </i>
    <i>
      <x v="268"/>
    </i>
    <i>
      <x v="269"/>
    </i>
    <i>
      <x v="270"/>
    </i>
    <i>
      <x v="271"/>
    </i>
    <i>
      <x v="272"/>
    </i>
    <i>
      <x v="273"/>
    </i>
    <i>
      <x v="274"/>
    </i>
    <i>
      <x v="275"/>
    </i>
    <i>
      <x v="276"/>
    </i>
    <i>
      <x v="277"/>
    </i>
    <i>
      <x v="278"/>
    </i>
    <i>
      <x v="279"/>
    </i>
    <i>
      <x v="280"/>
    </i>
    <i>
      <x v="281"/>
    </i>
    <i>
      <x v="282"/>
    </i>
    <i>
      <x v="283"/>
    </i>
    <i>
      <x v="284"/>
    </i>
    <i>
      <x v="285"/>
    </i>
    <i>
      <x v="286"/>
    </i>
    <i>
      <x v="287"/>
    </i>
    <i>
      <x v="288"/>
    </i>
    <i>
      <x v="289"/>
    </i>
    <i>
      <x v="290"/>
    </i>
    <i>
      <x v="291"/>
    </i>
    <i>
      <x v="292"/>
    </i>
    <i>
      <x v="293"/>
    </i>
    <i>
      <x v="294"/>
    </i>
    <i>
      <x v="295"/>
    </i>
    <i>
      <x v="296"/>
    </i>
    <i>
      <x v="297"/>
    </i>
    <i>
      <x v="298"/>
    </i>
    <i>
      <x v="299"/>
    </i>
    <i>
      <x v="300"/>
    </i>
    <i>
      <x v="301"/>
    </i>
    <i>
      <x v="302"/>
    </i>
    <i>
      <x v="303"/>
    </i>
    <i>
      <x v="304"/>
    </i>
    <i>
      <x v="305"/>
    </i>
    <i>
      <x v="306"/>
    </i>
    <i>
      <x v="307"/>
    </i>
    <i>
      <x v="308"/>
    </i>
    <i>
      <x v="309"/>
    </i>
    <i>
      <x v="310"/>
    </i>
    <i>
      <x v="311"/>
    </i>
    <i>
      <x v="312"/>
    </i>
    <i>
      <x v="313"/>
    </i>
    <i>
      <x v="314"/>
    </i>
    <i>
      <x v="315"/>
    </i>
    <i>
      <x v="316"/>
    </i>
    <i>
      <x v="317"/>
    </i>
    <i>
      <x v="318"/>
    </i>
    <i>
      <x v="319"/>
    </i>
    <i>
      <x v="320"/>
    </i>
    <i>
      <x v="321"/>
    </i>
    <i>
      <x v="322"/>
    </i>
    <i>
      <x v="323"/>
    </i>
    <i>
      <x v="324"/>
    </i>
    <i>
      <x v="325"/>
    </i>
    <i>
      <x v="326"/>
    </i>
    <i>
      <x v="327"/>
    </i>
    <i>
      <x v="328"/>
    </i>
    <i>
      <x v="329"/>
    </i>
    <i>
      <x v="330"/>
    </i>
    <i>
      <x v="331"/>
    </i>
    <i>
      <x v="332"/>
    </i>
    <i>
      <x v="333"/>
    </i>
    <i>
      <x v="334"/>
    </i>
    <i>
      <x v="335"/>
    </i>
    <i>
      <x v="336"/>
    </i>
    <i>
      <x v="337"/>
    </i>
    <i>
      <x v="338"/>
    </i>
    <i>
      <x v="339"/>
    </i>
    <i>
      <x v="340"/>
    </i>
    <i>
      <x v="341"/>
    </i>
    <i>
      <x v="342"/>
    </i>
    <i>
      <x v="343"/>
    </i>
    <i>
      <x v="344"/>
    </i>
    <i>
      <x v="345"/>
    </i>
    <i>
      <x v="346"/>
    </i>
    <i>
      <x v="347"/>
    </i>
    <i>
      <x v="348"/>
    </i>
    <i>
      <x v="349"/>
    </i>
    <i>
      <x v="350"/>
    </i>
    <i>
      <x v="351"/>
    </i>
    <i>
      <x v="352"/>
    </i>
    <i>
      <x v="353"/>
    </i>
    <i>
      <x v="354"/>
    </i>
    <i>
      <x v="355"/>
    </i>
    <i>
      <x v="356"/>
    </i>
    <i>
      <x v="357"/>
    </i>
    <i>
      <x v="358"/>
    </i>
    <i>
      <x v="359"/>
    </i>
    <i>
      <x v="360"/>
    </i>
    <i>
      <x v="361"/>
    </i>
    <i>
      <x v="362"/>
    </i>
    <i>
      <x v="363"/>
    </i>
    <i>
      <x v="364"/>
    </i>
    <i>
      <x v="365"/>
    </i>
    <i>
      <x v="366"/>
    </i>
    <i>
      <x v="367"/>
    </i>
    <i>
      <x v="368"/>
    </i>
    <i>
      <x v="369"/>
    </i>
    <i>
      <x v="370"/>
    </i>
    <i>
      <x v="371"/>
    </i>
    <i>
      <x v="372"/>
    </i>
    <i>
      <x v="373"/>
    </i>
    <i>
      <x v="374"/>
    </i>
    <i>
      <x v="375"/>
    </i>
    <i>
      <x v="376"/>
    </i>
    <i>
      <x v="377"/>
    </i>
    <i>
      <x v="378"/>
    </i>
    <i>
      <x v="379"/>
    </i>
    <i>
      <x v="380"/>
    </i>
    <i>
      <x v="381"/>
    </i>
    <i>
      <x v="382"/>
    </i>
    <i>
      <x v="383"/>
    </i>
    <i>
      <x v="384"/>
    </i>
    <i>
      <x v="385"/>
    </i>
    <i>
      <x v="386"/>
    </i>
    <i>
      <x v="387"/>
    </i>
    <i>
      <x v="388"/>
    </i>
    <i>
      <x v="389"/>
    </i>
    <i>
      <x v="390"/>
    </i>
    <i>
      <x v="391"/>
    </i>
    <i>
      <x v="392"/>
    </i>
    <i>
      <x v="393"/>
    </i>
    <i>
      <x v="394"/>
    </i>
    <i>
      <x v="395"/>
    </i>
    <i>
      <x v="396"/>
    </i>
    <i>
      <x v="397"/>
    </i>
    <i>
      <x v="398"/>
    </i>
    <i>
      <x v="399"/>
    </i>
    <i>
      <x v="400"/>
    </i>
    <i>
      <x v="401"/>
    </i>
    <i>
      <x v="402"/>
    </i>
    <i>
      <x v="403"/>
    </i>
    <i>
      <x v="404"/>
    </i>
    <i>
      <x v="405"/>
    </i>
    <i>
      <x v="406"/>
    </i>
    <i>
      <x v="407"/>
    </i>
    <i>
      <x v="408"/>
    </i>
    <i>
      <x v="409"/>
    </i>
    <i>
      <x v="410"/>
    </i>
    <i>
      <x v="411"/>
    </i>
    <i>
      <x v="412"/>
    </i>
    <i>
      <x v="413"/>
    </i>
    <i>
      <x v="414"/>
    </i>
    <i>
      <x v="415"/>
    </i>
    <i>
      <x v="416"/>
    </i>
    <i>
      <x v="417"/>
    </i>
    <i>
      <x v="418"/>
    </i>
    <i>
      <x v="419"/>
    </i>
    <i>
      <x v="420"/>
    </i>
    <i>
      <x v="421"/>
    </i>
    <i>
      <x v="422"/>
    </i>
    <i>
      <x v="423"/>
    </i>
    <i>
      <x v="424"/>
    </i>
    <i>
      <x v="425"/>
    </i>
    <i>
      <x v="426"/>
    </i>
    <i>
      <x v="427"/>
    </i>
    <i>
      <x v="428"/>
    </i>
    <i>
      <x v="429"/>
    </i>
    <i>
      <x v="430"/>
    </i>
    <i>
      <x v="431"/>
    </i>
    <i>
      <x v="432"/>
    </i>
    <i>
      <x v="433"/>
    </i>
    <i>
      <x v="434"/>
    </i>
    <i>
      <x v="435"/>
    </i>
    <i>
      <x v="436"/>
    </i>
    <i>
      <x v="437"/>
    </i>
    <i>
      <x v="438"/>
    </i>
    <i>
      <x v="439"/>
    </i>
    <i>
      <x v="440"/>
    </i>
    <i>
      <x v="441"/>
    </i>
    <i>
      <x v="442"/>
    </i>
    <i>
      <x v="443"/>
    </i>
    <i>
      <x v="444"/>
    </i>
    <i>
      <x v="445"/>
    </i>
    <i>
      <x v="446"/>
    </i>
    <i>
      <x v="447"/>
    </i>
    <i>
      <x v="448"/>
    </i>
    <i>
      <x v="449"/>
    </i>
    <i>
      <x v="450"/>
    </i>
    <i>
      <x v="451"/>
    </i>
    <i>
      <x v="452"/>
    </i>
    <i>
      <x v="453"/>
    </i>
    <i>
      <x v="454"/>
    </i>
    <i>
      <x v="455"/>
    </i>
    <i>
      <x v="456"/>
    </i>
    <i>
      <x v="457"/>
    </i>
    <i>
      <x v="458"/>
    </i>
    <i>
      <x v="459"/>
    </i>
    <i>
      <x v="460"/>
    </i>
    <i>
      <x v="461"/>
    </i>
    <i>
      <x v="462"/>
    </i>
    <i>
      <x v="463"/>
    </i>
    <i>
      <x v="464"/>
    </i>
    <i>
      <x v="465"/>
    </i>
    <i>
      <x v="466"/>
    </i>
    <i>
      <x v="467"/>
    </i>
    <i>
      <x v="468"/>
    </i>
    <i>
      <x v="469"/>
    </i>
    <i>
      <x v="470"/>
    </i>
    <i>
      <x v="471"/>
    </i>
    <i>
      <x v="472"/>
    </i>
    <i>
      <x v="473"/>
    </i>
    <i>
      <x v="474"/>
    </i>
    <i>
      <x v="475"/>
    </i>
    <i>
      <x v="476"/>
    </i>
    <i>
      <x v="477"/>
    </i>
    <i>
      <x v="478"/>
    </i>
    <i>
      <x v="479"/>
    </i>
    <i>
      <x v="480"/>
    </i>
    <i>
      <x v="481"/>
    </i>
    <i>
      <x v="482"/>
    </i>
    <i>
      <x v="483"/>
    </i>
    <i>
      <x v="484"/>
    </i>
    <i>
      <x v="485"/>
    </i>
    <i>
      <x v="486"/>
    </i>
    <i>
      <x v="487"/>
    </i>
    <i>
      <x v="488"/>
    </i>
    <i>
      <x v="489"/>
    </i>
    <i>
      <x v="490"/>
    </i>
    <i>
      <x v="491"/>
    </i>
    <i>
      <x v="492"/>
    </i>
    <i>
      <x v="493"/>
    </i>
    <i>
      <x v="494"/>
    </i>
    <i>
      <x v="495"/>
    </i>
    <i>
      <x v="496"/>
    </i>
    <i>
      <x v="497"/>
    </i>
    <i>
      <x v="498"/>
    </i>
    <i>
      <x v="499"/>
    </i>
    <i>
      <x v="500"/>
    </i>
    <i>
      <x v="501"/>
    </i>
    <i>
      <x v="502"/>
    </i>
    <i>
      <x v="503"/>
    </i>
    <i>
      <x v="504"/>
    </i>
    <i>
      <x v="505"/>
    </i>
    <i>
      <x v="506"/>
    </i>
    <i>
      <x v="507"/>
    </i>
    <i>
      <x v="508"/>
    </i>
    <i>
      <x v="509"/>
    </i>
    <i>
      <x v="510"/>
    </i>
    <i>
      <x v="511"/>
    </i>
    <i>
      <x v="512"/>
    </i>
    <i>
      <x v="513"/>
    </i>
    <i>
      <x v="514"/>
    </i>
    <i>
      <x v="515"/>
    </i>
    <i>
      <x v="516"/>
    </i>
    <i>
      <x v="517"/>
    </i>
    <i>
      <x v="518"/>
    </i>
    <i>
      <x v="519"/>
    </i>
    <i>
      <x v="520"/>
    </i>
    <i>
      <x v="521"/>
    </i>
    <i>
      <x v="522"/>
    </i>
    <i>
      <x v="523"/>
    </i>
    <i>
      <x v="524"/>
    </i>
    <i>
      <x v="525"/>
    </i>
    <i>
      <x v="526"/>
    </i>
    <i>
      <x v="527"/>
    </i>
    <i>
      <x v="528"/>
    </i>
    <i>
      <x v="529"/>
    </i>
    <i>
      <x v="530"/>
    </i>
    <i>
      <x v="531"/>
    </i>
    <i>
      <x v="532"/>
    </i>
    <i>
      <x v="533"/>
    </i>
    <i>
      <x v="534"/>
    </i>
    <i>
      <x v="535"/>
    </i>
    <i>
      <x v="536"/>
    </i>
    <i>
      <x v="537"/>
    </i>
    <i>
      <x v="538"/>
    </i>
    <i>
      <x v="539"/>
    </i>
    <i>
      <x v="540"/>
    </i>
    <i>
      <x v="541"/>
    </i>
    <i>
      <x v="542"/>
    </i>
    <i>
      <x v="543"/>
    </i>
    <i>
      <x v="544"/>
    </i>
    <i>
      <x v="545"/>
    </i>
    <i>
      <x v="546"/>
    </i>
    <i>
      <x v="547"/>
    </i>
    <i>
      <x v="548"/>
    </i>
    <i>
      <x v="549"/>
    </i>
    <i>
      <x v="550"/>
    </i>
    <i>
      <x v="551"/>
    </i>
    <i>
      <x v="552"/>
    </i>
    <i>
      <x v="553"/>
    </i>
    <i>
      <x v="554"/>
    </i>
    <i>
      <x v="555"/>
    </i>
    <i>
      <x v="556"/>
    </i>
    <i>
      <x v="557"/>
    </i>
    <i>
      <x v="558"/>
    </i>
    <i>
      <x v="559"/>
    </i>
    <i>
      <x v="560"/>
    </i>
    <i>
      <x v="561"/>
    </i>
    <i>
      <x v="562"/>
    </i>
    <i>
      <x v="563"/>
    </i>
    <i>
      <x v="564"/>
    </i>
    <i>
      <x v="565"/>
    </i>
    <i>
      <x v="566"/>
    </i>
    <i>
      <x v="567"/>
    </i>
    <i>
      <x v="568"/>
    </i>
    <i>
      <x v="569"/>
    </i>
    <i>
      <x v="570"/>
    </i>
    <i>
      <x v="571"/>
    </i>
    <i>
      <x v="572"/>
    </i>
    <i>
      <x v="573"/>
    </i>
    <i>
      <x v="574"/>
    </i>
    <i>
      <x v="575"/>
    </i>
    <i>
      <x v="576"/>
    </i>
    <i>
      <x v="577"/>
    </i>
    <i>
      <x v="578"/>
    </i>
    <i>
      <x v="579"/>
    </i>
    <i>
      <x v="580"/>
    </i>
    <i>
      <x v="581"/>
    </i>
    <i>
      <x v="582"/>
    </i>
    <i>
      <x v="583"/>
    </i>
    <i>
      <x v="584"/>
    </i>
    <i>
      <x v="585"/>
    </i>
    <i>
      <x v="586"/>
    </i>
    <i>
      <x v="587"/>
    </i>
    <i>
      <x v="588"/>
    </i>
    <i>
      <x v="589"/>
    </i>
    <i>
      <x v="590"/>
    </i>
    <i>
      <x v="591"/>
    </i>
    <i>
      <x v="592"/>
    </i>
    <i>
      <x v="593"/>
    </i>
    <i>
      <x v="594"/>
    </i>
    <i>
      <x v="595"/>
    </i>
    <i>
      <x v="596"/>
    </i>
    <i>
      <x v="597"/>
    </i>
    <i>
      <x v="598"/>
    </i>
    <i>
      <x v="599"/>
    </i>
    <i>
      <x v="600"/>
    </i>
    <i>
      <x v="601"/>
    </i>
    <i>
      <x v="602"/>
    </i>
    <i>
      <x v="603"/>
    </i>
    <i>
      <x v="604"/>
    </i>
    <i>
      <x v="605"/>
    </i>
    <i>
      <x v="606"/>
    </i>
    <i>
      <x v="607"/>
    </i>
    <i>
      <x v="608"/>
    </i>
    <i>
      <x v="609"/>
    </i>
    <i>
      <x v="610"/>
    </i>
    <i>
      <x v="611"/>
    </i>
    <i>
      <x v="612"/>
    </i>
    <i>
      <x v="613"/>
    </i>
    <i>
      <x v="614"/>
    </i>
    <i>
      <x v="615"/>
    </i>
    <i>
      <x v="616"/>
    </i>
    <i>
      <x v="617"/>
    </i>
    <i>
      <x v="618"/>
    </i>
    <i>
      <x v="619"/>
    </i>
    <i>
      <x v="620"/>
    </i>
    <i>
      <x v="621"/>
    </i>
    <i>
      <x v="622"/>
    </i>
    <i>
      <x v="623"/>
    </i>
    <i>
      <x v="624"/>
    </i>
    <i>
      <x v="625"/>
    </i>
    <i>
      <x v="626"/>
    </i>
    <i>
      <x v="627"/>
    </i>
    <i>
      <x v="628"/>
    </i>
    <i>
      <x v="629"/>
    </i>
    <i>
      <x v="630"/>
    </i>
    <i>
      <x v="631"/>
    </i>
    <i>
      <x v="632"/>
    </i>
    <i>
      <x v="633"/>
    </i>
    <i>
      <x v="634"/>
    </i>
    <i>
      <x v="635"/>
    </i>
    <i>
      <x v="636"/>
    </i>
    <i>
      <x v="637"/>
    </i>
    <i>
      <x v="638"/>
    </i>
    <i>
      <x v="639"/>
    </i>
    <i>
      <x v="640"/>
    </i>
    <i>
      <x v="641"/>
    </i>
    <i>
      <x v="642"/>
    </i>
    <i>
      <x v="643"/>
    </i>
    <i>
      <x v="644"/>
    </i>
    <i>
      <x v="645"/>
    </i>
    <i>
      <x v="646"/>
    </i>
    <i>
      <x v="647"/>
    </i>
    <i>
      <x v="648"/>
    </i>
    <i>
      <x v="649"/>
    </i>
    <i>
      <x v="650"/>
    </i>
    <i>
      <x v="651"/>
    </i>
    <i>
      <x v="652"/>
    </i>
    <i>
      <x v="653"/>
    </i>
    <i>
      <x v="654"/>
    </i>
    <i>
      <x v="655"/>
    </i>
    <i>
      <x v="656"/>
    </i>
    <i>
      <x v="657"/>
    </i>
    <i>
      <x v="658"/>
    </i>
    <i>
      <x v="659"/>
    </i>
    <i>
      <x v="660"/>
    </i>
    <i>
      <x v="661"/>
    </i>
    <i>
      <x v="662"/>
    </i>
    <i>
      <x v="663"/>
    </i>
    <i>
      <x v="664"/>
    </i>
    <i>
      <x v="665"/>
    </i>
    <i>
      <x v="666"/>
    </i>
    <i>
      <x v="667"/>
    </i>
    <i>
      <x v="668"/>
    </i>
    <i>
      <x v="669"/>
    </i>
    <i>
      <x v="670"/>
    </i>
    <i>
      <x v="671"/>
    </i>
    <i>
      <x v="672"/>
    </i>
    <i>
      <x v="673"/>
    </i>
    <i>
      <x v="674"/>
    </i>
    <i>
      <x v="675"/>
    </i>
    <i>
      <x v="676"/>
    </i>
    <i>
      <x v="677"/>
    </i>
    <i>
      <x v="678"/>
    </i>
    <i>
      <x v="682"/>
    </i>
    <i>
      <x v="683"/>
    </i>
    <i>
      <x v="684"/>
    </i>
    <i>
      <x v="685"/>
    </i>
    <i>
      <x v="688"/>
    </i>
  </rowItems>
  <colItems count="1">
    <i/>
  </colItems>
  <dataFields count="1">
    <dataField name="Sum of GasP" fld="9" baseField="0" baseItem="0" numFmtId="165"/>
  </dataFields>
  <formats count="2">
    <format dxfId="106">
      <pivotArea outline="0" collapsedLevelsAreSubtotals="1" fieldPosition="0"/>
    </format>
    <format dxfId="105">
      <pivotArea dataOnly="0" labelOnly="1" outline="0" axis="axisValues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4F86E5F-3B5E-448D-A073-CD9153B13770}" name="crudeGasRetail" cacheId="16" applyNumberFormats="0" applyBorderFormats="0" applyFontFormats="0" applyPatternFormats="0" applyAlignmentFormats="0" applyWidthHeightFormats="1" dataCaption="Values" updatedVersion="8" minRefreshableVersion="5" useAutoFormatting="1" rowGrandTotals="0" itemPrintTitles="1" createdVersion="8" indent="0" outline="1" outlineData="1" multipleFieldFilters="0" chartFormat="5">
  <location ref="J1:L685" firstHeaderRow="0" firstDataRow="1" firstDataCol="1"/>
  <pivotFields count="11">
    <pivotField axis="axisRow" numFmtId="14" showAll="0">
      <items count="690">
        <item x="683"/>
        <item x="682"/>
        <item x="681"/>
        <item x="680"/>
        <item x="679"/>
        <item x="678"/>
        <item x="677"/>
        <item x="676"/>
        <item x="675"/>
        <item x="674"/>
        <item x="673"/>
        <item x="672"/>
        <item x="671"/>
        <item x="670"/>
        <item x="669"/>
        <item x="668"/>
        <item x="667"/>
        <item x="666"/>
        <item x="665"/>
        <item x="664"/>
        <item x="663"/>
        <item x="662"/>
        <item x="661"/>
        <item x="660"/>
        <item x="659"/>
        <item x="658"/>
        <item x="657"/>
        <item x="656"/>
        <item x="655"/>
        <item x="654"/>
        <item x="653"/>
        <item x="652"/>
        <item x="651"/>
        <item x="650"/>
        <item x="649"/>
        <item x="648"/>
        <item x="647"/>
        <item x="646"/>
        <item x="645"/>
        <item x="644"/>
        <item x="643"/>
        <item x="642"/>
        <item x="641"/>
        <item x="640"/>
        <item x="639"/>
        <item x="638"/>
        <item x="637"/>
        <item x="636"/>
        <item x="635"/>
        <item x="634"/>
        <item x="633"/>
        <item x="632"/>
        <item x="631"/>
        <item x="630"/>
        <item x="629"/>
        <item x="628"/>
        <item x="627"/>
        <item x="626"/>
        <item x="625"/>
        <item x="624"/>
        <item x="623"/>
        <item x="622"/>
        <item x="621"/>
        <item x="620"/>
        <item x="619"/>
        <item x="618"/>
        <item x="617"/>
        <item x="616"/>
        <item x="615"/>
        <item x="614"/>
        <item x="613"/>
        <item x="612"/>
        <item x="611"/>
        <item x="610"/>
        <item x="609"/>
        <item x="608"/>
        <item x="607"/>
        <item x="606"/>
        <item x="605"/>
        <item x="604"/>
        <item x="603"/>
        <item x="602"/>
        <item x="601"/>
        <item x="600"/>
        <item x="599"/>
        <item x="598"/>
        <item x="597"/>
        <item x="596"/>
        <item x="595"/>
        <item x="594"/>
        <item x="593"/>
        <item x="592"/>
        <item x="591"/>
        <item x="590"/>
        <item x="589"/>
        <item x="588"/>
        <item x="587"/>
        <item x="586"/>
        <item x="585"/>
        <item x="584"/>
        <item x="583"/>
        <item x="582"/>
        <item x="581"/>
        <item x="580"/>
        <item x="579"/>
        <item x="578"/>
        <item x="577"/>
        <item x="576"/>
        <item x="575"/>
        <item x="574"/>
        <item x="573"/>
        <item x="572"/>
        <item x="571"/>
        <item x="570"/>
        <item x="569"/>
        <item x="568"/>
        <item x="567"/>
        <item x="566"/>
        <item x="565"/>
        <item x="564"/>
        <item x="563"/>
        <item x="562"/>
        <item x="561"/>
        <item x="560"/>
        <item x="559"/>
        <item x="558"/>
        <item x="557"/>
        <item x="556"/>
        <item x="555"/>
        <item x="554"/>
        <item x="553"/>
        <item x="552"/>
        <item x="551"/>
        <item x="550"/>
        <item x="549"/>
        <item x="548"/>
        <item x="547"/>
        <item x="546"/>
        <item x="545"/>
        <item x="544"/>
        <item x="543"/>
        <item x="542"/>
        <item x="541"/>
        <item x="540"/>
        <item x="539"/>
        <item x="538"/>
        <item x="537"/>
        <item x="536"/>
        <item x="535"/>
        <item x="534"/>
        <item x="533"/>
        <item x="532"/>
        <item x="531"/>
        <item x="530"/>
        <item x="529"/>
        <item x="528"/>
        <item x="527"/>
        <item x="526"/>
        <item x="525"/>
        <item x="524"/>
        <item x="523"/>
        <item x="522"/>
        <item x="521"/>
        <item x="520"/>
        <item x="519"/>
        <item x="518"/>
        <item x="517"/>
        <item x="516"/>
        <item x="515"/>
        <item x="514"/>
        <item x="513"/>
        <item x="512"/>
        <item x="511"/>
        <item x="510"/>
        <item x="509"/>
        <item x="508"/>
        <item x="507"/>
        <item x="506"/>
        <item x="505"/>
        <item x="504"/>
        <item x="503"/>
        <item x="502"/>
        <item x="501"/>
        <item x="500"/>
        <item x="499"/>
        <item x="498"/>
        <item x="497"/>
        <item x="496"/>
        <item x="495"/>
        <item x="494"/>
        <item x="493"/>
        <item x="492"/>
        <item x="491"/>
        <item x="490"/>
        <item x="489"/>
        <item x="488"/>
        <item x="487"/>
        <item x="486"/>
        <item x="485"/>
        <item x="484"/>
        <item x="483"/>
        <item x="482"/>
        <item x="481"/>
        <item x="480"/>
        <item x="479"/>
        <item x="478"/>
        <item x="477"/>
        <item x="476"/>
        <item x="475"/>
        <item x="474"/>
        <item x="473"/>
        <item x="472"/>
        <item x="471"/>
        <item x="470"/>
        <item x="469"/>
        <item x="468"/>
        <item x="467"/>
        <item x="466"/>
        <item x="465"/>
        <item x="464"/>
        <item x="463"/>
        <item x="462"/>
        <item x="461"/>
        <item x="460"/>
        <item x="459"/>
        <item x="458"/>
        <item x="457"/>
        <item x="456"/>
        <item x="455"/>
        <item x="454"/>
        <item x="453"/>
        <item x="452"/>
        <item x="451"/>
        <item x="450"/>
        <item x="449"/>
        <item x="448"/>
        <item x="447"/>
        <item x="446"/>
        <item x="445"/>
        <item x="444"/>
        <item x="443"/>
        <item x="442"/>
        <item x="441"/>
        <item x="440"/>
        <item x="439"/>
        <item x="438"/>
        <item x="437"/>
        <item x="436"/>
        <item x="435"/>
        <item x="434"/>
        <item x="433"/>
        <item x="432"/>
        <item x="431"/>
        <item x="430"/>
        <item x="429"/>
        <item x="428"/>
        <item x="427"/>
        <item x="426"/>
        <item x="425"/>
        <item x="424"/>
        <item x="423"/>
        <item x="422"/>
        <item x="421"/>
        <item x="420"/>
        <item x="419"/>
        <item x="418"/>
        <item x="417"/>
        <item x="416"/>
        <item x="415"/>
        <item x="414"/>
        <item x="413"/>
        <item x="412"/>
        <item x="411"/>
        <item x="410"/>
        <item x="409"/>
        <item x="408"/>
        <item x="407"/>
        <item x="406"/>
        <item x="405"/>
        <item x="404"/>
        <item x="403"/>
        <item x="402"/>
        <item x="401"/>
        <item x="400"/>
        <item x="399"/>
        <item x="398"/>
        <item x="397"/>
        <item x="396"/>
        <item x="395"/>
        <item x="394"/>
        <item x="393"/>
        <item x="392"/>
        <item x="391"/>
        <item x="390"/>
        <item x="389"/>
        <item x="388"/>
        <item x="387"/>
        <item x="386"/>
        <item x="385"/>
        <item x="384"/>
        <item x="383"/>
        <item x="382"/>
        <item x="381"/>
        <item x="380"/>
        <item x="379"/>
        <item x="378"/>
        <item x="377"/>
        <item x="376"/>
        <item x="375"/>
        <item x="374"/>
        <item x="373"/>
        <item x="372"/>
        <item x="371"/>
        <item x="370"/>
        <item x="369"/>
        <item x="368"/>
        <item x="367"/>
        <item x="366"/>
        <item x="365"/>
        <item x="364"/>
        <item x="363"/>
        <item x="362"/>
        <item x="361"/>
        <item x="360"/>
        <item x="359"/>
        <item x="358"/>
        <item x="357"/>
        <item x="356"/>
        <item x="355"/>
        <item x="354"/>
        <item x="353"/>
        <item x="352"/>
        <item x="351"/>
        <item x="350"/>
        <item x="349"/>
        <item x="348"/>
        <item x="347"/>
        <item x="346"/>
        <item x="345"/>
        <item x="344"/>
        <item x="343"/>
        <item x="342"/>
        <item x="341"/>
        <item x="340"/>
        <item x="339"/>
        <item x="338"/>
        <item x="337"/>
        <item x="336"/>
        <item x="335"/>
        <item x="334"/>
        <item x="333"/>
        <item x="332"/>
        <item x="331"/>
        <item x="330"/>
        <item x="329"/>
        <item x="328"/>
        <item x="327"/>
        <item x="326"/>
        <item x="325"/>
        <item x="324"/>
        <item x="323"/>
        <item x="322"/>
        <item x="321"/>
        <item x="320"/>
        <item x="319"/>
        <item x="318"/>
        <item x="317"/>
        <item x="316"/>
        <item x="315"/>
        <item x="314"/>
        <item x="313"/>
        <item x="312"/>
        <item x="311"/>
        <item x="310"/>
        <item x="309"/>
        <item x="308"/>
        <item x="307"/>
        <item x="306"/>
        <item x="305"/>
        <item x="304"/>
        <item x="303"/>
        <item x="302"/>
        <item x="301"/>
        <item x="300"/>
        <item x="299"/>
        <item x="298"/>
        <item x="297"/>
        <item x="296"/>
        <item x="295"/>
        <item x="294"/>
        <item x="293"/>
        <item x="292"/>
        <item x="291"/>
        <item x="290"/>
        <item x="289"/>
        <item x="288"/>
        <item x="287"/>
        <item x="286"/>
        <item x="285"/>
        <item x="284"/>
        <item x="283"/>
        <item x="282"/>
        <item x="281"/>
        <item x="280"/>
        <item x="279"/>
        <item x="278"/>
        <item x="277"/>
        <item x="276"/>
        <item x="275"/>
        <item x="274"/>
        <item x="273"/>
        <item x="272"/>
        <item x="271"/>
        <item x="270"/>
        <item x="269"/>
        <item x="268"/>
        <item x="267"/>
        <item x="266"/>
        <item x="265"/>
        <item x="264"/>
        <item x="263"/>
        <item x="262"/>
        <item x="261"/>
        <item x="260"/>
        <item x="259"/>
        <item x="258"/>
        <item x="257"/>
        <item x="256"/>
        <item x="255"/>
        <item x="254"/>
        <item x="253"/>
        <item x="252"/>
        <item x="251"/>
        <item x="250"/>
        <item x="249"/>
        <item x="248"/>
        <item x="247"/>
        <item x="246"/>
        <item x="245"/>
        <item x="244"/>
        <item x="243"/>
        <item x="242"/>
        <item x="241"/>
        <item x="240"/>
        <item x="239"/>
        <item x="238"/>
        <item x="237"/>
        <item x="236"/>
        <item x="235"/>
        <item x="234"/>
        <item x="233"/>
        <item x="232"/>
        <item x="231"/>
        <item x="230"/>
        <item x="229"/>
        <item x="228"/>
        <item x="227"/>
        <item x="226"/>
        <item x="225"/>
        <item x="224"/>
        <item x="223"/>
        <item x="222"/>
        <item x="221"/>
        <item x="220"/>
        <item x="219"/>
        <item x="218"/>
        <item x="217"/>
        <item x="216"/>
        <item x="215"/>
        <item x="214"/>
        <item x="213"/>
        <item x="212"/>
        <item x="211"/>
        <item x="210"/>
        <item x="209"/>
        <item x="208"/>
        <item x="207"/>
        <item x="206"/>
        <item x="205"/>
        <item x="204"/>
        <item x="203"/>
        <item x="202"/>
        <item x="201"/>
        <item x="200"/>
        <item x="199"/>
        <item x="198"/>
        <item x="197"/>
        <item x="196"/>
        <item x="195"/>
        <item x="194"/>
        <item x="193"/>
        <item x="192"/>
        <item x="191"/>
        <item x="190"/>
        <item x="189"/>
        <item x="188"/>
        <item x="187"/>
        <item x="186"/>
        <item x="185"/>
        <item x="184"/>
        <item x="183"/>
        <item x="182"/>
        <item x="181"/>
        <item x="180"/>
        <item x="179"/>
        <item x="178"/>
        <item x="177"/>
        <item x="176"/>
        <item x="175"/>
        <item x="174"/>
        <item x="173"/>
        <item x="172"/>
        <item x="171"/>
        <item x="170"/>
        <item x="169"/>
        <item x="168"/>
        <item x="167"/>
        <item x="166"/>
        <item x="165"/>
        <item x="164"/>
        <item x="163"/>
        <item x="162"/>
        <item x="161"/>
        <item x="160"/>
        <item x="159"/>
        <item x="158"/>
        <item x="157"/>
        <item x="156"/>
        <item x="155"/>
        <item x="154"/>
        <item x="153"/>
        <item x="152"/>
        <item x="151"/>
        <item x="150"/>
        <item x="149"/>
        <item x="148"/>
        <item x="147"/>
        <item x="146"/>
        <item x="145"/>
        <item x="144"/>
        <item x="143"/>
        <item x="142"/>
        <item x="141"/>
        <item x="140"/>
        <item x="139"/>
        <item x="138"/>
        <item x="137"/>
        <item x="136"/>
        <item x="135"/>
        <item x="134"/>
        <item x="133"/>
        <item x="132"/>
        <item x="131"/>
        <item x="130"/>
        <item x="129"/>
        <item x="128"/>
        <item x="127"/>
        <item x="126"/>
        <item x="125"/>
        <item x="124"/>
        <item x="123"/>
        <item x="122"/>
        <item x="121"/>
        <item x="120"/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m="1" x="684"/>
        <item m="1" x="687"/>
        <item m="1" x="685"/>
        <item x="4"/>
        <item x="3"/>
        <item x="2"/>
        <item x="1"/>
        <item m="1" x="688"/>
        <item m="1" x="686"/>
        <item x="0"/>
        <item t="default"/>
      </items>
    </pivotField>
    <pivotField numFmtId="165" showAll="0"/>
    <pivotField numFmtId="165" showAll="0"/>
    <pivotField numFmtId="165" showAll="0"/>
    <pivotField showAll="0"/>
    <pivotField showAll="0"/>
    <pivotField showAll="0"/>
    <pivotField numFmtId="165" showAll="0"/>
    <pivotField dataField="1" numFmtId="165" showAll="0"/>
    <pivotField dataField="1" showAll="0"/>
    <pivotField numFmtId="44" showAll="0"/>
  </pivotFields>
  <rowFields count="1">
    <field x="0"/>
  </rowFields>
  <rowItems count="68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86"/>
    </i>
    <i>
      <x v="187"/>
    </i>
    <i>
      <x v="188"/>
    </i>
    <i>
      <x v="189"/>
    </i>
    <i>
      <x v="190"/>
    </i>
    <i>
      <x v="191"/>
    </i>
    <i>
      <x v="192"/>
    </i>
    <i>
      <x v="193"/>
    </i>
    <i>
      <x v="194"/>
    </i>
    <i>
      <x v="195"/>
    </i>
    <i>
      <x v="196"/>
    </i>
    <i>
      <x v="197"/>
    </i>
    <i>
      <x v="198"/>
    </i>
    <i>
      <x v="199"/>
    </i>
    <i>
      <x v="200"/>
    </i>
    <i>
      <x v="201"/>
    </i>
    <i>
      <x v="202"/>
    </i>
    <i>
      <x v="203"/>
    </i>
    <i>
      <x v="204"/>
    </i>
    <i>
      <x v="205"/>
    </i>
    <i>
      <x v="206"/>
    </i>
    <i>
      <x v="207"/>
    </i>
    <i>
      <x v="208"/>
    </i>
    <i>
      <x v="209"/>
    </i>
    <i>
      <x v="210"/>
    </i>
    <i>
      <x v="211"/>
    </i>
    <i>
      <x v="212"/>
    </i>
    <i>
      <x v="213"/>
    </i>
    <i>
      <x v="214"/>
    </i>
    <i>
      <x v="215"/>
    </i>
    <i>
      <x v="216"/>
    </i>
    <i>
      <x v="217"/>
    </i>
    <i>
      <x v="218"/>
    </i>
    <i>
      <x v="219"/>
    </i>
    <i>
      <x v="220"/>
    </i>
    <i>
      <x v="221"/>
    </i>
    <i>
      <x v="222"/>
    </i>
    <i>
      <x v="223"/>
    </i>
    <i>
      <x v="224"/>
    </i>
    <i>
      <x v="225"/>
    </i>
    <i>
      <x v="226"/>
    </i>
    <i>
      <x v="227"/>
    </i>
    <i>
      <x v="228"/>
    </i>
    <i>
      <x v="229"/>
    </i>
    <i>
      <x v="230"/>
    </i>
    <i>
      <x v="231"/>
    </i>
    <i>
      <x v="232"/>
    </i>
    <i>
      <x v="233"/>
    </i>
    <i>
      <x v="234"/>
    </i>
    <i>
      <x v="235"/>
    </i>
    <i>
      <x v="236"/>
    </i>
    <i>
      <x v="237"/>
    </i>
    <i>
      <x v="238"/>
    </i>
    <i>
      <x v="239"/>
    </i>
    <i>
      <x v="240"/>
    </i>
    <i>
      <x v="241"/>
    </i>
    <i>
      <x v="242"/>
    </i>
    <i>
      <x v="243"/>
    </i>
    <i>
      <x v="244"/>
    </i>
    <i>
      <x v="245"/>
    </i>
    <i>
      <x v="246"/>
    </i>
    <i>
      <x v="247"/>
    </i>
    <i>
      <x v="248"/>
    </i>
    <i>
      <x v="249"/>
    </i>
    <i>
      <x v="250"/>
    </i>
    <i>
      <x v="251"/>
    </i>
    <i>
      <x v="252"/>
    </i>
    <i>
      <x v="253"/>
    </i>
    <i>
      <x v="254"/>
    </i>
    <i>
      <x v="255"/>
    </i>
    <i>
      <x v="256"/>
    </i>
    <i>
      <x v="257"/>
    </i>
    <i>
      <x v="258"/>
    </i>
    <i>
      <x v="259"/>
    </i>
    <i>
      <x v="260"/>
    </i>
    <i>
      <x v="261"/>
    </i>
    <i>
      <x v="262"/>
    </i>
    <i>
      <x v="263"/>
    </i>
    <i>
      <x v="264"/>
    </i>
    <i>
      <x v="265"/>
    </i>
    <i>
      <x v="266"/>
    </i>
    <i>
      <x v="267"/>
    </i>
    <i>
      <x v="268"/>
    </i>
    <i>
      <x v="269"/>
    </i>
    <i>
      <x v="270"/>
    </i>
    <i>
      <x v="271"/>
    </i>
    <i>
      <x v="272"/>
    </i>
    <i>
      <x v="273"/>
    </i>
    <i>
      <x v="274"/>
    </i>
    <i>
      <x v="275"/>
    </i>
    <i>
      <x v="276"/>
    </i>
    <i>
      <x v="277"/>
    </i>
    <i>
      <x v="278"/>
    </i>
    <i>
      <x v="279"/>
    </i>
    <i>
      <x v="280"/>
    </i>
    <i>
      <x v="281"/>
    </i>
    <i>
      <x v="282"/>
    </i>
    <i>
      <x v="283"/>
    </i>
    <i>
      <x v="284"/>
    </i>
    <i>
      <x v="285"/>
    </i>
    <i>
      <x v="286"/>
    </i>
    <i>
      <x v="287"/>
    </i>
    <i>
      <x v="288"/>
    </i>
    <i>
      <x v="289"/>
    </i>
    <i>
      <x v="290"/>
    </i>
    <i>
      <x v="291"/>
    </i>
    <i>
      <x v="292"/>
    </i>
    <i>
      <x v="293"/>
    </i>
    <i>
      <x v="294"/>
    </i>
    <i>
      <x v="295"/>
    </i>
    <i>
      <x v="296"/>
    </i>
    <i>
      <x v="297"/>
    </i>
    <i>
      <x v="298"/>
    </i>
    <i>
      <x v="299"/>
    </i>
    <i>
      <x v="300"/>
    </i>
    <i>
      <x v="301"/>
    </i>
    <i>
      <x v="302"/>
    </i>
    <i>
      <x v="303"/>
    </i>
    <i>
      <x v="304"/>
    </i>
    <i>
      <x v="305"/>
    </i>
    <i>
      <x v="306"/>
    </i>
    <i>
      <x v="307"/>
    </i>
    <i>
      <x v="308"/>
    </i>
    <i>
      <x v="309"/>
    </i>
    <i>
      <x v="310"/>
    </i>
    <i>
      <x v="311"/>
    </i>
    <i>
      <x v="312"/>
    </i>
    <i>
      <x v="313"/>
    </i>
    <i>
      <x v="314"/>
    </i>
    <i>
      <x v="315"/>
    </i>
    <i>
      <x v="316"/>
    </i>
    <i>
      <x v="317"/>
    </i>
    <i>
      <x v="318"/>
    </i>
    <i>
      <x v="319"/>
    </i>
    <i>
      <x v="320"/>
    </i>
    <i>
      <x v="321"/>
    </i>
    <i>
      <x v="322"/>
    </i>
    <i>
      <x v="323"/>
    </i>
    <i>
      <x v="324"/>
    </i>
    <i>
      <x v="325"/>
    </i>
    <i>
      <x v="326"/>
    </i>
    <i>
      <x v="327"/>
    </i>
    <i>
      <x v="328"/>
    </i>
    <i>
      <x v="329"/>
    </i>
    <i>
      <x v="330"/>
    </i>
    <i>
      <x v="331"/>
    </i>
    <i>
      <x v="332"/>
    </i>
    <i>
      <x v="333"/>
    </i>
    <i>
      <x v="334"/>
    </i>
    <i>
      <x v="335"/>
    </i>
    <i>
      <x v="336"/>
    </i>
    <i>
      <x v="337"/>
    </i>
    <i>
      <x v="338"/>
    </i>
    <i>
      <x v="339"/>
    </i>
    <i>
      <x v="340"/>
    </i>
    <i>
      <x v="341"/>
    </i>
    <i>
      <x v="342"/>
    </i>
    <i>
      <x v="343"/>
    </i>
    <i>
      <x v="344"/>
    </i>
    <i>
      <x v="345"/>
    </i>
    <i>
      <x v="346"/>
    </i>
    <i>
      <x v="347"/>
    </i>
    <i>
      <x v="348"/>
    </i>
    <i>
      <x v="349"/>
    </i>
    <i>
      <x v="350"/>
    </i>
    <i>
      <x v="351"/>
    </i>
    <i>
      <x v="352"/>
    </i>
    <i>
      <x v="353"/>
    </i>
    <i>
      <x v="354"/>
    </i>
    <i>
      <x v="355"/>
    </i>
    <i>
      <x v="356"/>
    </i>
    <i>
      <x v="357"/>
    </i>
    <i>
      <x v="358"/>
    </i>
    <i>
      <x v="359"/>
    </i>
    <i>
      <x v="360"/>
    </i>
    <i>
      <x v="361"/>
    </i>
    <i>
      <x v="362"/>
    </i>
    <i>
      <x v="363"/>
    </i>
    <i>
      <x v="364"/>
    </i>
    <i>
      <x v="365"/>
    </i>
    <i>
      <x v="366"/>
    </i>
    <i>
      <x v="367"/>
    </i>
    <i>
      <x v="368"/>
    </i>
    <i>
      <x v="369"/>
    </i>
    <i>
      <x v="370"/>
    </i>
    <i>
      <x v="371"/>
    </i>
    <i>
      <x v="372"/>
    </i>
    <i>
      <x v="373"/>
    </i>
    <i>
      <x v="374"/>
    </i>
    <i>
      <x v="375"/>
    </i>
    <i>
      <x v="376"/>
    </i>
    <i>
      <x v="377"/>
    </i>
    <i>
      <x v="378"/>
    </i>
    <i>
      <x v="379"/>
    </i>
    <i>
      <x v="380"/>
    </i>
    <i>
      <x v="381"/>
    </i>
    <i>
      <x v="382"/>
    </i>
    <i>
      <x v="383"/>
    </i>
    <i>
      <x v="384"/>
    </i>
    <i>
      <x v="385"/>
    </i>
    <i>
      <x v="386"/>
    </i>
    <i>
      <x v="387"/>
    </i>
    <i>
      <x v="388"/>
    </i>
    <i>
      <x v="389"/>
    </i>
    <i>
      <x v="390"/>
    </i>
    <i>
      <x v="391"/>
    </i>
    <i>
      <x v="392"/>
    </i>
    <i>
      <x v="393"/>
    </i>
    <i>
      <x v="394"/>
    </i>
    <i>
      <x v="395"/>
    </i>
    <i>
      <x v="396"/>
    </i>
    <i>
      <x v="397"/>
    </i>
    <i>
      <x v="398"/>
    </i>
    <i>
      <x v="399"/>
    </i>
    <i>
      <x v="400"/>
    </i>
    <i>
      <x v="401"/>
    </i>
    <i>
      <x v="402"/>
    </i>
    <i>
      <x v="403"/>
    </i>
    <i>
      <x v="404"/>
    </i>
    <i>
      <x v="405"/>
    </i>
    <i>
      <x v="406"/>
    </i>
    <i>
      <x v="407"/>
    </i>
    <i>
      <x v="408"/>
    </i>
    <i>
      <x v="409"/>
    </i>
    <i>
      <x v="410"/>
    </i>
    <i>
      <x v="411"/>
    </i>
    <i>
      <x v="412"/>
    </i>
    <i>
      <x v="413"/>
    </i>
    <i>
      <x v="414"/>
    </i>
    <i>
      <x v="415"/>
    </i>
    <i>
      <x v="416"/>
    </i>
    <i>
      <x v="417"/>
    </i>
    <i>
      <x v="418"/>
    </i>
    <i>
      <x v="419"/>
    </i>
    <i>
      <x v="420"/>
    </i>
    <i>
      <x v="421"/>
    </i>
    <i>
      <x v="422"/>
    </i>
    <i>
      <x v="423"/>
    </i>
    <i>
      <x v="424"/>
    </i>
    <i>
      <x v="425"/>
    </i>
    <i>
      <x v="426"/>
    </i>
    <i>
      <x v="427"/>
    </i>
    <i>
      <x v="428"/>
    </i>
    <i>
      <x v="429"/>
    </i>
    <i>
      <x v="430"/>
    </i>
    <i>
      <x v="431"/>
    </i>
    <i>
      <x v="432"/>
    </i>
    <i>
      <x v="433"/>
    </i>
    <i>
      <x v="434"/>
    </i>
    <i>
      <x v="435"/>
    </i>
    <i>
      <x v="436"/>
    </i>
    <i>
      <x v="437"/>
    </i>
    <i>
      <x v="438"/>
    </i>
    <i>
      <x v="439"/>
    </i>
    <i>
      <x v="440"/>
    </i>
    <i>
      <x v="441"/>
    </i>
    <i>
      <x v="442"/>
    </i>
    <i>
      <x v="443"/>
    </i>
    <i>
      <x v="444"/>
    </i>
    <i>
      <x v="445"/>
    </i>
    <i>
      <x v="446"/>
    </i>
    <i>
      <x v="447"/>
    </i>
    <i>
      <x v="448"/>
    </i>
    <i>
      <x v="449"/>
    </i>
    <i>
      <x v="450"/>
    </i>
    <i>
      <x v="451"/>
    </i>
    <i>
      <x v="452"/>
    </i>
    <i>
      <x v="453"/>
    </i>
    <i>
      <x v="454"/>
    </i>
    <i>
      <x v="455"/>
    </i>
    <i>
      <x v="456"/>
    </i>
    <i>
      <x v="457"/>
    </i>
    <i>
      <x v="458"/>
    </i>
    <i>
      <x v="459"/>
    </i>
    <i>
      <x v="460"/>
    </i>
    <i>
      <x v="461"/>
    </i>
    <i>
      <x v="462"/>
    </i>
    <i>
      <x v="463"/>
    </i>
    <i>
      <x v="464"/>
    </i>
    <i>
      <x v="465"/>
    </i>
    <i>
      <x v="466"/>
    </i>
    <i>
      <x v="467"/>
    </i>
    <i>
      <x v="468"/>
    </i>
    <i>
      <x v="469"/>
    </i>
    <i>
      <x v="470"/>
    </i>
    <i>
      <x v="471"/>
    </i>
    <i>
      <x v="472"/>
    </i>
    <i>
      <x v="473"/>
    </i>
    <i>
      <x v="474"/>
    </i>
    <i>
      <x v="475"/>
    </i>
    <i>
      <x v="476"/>
    </i>
    <i>
      <x v="477"/>
    </i>
    <i>
      <x v="478"/>
    </i>
    <i>
      <x v="479"/>
    </i>
    <i>
      <x v="480"/>
    </i>
    <i>
      <x v="481"/>
    </i>
    <i>
      <x v="482"/>
    </i>
    <i>
      <x v="483"/>
    </i>
    <i>
      <x v="484"/>
    </i>
    <i>
      <x v="485"/>
    </i>
    <i>
      <x v="486"/>
    </i>
    <i>
      <x v="487"/>
    </i>
    <i>
      <x v="488"/>
    </i>
    <i>
      <x v="489"/>
    </i>
    <i>
      <x v="490"/>
    </i>
    <i>
      <x v="491"/>
    </i>
    <i>
      <x v="492"/>
    </i>
    <i>
      <x v="493"/>
    </i>
    <i>
      <x v="494"/>
    </i>
    <i>
      <x v="495"/>
    </i>
    <i>
      <x v="496"/>
    </i>
    <i>
      <x v="497"/>
    </i>
    <i>
      <x v="498"/>
    </i>
    <i>
      <x v="499"/>
    </i>
    <i>
      <x v="500"/>
    </i>
    <i>
      <x v="501"/>
    </i>
    <i>
      <x v="502"/>
    </i>
    <i>
      <x v="503"/>
    </i>
    <i>
      <x v="504"/>
    </i>
    <i>
      <x v="505"/>
    </i>
    <i>
      <x v="506"/>
    </i>
    <i>
      <x v="507"/>
    </i>
    <i>
      <x v="508"/>
    </i>
    <i>
      <x v="509"/>
    </i>
    <i>
      <x v="510"/>
    </i>
    <i>
      <x v="511"/>
    </i>
    <i>
      <x v="512"/>
    </i>
    <i>
      <x v="513"/>
    </i>
    <i>
      <x v="514"/>
    </i>
    <i>
      <x v="515"/>
    </i>
    <i>
      <x v="516"/>
    </i>
    <i>
      <x v="517"/>
    </i>
    <i>
      <x v="518"/>
    </i>
    <i>
      <x v="519"/>
    </i>
    <i>
      <x v="520"/>
    </i>
    <i>
      <x v="521"/>
    </i>
    <i>
      <x v="522"/>
    </i>
    <i>
      <x v="523"/>
    </i>
    <i>
      <x v="524"/>
    </i>
    <i>
      <x v="525"/>
    </i>
    <i>
      <x v="526"/>
    </i>
    <i>
      <x v="527"/>
    </i>
    <i>
      <x v="528"/>
    </i>
    <i>
      <x v="529"/>
    </i>
    <i>
      <x v="530"/>
    </i>
    <i>
      <x v="531"/>
    </i>
    <i>
      <x v="532"/>
    </i>
    <i>
      <x v="533"/>
    </i>
    <i>
      <x v="534"/>
    </i>
    <i>
      <x v="535"/>
    </i>
    <i>
      <x v="536"/>
    </i>
    <i>
      <x v="537"/>
    </i>
    <i>
      <x v="538"/>
    </i>
    <i>
      <x v="539"/>
    </i>
    <i>
      <x v="540"/>
    </i>
    <i>
      <x v="541"/>
    </i>
    <i>
      <x v="542"/>
    </i>
    <i>
      <x v="543"/>
    </i>
    <i>
      <x v="544"/>
    </i>
    <i>
      <x v="545"/>
    </i>
    <i>
      <x v="546"/>
    </i>
    <i>
      <x v="547"/>
    </i>
    <i>
      <x v="548"/>
    </i>
    <i>
      <x v="549"/>
    </i>
    <i>
      <x v="550"/>
    </i>
    <i>
      <x v="551"/>
    </i>
    <i>
      <x v="552"/>
    </i>
    <i>
      <x v="553"/>
    </i>
    <i>
      <x v="554"/>
    </i>
    <i>
      <x v="555"/>
    </i>
    <i>
      <x v="556"/>
    </i>
    <i>
      <x v="557"/>
    </i>
    <i>
      <x v="558"/>
    </i>
    <i>
      <x v="559"/>
    </i>
    <i>
      <x v="560"/>
    </i>
    <i>
      <x v="561"/>
    </i>
    <i>
      <x v="562"/>
    </i>
    <i>
      <x v="563"/>
    </i>
    <i>
      <x v="564"/>
    </i>
    <i>
      <x v="565"/>
    </i>
    <i>
      <x v="566"/>
    </i>
    <i>
      <x v="567"/>
    </i>
    <i>
      <x v="568"/>
    </i>
    <i>
      <x v="569"/>
    </i>
    <i>
      <x v="570"/>
    </i>
    <i>
      <x v="571"/>
    </i>
    <i>
      <x v="572"/>
    </i>
    <i>
      <x v="573"/>
    </i>
    <i>
      <x v="574"/>
    </i>
    <i>
      <x v="575"/>
    </i>
    <i>
      <x v="576"/>
    </i>
    <i>
      <x v="577"/>
    </i>
    <i>
      <x v="578"/>
    </i>
    <i>
      <x v="579"/>
    </i>
    <i>
      <x v="580"/>
    </i>
    <i>
      <x v="581"/>
    </i>
    <i>
      <x v="582"/>
    </i>
    <i>
      <x v="583"/>
    </i>
    <i>
      <x v="584"/>
    </i>
    <i>
      <x v="585"/>
    </i>
    <i>
      <x v="586"/>
    </i>
    <i>
      <x v="587"/>
    </i>
    <i>
      <x v="588"/>
    </i>
    <i>
      <x v="589"/>
    </i>
    <i>
      <x v="590"/>
    </i>
    <i>
      <x v="591"/>
    </i>
    <i>
      <x v="592"/>
    </i>
    <i>
      <x v="593"/>
    </i>
    <i>
      <x v="594"/>
    </i>
    <i>
      <x v="595"/>
    </i>
    <i>
      <x v="596"/>
    </i>
    <i>
      <x v="597"/>
    </i>
    <i>
      <x v="598"/>
    </i>
    <i>
      <x v="599"/>
    </i>
    <i>
      <x v="600"/>
    </i>
    <i>
      <x v="601"/>
    </i>
    <i>
      <x v="602"/>
    </i>
    <i>
      <x v="603"/>
    </i>
    <i>
      <x v="604"/>
    </i>
    <i>
      <x v="605"/>
    </i>
    <i>
      <x v="606"/>
    </i>
    <i>
      <x v="607"/>
    </i>
    <i>
      <x v="608"/>
    </i>
    <i>
      <x v="609"/>
    </i>
    <i>
      <x v="610"/>
    </i>
    <i>
      <x v="611"/>
    </i>
    <i>
      <x v="612"/>
    </i>
    <i>
      <x v="613"/>
    </i>
    <i>
      <x v="614"/>
    </i>
    <i>
      <x v="615"/>
    </i>
    <i>
      <x v="616"/>
    </i>
    <i>
      <x v="617"/>
    </i>
    <i>
      <x v="618"/>
    </i>
    <i>
      <x v="619"/>
    </i>
    <i>
      <x v="620"/>
    </i>
    <i>
      <x v="621"/>
    </i>
    <i>
      <x v="622"/>
    </i>
    <i>
      <x v="623"/>
    </i>
    <i>
      <x v="624"/>
    </i>
    <i>
      <x v="625"/>
    </i>
    <i>
      <x v="626"/>
    </i>
    <i>
      <x v="627"/>
    </i>
    <i>
      <x v="628"/>
    </i>
    <i>
      <x v="629"/>
    </i>
    <i>
      <x v="630"/>
    </i>
    <i>
      <x v="631"/>
    </i>
    <i>
      <x v="632"/>
    </i>
    <i>
      <x v="633"/>
    </i>
    <i>
      <x v="634"/>
    </i>
    <i>
      <x v="635"/>
    </i>
    <i>
      <x v="636"/>
    </i>
    <i>
      <x v="637"/>
    </i>
    <i>
      <x v="638"/>
    </i>
    <i>
      <x v="639"/>
    </i>
    <i>
      <x v="640"/>
    </i>
    <i>
      <x v="641"/>
    </i>
    <i>
      <x v="642"/>
    </i>
    <i>
      <x v="643"/>
    </i>
    <i>
      <x v="644"/>
    </i>
    <i>
      <x v="645"/>
    </i>
    <i>
      <x v="646"/>
    </i>
    <i>
      <x v="647"/>
    </i>
    <i>
      <x v="648"/>
    </i>
    <i>
      <x v="649"/>
    </i>
    <i>
      <x v="650"/>
    </i>
    <i>
      <x v="651"/>
    </i>
    <i>
      <x v="652"/>
    </i>
    <i>
      <x v="653"/>
    </i>
    <i>
      <x v="654"/>
    </i>
    <i>
      <x v="655"/>
    </i>
    <i>
      <x v="656"/>
    </i>
    <i>
      <x v="657"/>
    </i>
    <i>
      <x v="658"/>
    </i>
    <i>
      <x v="659"/>
    </i>
    <i>
      <x v="660"/>
    </i>
    <i>
      <x v="661"/>
    </i>
    <i>
      <x v="662"/>
    </i>
    <i>
      <x v="663"/>
    </i>
    <i>
      <x v="664"/>
    </i>
    <i>
      <x v="665"/>
    </i>
    <i>
      <x v="666"/>
    </i>
    <i>
      <x v="667"/>
    </i>
    <i>
      <x v="668"/>
    </i>
    <i>
      <x v="669"/>
    </i>
    <i>
      <x v="670"/>
    </i>
    <i>
      <x v="671"/>
    </i>
    <i>
      <x v="672"/>
    </i>
    <i>
      <x v="673"/>
    </i>
    <i>
      <x v="674"/>
    </i>
    <i>
      <x v="675"/>
    </i>
    <i>
      <x v="676"/>
    </i>
    <i>
      <x v="677"/>
    </i>
    <i>
      <x v="678"/>
    </i>
    <i>
      <x v="682"/>
    </i>
    <i>
      <x v="683"/>
    </i>
    <i>
      <x v="684"/>
    </i>
    <i>
      <x v="685"/>
    </i>
    <i>
      <x v="688"/>
    </i>
  </rowItems>
  <colFields count="1">
    <field x="-2"/>
  </colFields>
  <colItems count="2">
    <i>
      <x/>
    </i>
    <i i="1">
      <x v="1"/>
    </i>
  </colItems>
  <dataFields count="2">
    <dataField name="WholeSaleGas" fld="8" baseField="0" baseItem="0"/>
    <dataField name="RetailGas" fld="9" baseField="0" baseItem="0"/>
  </dataFields>
  <formats count="1">
    <format dxfId="107">
      <pivotArea dataOnly="0" outline="0" fieldPosition="0">
        <references count="1">
          <reference field="4294967294" count="2">
            <x v="0"/>
            <x v="1"/>
          </reference>
        </references>
      </pivotArea>
    </format>
  </formats>
  <chartFormats count="4">
    <chartFormat chart="2" format="7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8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4" format="1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12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3F6AA29-3C72-424A-8B44-656E08B377F6}" name="PivotTable5" cacheId="16" applyNumberFormats="0" applyBorderFormats="0" applyFontFormats="0" applyPatternFormats="0" applyAlignmentFormats="0" applyWidthHeightFormats="1" dataCaption="Values" updatedVersion="8" minRefreshableVersion="3" useAutoFormatting="1" rowGrandTotals="0" itemPrintTitles="1" createdVersion="8" indent="0" outline="1" outlineData="1" multipleFieldFilters="0" chartFormat="1">
  <location ref="D1:F685" firstHeaderRow="0" firstDataRow="1" firstDataCol="1"/>
  <pivotFields count="11">
    <pivotField axis="axisRow" numFmtId="14" showAll="0">
      <items count="690">
        <item x="683"/>
        <item x="682"/>
        <item x="681"/>
        <item x="680"/>
        <item x="679"/>
        <item x="678"/>
        <item x="677"/>
        <item x="676"/>
        <item x="675"/>
        <item x="674"/>
        <item x="673"/>
        <item x="672"/>
        <item x="671"/>
        <item x="670"/>
        <item x="669"/>
        <item x="668"/>
        <item x="667"/>
        <item x="666"/>
        <item x="665"/>
        <item x="664"/>
        <item x="663"/>
        <item x="662"/>
        <item x="661"/>
        <item x="660"/>
        <item x="659"/>
        <item x="658"/>
        <item x="657"/>
        <item x="656"/>
        <item x="655"/>
        <item x="654"/>
        <item x="653"/>
        <item x="652"/>
        <item x="651"/>
        <item x="650"/>
        <item x="649"/>
        <item x="648"/>
        <item x="647"/>
        <item x="646"/>
        <item x="645"/>
        <item x="644"/>
        <item x="643"/>
        <item x="642"/>
        <item x="641"/>
        <item x="640"/>
        <item x="639"/>
        <item x="638"/>
        <item x="637"/>
        <item x="636"/>
        <item x="635"/>
        <item x="634"/>
        <item x="633"/>
        <item x="632"/>
        <item x="631"/>
        <item x="630"/>
        <item x="629"/>
        <item x="628"/>
        <item x="627"/>
        <item x="626"/>
        <item x="625"/>
        <item x="624"/>
        <item x="623"/>
        <item x="622"/>
        <item x="621"/>
        <item x="620"/>
        <item x="619"/>
        <item x="618"/>
        <item x="617"/>
        <item x="616"/>
        <item x="615"/>
        <item x="614"/>
        <item x="613"/>
        <item x="612"/>
        <item x="611"/>
        <item x="610"/>
        <item x="609"/>
        <item x="608"/>
        <item x="607"/>
        <item x="606"/>
        <item x="605"/>
        <item x="604"/>
        <item x="603"/>
        <item x="602"/>
        <item x="601"/>
        <item x="600"/>
        <item x="599"/>
        <item x="598"/>
        <item x="597"/>
        <item x="596"/>
        <item x="595"/>
        <item x="594"/>
        <item x="593"/>
        <item x="592"/>
        <item x="591"/>
        <item x="590"/>
        <item x="589"/>
        <item x="588"/>
        <item x="587"/>
        <item x="586"/>
        <item x="585"/>
        <item x="584"/>
        <item x="583"/>
        <item x="582"/>
        <item x="581"/>
        <item x="580"/>
        <item x="579"/>
        <item x="578"/>
        <item x="577"/>
        <item x="576"/>
        <item x="575"/>
        <item x="574"/>
        <item x="573"/>
        <item x="572"/>
        <item x="571"/>
        <item x="570"/>
        <item x="569"/>
        <item x="568"/>
        <item x="567"/>
        <item x="566"/>
        <item x="565"/>
        <item x="564"/>
        <item x="563"/>
        <item x="562"/>
        <item x="561"/>
        <item x="560"/>
        <item x="559"/>
        <item x="558"/>
        <item x="557"/>
        <item x="556"/>
        <item x="555"/>
        <item x="554"/>
        <item x="553"/>
        <item x="552"/>
        <item x="551"/>
        <item x="550"/>
        <item x="549"/>
        <item x="548"/>
        <item x="547"/>
        <item x="546"/>
        <item x="545"/>
        <item x="544"/>
        <item x="543"/>
        <item x="542"/>
        <item x="541"/>
        <item x="540"/>
        <item x="539"/>
        <item x="538"/>
        <item x="537"/>
        <item x="536"/>
        <item x="535"/>
        <item x="534"/>
        <item x="533"/>
        <item x="532"/>
        <item x="531"/>
        <item x="530"/>
        <item x="529"/>
        <item x="528"/>
        <item x="527"/>
        <item x="526"/>
        <item x="525"/>
        <item x="524"/>
        <item x="523"/>
        <item x="522"/>
        <item x="521"/>
        <item x="520"/>
        <item x="519"/>
        <item x="518"/>
        <item x="517"/>
        <item x="516"/>
        <item x="515"/>
        <item x="514"/>
        <item x="513"/>
        <item x="512"/>
        <item x="511"/>
        <item x="510"/>
        <item x="509"/>
        <item x="508"/>
        <item x="507"/>
        <item x="506"/>
        <item x="505"/>
        <item x="504"/>
        <item x="503"/>
        <item x="502"/>
        <item x="501"/>
        <item x="500"/>
        <item x="499"/>
        <item x="498"/>
        <item x="497"/>
        <item x="496"/>
        <item x="495"/>
        <item x="494"/>
        <item x="493"/>
        <item x="492"/>
        <item x="491"/>
        <item x="490"/>
        <item x="489"/>
        <item x="488"/>
        <item x="487"/>
        <item x="486"/>
        <item x="485"/>
        <item x="484"/>
        <item x="483"/>
        <item x="482"/>
        <item x="481"/>
        <item x="480"/>
        <item x="479"/>
        <item x="478"/>
        <item x="477"/>
        <item x="476"/>
        <item x="475"/>
        <item x="474"/>
        <item x="473"/>
        <item x="472"/>
        <item x="471"/>
        <item x="470"/>
        <item x="469"/>
        <item x="468"/>
        <item x="467"/>
        <item x="466"/>
        <item x="465"/>
        <item x="464"/>
        <item x="463"/>
        <item x="462"/>
        <item x="461"/>
        <item x="460"/>
        <item x="459"/>
        <item x="458"/>
        <item x="457"/>
        <item x="456"/>
        <item x="455"/>
        <item x="454"/>
        <item x="453"/>
        <item x="452"/>
        <item x="451"/>
        <item x="450"/>
        <item x="449"/>
        <item x="448"/>
        <item x="447"/>
        <item x="446"/>
        <item x="445"/>
        <item x="444"/>
        <item x="443"/>
        <item x="442"/>
        <item x="441"/>
        <item x="440"/>
        <item x="439"/>
        <item x="438"/>
        <item x="437"/>
        <item x="436"/>
        <item x="435"/>
        <item x="434"/>
        <item x="433"/>
        <item x="432"/>
        <item x="431"/>
        <item x="430"/>
        <item x="429"/>
        <item x="428"/>
        <item x="427"/>
        <item x="426"/>
        <item x="425"/>
        <item x="424"/>
        <item x="423"/>
        <item x="422"/>
        <item x="421"/>
        <item x="420"/>
        <item x="419"/>
        <item x="418"/>
        <item x="417"/>
        <item x="416"/>
        <item x="415"/>
        <item x="414"/>
        <item x="413"/>
        <item x="412"/>
        <item x="411"/>
        <item x="410"/>
        <item x="409"/>
        <item x="408"/>
        <item x="407"/>
        <item x="406"/>
        <item x="405"/>
        <item x="404"/>
        <item x="403"/>
        <item x="402"/>
        <item x="401"/>
        <item x="400"/>
        <item x="399"/>
        <item x="398"/>
        <item x="397"/>
        <item x="396"/>
        <item x="395"/>
        <item x="394"/>
        <item x="393"/>
        <item x="392"/>
        <item x="391"/>
        <item x="390"/>
        <item x="389"/>
        <item x="388"/>
        <item x="387"/>
        <item x="386"/>
        <item x="385"/>
        <item x="384"/>
        <item x="383"/>
        <item x="382"/>
        <item x="381"/>
        <item x="380"/>
        <item x="379"/>
        <item x="378"/>
        <item x="377"/>
        <item x="376"/>
        <item x="375"/>
        <item x="374"/>
        <item x="373"/>
        <item x="372"/>
        <item x="371"/>
        <item x="370"/>
        <item x="369"/>
        <item x="368"/>
        <item x="367"/>
        <item x="366"/>
        <item x="365"/>
        <item x="364"/>
        <item x="363"/>
        <item x="362"/>
        <item x="361"/>
        <item x="360"/>
        <item x="359"/>
        <item x="358"/>
        <item x="357"/>
        <item x="356"/>
        <item x="355"/>
        <item x="354"/>
        <item x="353"/>
        <item x="352"/>
        <item x="351"/>
        <item x="350"/>
        <item x="349"/>
        <item x="348"/>
        <item x="347"/>
        <item x="346"/>
        <item x="345"/>
        <item x="344"/>
        <item x="343"/>
        <item x="342"/>
        <item x="341"/>
        <item x="340"/>
        <item x="339"/>
        <item x="338"/>
        <item x="337"/>
        <item x="336"/>
        <item x="335"/>
        <item x="334"/>
        <item x="333"/>
        <item x="332"/>
        <item x="331"/>
        <item x="330"/>
        <item x="329"/>
        <item x="328"/>
        <item x="327"/>
        <item x="326"/>
        <item x="325"/>
        <item x="324"/>
        <item x="323"/>
        <item x="322"/>
        <item x="321"/>
        <item x="320"/>
        <item x="319"/>
        <item x="318"/>
        <item x="317"/>
        <item x="316"/>
        <item x="315"/>
        <item x="314"/>
        <item x="313"/>
        <item x="312"/>
        <item x="311"/>
        <item x="310"/>
        <item x="309"/>
        <item x="308"/>
        <item x="307"/>
        <item x="306"/>
        <item x="305"/>
        <item x="304"/>
        <item x="303"/>
        <item x="302"/>
        <item x="301"/>
        <item x="300"/>
        <item x="299"/>
        <item x="298"/>
        <item x="297"/>
        <item x="296"/>
        <item x="295"/>
        <item x="294"/>
        <item x="293"/>
        <item x="292"/>
        <item x="291"/>
        <item x="290"/>
        <item x="289"/>
        <item x="288"/>
        <item x="287"/>
        <item x="286"/>
        <item x="285"/>
        <item x="284"/>
        <item x="283"/>
        <item x="282"/>
        <item x="281"/>
        <item x="280"/>
        <item x="279"/>
        <item x="278"/>
        <item x="277"/>
        <item x="276"/>
        <item x="275"/>
        <item x="274"/>
        <item x="273"/>
        <item x="272"/>
        <item x="271"/>
        <item x="270"/>
        <item x="269"/>
        <item x="268"/>
        <item x="267"/>
        <item x="266"/>
        <item x="265"/>
        <item x="264"/>
        <item x="263"/>
        <item x="262"/>
        <item x="261"/>
        <item x="260"/>
        <item x="259"/>
        <item x="258"/>
        <item x="257"/>
        <item x="256"/>
        <item x="255"/>
        <item x="254"/>
        <item x="253"/>
        <item x="252"/>
        <item x="251"/>
        <item x="250"/>
        <item x="249"/>
        <item x="248"/>
        <item x="247"/>
        <item x="246"/>
        <item x="245"/>
        <item x="244"/>
        <item x="243"/>
        <item x="242"/>
        <item x="241"/>
        <item x="240"/>
        <item x="239"/>
        <item x="238"/>
        <item x="237"/>
        <item x="236"/>
        <item x="235"/>
        <item x="234"/>
        <item x="233"/>
        <item x="232"/>
        <item x="231"/>
        <item x="230"/>
        <item x="229"/>
        <item x="228"/>
        <item x="227"/>
        <item x="226"/>
        <item x="225"/>
        <item x="224"/>
        <item x="223"/>
        <item x="222"/>
        <item x="221"/>
        <item x="220"/>
        <item x="219"/>
        <item x="218"/>
        <item x="217"/>
        <item x="216"/>
        <item x="215"/>
        <item x="214"/>
        <item x="213"/>
        <item x="212"/>
        <item x="211"/>
        <item x="210"/>
        <item x="209"/>
        <item x="208"/>
        <item x="207"/>
        <item x="206"/>
        <item x="205"/>
        <item x="204"/>
        <item x="203"/>
        <item x="202"/>
        <item x="201"/>
        <item x="200"/>
        <item x="199"/>
        <item x="198"/>
        <item x="197"/>
        <item x="196"/>
        <item x="195"/>
        <item x="194"/>
        <item x="193"/>
        <item x="192"/>
        <item x="191"/>
        <item x="190"/>
        <item x="189"/>
        <item x="188"/>
        <item x="187"/>
        <item x="186"/>
        <item x="185"/>
        <item x="184"/>
        <item x="183"/>
        <item x="182"/>
        <item x="181"/>
        <item x="180"/>
        <item x="179"/>
        <item x="178"/>
        <item x="177"/>
        <item x="176"/>
        <item x="175"/>
        <item x="174"/>
        <item x="173"/>
        <item x="172"/>
        <item x="171"/>
        <item x="170"/>
        <item x="169"/>
        <item x="168"/>
        <item x="167"/>
        <item x="166"/>
        <item x="165"/>
        <item x="164"/>
        <item x="163"/>
        <item x="162"/>
        <item x="161"/>
        <item x="160"/>
        <item x="159"/>
        <item x="158"/>
        <item x="157"/>
        <item x="156"/>
        <item x="155"/>
        <item x="154"/>
        <item x="153"/>
        <item x="152"/>
        <item x="151"/>
        <item x="150"/>
        <item x="149"/>
        <item x="148"/>
        <item x="147"/>
        <item x="146"/>
        <item x="145"/>
        <item x="144"/>
        <item x="143"/>
        <item x="142"/>
        <item x="141"/>
        <item x="140"/>
        <item x="139"/>
        <item x="138"/>
        <item x="137"/>
        <item x="136"/>
        <item x="135"/>
        <item x="134"/>
        <item x="133"/>
        <item x="132"/>
        <item x="131"/>
        <item x="130"/>
        <item x="129"/>
        <item x="128"/>
        <item x="127"/>
        <item x="126"/>
        <item x="125"/>
        <item x="124"/>
        <item x="123"/>
        <item x="122"/>
        <item x="121"/>
        <item x="120"/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m="1" x="684"/>
        <item m="1" x="687"/>
        <item m="1" x="685"/>
        <item x="4"/>
        <item x="3"/>
        <item x="2"/>
        <item x="1"/>
        <item m="1" x="688"/>
        <item m="1" x="686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dataField="1" numFmtId="165" showAll="0"/>
    <pivotField dataField="1" showAll="0"/>
    <pivotField showAll="0"/>
    <pivotField showAll="0"/>
  </pivotFields>
  <rowFields count="1">
    <field x="0"/>
  </rowFields>
  <rowItems count="68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86"/>
    </i>
    <i>
      <x v="187"/>
    </i>
    <i>
      <x v="188"/>
    </i>
    <i>
      <x v="189"/>
    </i>
    <i>
      <x v="190"/>
    </i>
    <i>
      <x v="191"/>
    </i>
    <i>
      <x v="192"/>
    </i>
    <i>
      <x v="193"/>
    </i>
    <i>
      <x v="194"/>
    </i>
    <i>
      <x v="195"/>
    </i>
    <i>
      <x v="196"/>
    </i>
    <i>
      <x v="197"/>
    </i>
    <i>
      <x v="198"/>
    </i>
    <i>
      <x v="199"/>
    </i>
    <i>
      <x v="200"/>
    </i>
    <i>
      <x v="201"/>
    </i>
    <i>
      <x v="202"/>
    </i>
    <i>
      <x v="203"/>
    </i>
    <i>
      <x v="204"/>
    </i>
    <i>
      <x v="205"/>
    </i>
    <i>
      <x v="206"/>
    </i>
    <i>
      <x v="207"/>
    </i>
    <i>
      <x v="208"/>
    </i>
    <i>
      <x v="209"/>
    </i>
    <i>
      <x v="210"/>
    </i>
    <i>
      <x v="211"/>
    </i>
    <i>
      <x v="212"/>
    </i>
    <i>
      <x v="213"/>
    </i>
    <i>
      <x v="214"/>
    </i>
    <i>
      <x v="215"/>
    </i>
    <i>
      <x v="216"/>
    </i>
    <i>
      <x v="217"/>
    </i>
    <i>
      <x v="218"/>
    </i>
    <i>
      <x v="219"/>
    </i>
    <i>
      <x v="220"/>
    </i>
    <i>
      <x v="221"/>
    </i>
    <i>
      <x v="222"/>
    </i>
    <i>
      <x v="223"/>
    </i>
    <i>
      <x v="224"/>
    </i>
    <i>
      <x v="225"/>
    </i>
    <i>
      <x v="226"/>
    </i>
    <i>
      <x v="227"/>
    </i>
    <i>
      <x v="228"/>
    </i>
    <i>
      <x v="229"/>
    </i>
    <i>
      <x v="230"/>
    </i>
    <i>
      <x v="231"/>
    </i>
    <i>
      <x v="232"/>
    </i>
    <i>
      <x v="233"/>
    </i>
    <i>
      <x v="234"/>
    </i>
    <i>
      <x v="235"/>
    </i>
    <i>
      <x v="236"/>
    </i>
    <i>
      <x v="237"/>
    </i>
    <i>
      <x v="238"/>
    </i>
    <i>
      <x v="239"/>
    </i>
    <i>
      <x v="240"/>
    </i>
    <i>
      <x v="241"/>
    </i>
    <i>
      <x v="242"/>
    </i>
    <i>
      <x v="243"/>
    </i>
    <i>
      <x v="244"/>
    </i>
    <i>
      <x v="245"/>
    </i>
    <i>
      <x v="246"/>
    </i>
    <i>
      <x v="247"/>
    </i>
    <i>
      <x v="248"/>
    </i>
    <i>
      <x v="249"/>
    </i>
    <i>
      <x v="250"/>
    </i>
    <i>
      <x v="251"/>
    </i>
    <i>
      <x v="252"/>
    </i>
    <i>
      <x v="253"/>
    </i>
    <i>
      <x v="254"/>
    </i>
    <i>
      <x v="255"/>
    </i>
    <i>
      <x v="256"/>
    </i>
    <i>
      <x v="257"/>
    </i>
    <i>
      <x v="258"/>
    </i>
    <i>
      <x v="259"/>
    </i>
    <i>
      <x v="260"/>
    </i>
    <i>
      <x v="261"/>
    </i>
    <i>
      <x v="262"/>
    </i>
    <i>
      <x v="263"/>
    </i>
    <i>
      <x v="264"/>
    </i>
    <i>
      <x v="265"/>
    </i>
    <i>
      <x v="266"/>
    </i>
    <i>
      <x v="267"/>
    </i>
    <i>
      <x v="268"/>
    </i>
    <i>
      <x v="269"/>
    </i>
    <i>
      <x v="270"/>
    </i>
    <i>
      <x v="271"/>
    </i>
    <i>
      <x v="272"/>
    </i>
    <i>
      <x v="273"/>
    </i>
    <i>
      <x v="274"/>
    </i>
    <i>
      <x v="275"/>
    </i>
    <i>
      <x v="276"/>
    </i>
    <i>
      <x v="277"/>
    </i>
    <i>
      <x v="278"/>
    </i>
    <i>
      <x v="279"/>
    </i>
    <i>
      <x v="280"/>
    </i>
    <i>
      <x v="281"/>
    </i>
    <i>
      <x v="282"/>
    </i>
    <i>
      <x v="283"/>
    </i>
    <i>
      <x v="284"/>
    </i>
    <i>
      <x v="285"/>
    </i>
    <i>
      <x v="286"/>
    </i>
    <i>
      <x v="287"/>
    </i>
    <i>
      <x v="288"/>
    </i>
    <i>
      <x v="289"/>
    </i>
    <i>
      <x v="290"/>
    </i>
    <i>
      <x v="291"/>
    </i>
    <i>
      <x v="292"/>
    </i>
    <i>
      <x v="293"/>
    </i>
    <i>
      <x v="294"/>
    </i>
    <i>
      <x v="295"/>
    </i>
    <i>
      <x v="296"/>
    </i>
    <i>
      <x v="297"/>
    </i>
    <i>
      <x v="298"/>
    </i>
    <i>
      <x v="299"/>
    </i>
    <i>
      <x v="300"/>
    </i>
    <i>
      <x v="301"/>
    </i>
    <i>
      <x v="302"/>
    </i>
    <i>
      <x v="303"/>
    </i>
    <i>
      <x v="304"/>
    </i>
    <i>
      <x v="305"/>
    </i>
    <i>
      <x v="306"/>
    </i>
    <i>
      <x v="307"/>
    </i>
    <i>
      <x v="308"/>
    </i>
    <i>
      <x v="309"/>
    </i>
    <i>
      <x v="310"/>
    </i>
    <i>
      <x v="311"/>
    </i>
    <i>
      <x v="312"/>
    </i>
    <i>
      <x v="313"/>
    </i>
    <i>
      <x v="314"/>
    </i>
    <i>
      <x v="315"/>
    </i>
    <i>
      <x v="316"/>
    </i>
    <i>
      <x v="317"/>
    </i>
    <i>
      <x v="318"/>
    </i>
    <i>
      <x v="319"/>
    </i>
    <i>
      <x v="320"/>
    </i>
    <i>
      <x v="321"/>
    </i>
    <i>
      <x v="322"/>
    </i>
    <i>
      <x v="323"/>
    </i>
    <i>
      <x v="324"/>
    </i>
    <i>
      <x v="325"/>
    </i>
    <i>
      <x v="326"/>
    </i>
    <i>
      <x v="327"/>
    </i>
    <i>
      <x v="328"/>
    </i>
    <i>
      <x v="329"/>
    </i>
    <i>
      <x v="330"/>
    </i>
    <i>
      <x v="331"/>
    </i>
    <i>
      <x v="332"/>
    </i>
    <i>
      <x v="333"/>
    </i>
    <i>
      <x v="334"/>
    </i>
    <i>
      <x v="335"/>
    </i>
    <i>
      <x v="336"/>
    </i>
    <i>
      <x v="337"/>
    </i>
    <i>
      <x v="338"/>
    </i>
    <i>
      <x v="339"/>
    </i>
    <i>
      <x v="340"/>
    </i>
    <i>
      <x v="341"/>
    </i>
    <i>
      <x v="342"/>
    </i>
    <i>
      <x v="343"/>
    </i>
    <i>
      <x v="344"/>
    </i>
    <i>
      <x v="345"/>
    </i>
    <i>
      <x v="346"/>
    </i>
    <i>
      <x v="347"/>
    </i>
    <i>
      <x v="348"/>
    </i>
    <i>
      <x v="349"/>
    </i>
    <i>
      <x v="350"/>
    </i>
    <i>
      <x v="351"/>
    </i>
    <i>
      <x v="352"/>
    </i>
    <i>
      <x v="353"/>
    </i>
    <i>
      <x v="354"/>
    </i>
    <i>
      <x v="355"/>
    </i>
    <i>
      <x v="356"/>
    </i>
    <i>
      <x v="357"/>
    </i>
    <i>
      <x v="358"/>
    </i>
    <i>
      <x v="359"/>
    </i>
    <i>
      <x v="360"/>
    </i>
    <i>
      <x v="361"/>
    </i>
    <i>
      <x v="362"/>
    </i>
    <i>
      <x v="363"/>
    </i>
    <i>
      <x v="364"/>
    </i>
    <i>
      <x v="365"/>
    </i>
    <i>
      <x v="366"/>
    </i>
    <i>
      <x v="367"/>
    </i>
    <i>
      <x v="368"/>
    </i>
    <i>
      <x v="369"/>
    </i>
    <i>
      <x v="370"/>
    </i>
    <i>
      <x v="371"/>
    </i>
    <i>
      <x v="372"/>
    </i>
    <i>
      <x v="373"/>
    </i>
    <i>
      <x v="374"/>
    </i>
    <i>
      <x v="375"/>
    </i>
    <i>
      <x v="376"/>
    </i>
    <i>
      <x v="377"/>
    </i>
    <i>
      <x v="378"/>
    </i>
    <i>
      <x v="379"/>
    </i>
    <i>
      <x v="380"/>
    </i>
    <i>
      <x v="381"/>
    </i>
    <i>
      <x v="382"/>
    </i>
    <i>
      <x v="383"/>
    </i>
    <i>
      <x v="384"/>
    </i>
    <i>
      <x v="385"/>
    </i>
    <i>
      <x v="386"/>
    </i>
    <i>
      <x v="387"/>
    </i>
    <i>
      <x v="388"/>
    </i>
    <i>
      <x v="389"/>
    </i>
    <i>
      <x v="390"/>
    </i>
    <i>
      <x v="391"/>
    </i>
    <i>
      <x v="392"/>
    </i>
    <i>
      <x v="393"/>
    </i>
    <i>
      <x v="394"/>
    </i>
    <i>
      <x v="395"/>
    </i>
    <i>
      <x v="396"/>
    </i>
    <i>
      <x v="397"/>
    </i>
    <i>
      <x v="398"/>
    </i>
    <i>
      <x v="399"/>
    </i>
    <i>
      <x v="400"/>
    </i>
    <i>
      <x v="401"/>
    </i>
    <i>
      <x v="402"/>
    </i>
    <i>
      <x v="403"/>
    </i>
    <i>
      <x v="404"/>
    </i>
    <i>
      <x v="405"/>
    </i>
    <i>
      <x v="406"/>
    </i>
    <i>
      <x v="407"/>
    </i>
    <i>
      <x v="408"/>
    </i>
    <i>
      <x v="409"/>
    </i>
    <i>
      <x v="410"/>
    </i>
    <i>
      <x v="411"/>
    </i>
    <i>
      <x v="412"/>
    </i>
    <i>
      <x v="413"/>
    </i>
    <i>
      <x v="414"/>
    </i>
    <i>
      <x v="415"/>
    </i>
    <i>
      <x v="416"/>
    </i>
    <i>
      <x v="417"/>
    </i>
    <i>
      <x v="418"/>
    </i>
    <i>
      <x v="419"/>
    </i>
    <i>
      <x v="420"/>
    </i>
    <i>
      <x v="421"/>
    </i>
    <i>
      <x v="422"/>
    </i>
    <i>
      <x v="423"/>
    </i>
    <i>
      <x v="424"/>
    </i>
    <i>
      <x v="425"/>
    </i>
    <i>
      <x v="426"/>
    </i>
    <i>
      <x v="427"/>
    </i>
    <i>
      <x v="428"/>
    </i>
    <i>
      <x v="429"/>
    </i>
    <i>
      <x v="430"/>
    </i>
    <i>
      <x v="431"/>
    </i>
    <i>
      <x v="432"/>
    </i>
    <i>
      <x v="433"/>
    </i>
    <i>
      <x v="434"/>
    </i>
    <i>
      <x v="435"/>
    </i>
    <i>
      <x v="436"/>
    </i>
    <i>
      <x v="437"/>
    </i>
    <i>
      <x v="438"/>
    </i>
    <i>
      <x v="439"/>
    </i>
    <i>
      <x v="440"/>
    </i>
    <i>
      <x v="441"/>
    </i>
    <i>
      <x v="442"/>
    </i>
    <i>
      <x v="443"/>
    </i>
    <i>
      <x v="444"/>
    </i>
    <i>
      <x v="445"/>
    </i>
    <i>
      <x v="446"/>
    </i>
    <i>
      <x v="447"/>
    </i>
    <i>
      <x v="448"/>
    </i>
    <i>
      <x v="449"/>
    </i>
    <i>
      <x v="450"/>
    </i>
    <i>
      <x v="451"/>
    </i>
    <i>
      <x v="452"/>
    </i>
    <i>
      <x v="453"/>
    </i>
    <i>
      <x v="454"/>
    </i>
    <i>
      <x v="455"/>
    </i>
    <i>
      <x v="456"/>
    </i>
    <i>
      <x v="457"/>
    </i>
    <i>
      <x v="458"/>
    </i>
    <i>
      <x v="459"/>
    </i>
    <i>
      <x v="460"/>
    </i>
    <i>
      <x v="461"/>
    </i>
    <i>
      <x v="462"/>
    </i>
    <i>
      <x v="463"/>
    </i>
    <i>
      <x v="464"/>
    </i>
    <i>
      <x v="465"/>
    </i>
    <i>
      <x v="466"/>
    </i>
    <i>
      <x v="467"/>
    </i>
    <i>
      <x v="468"/>
    </i>
    <i>
      <x v="469"/>
    </i>
    <i>
      <x v="470"/>
    </i>
    <i>
      <x v="471"/>
    </i>
    <i>
      <x v="472"/>
    </i>
    <i>
      <x v="473"/>
    </i>
    <i>
      <x v="474"/>
    </i>
    <i>
      <x v="475"/>
    </i>
    <i>
      <x v="476"/>
    </i>
    <i>
      <x v="477"/>
    </i>
    <i>
      <x v="478"/>
    </i>
    <i>
      <x v="479"/>
    </i>
    <i>
      <x v="480"/>
    </i>
    <i>
      <x v="481"/>
    </i>
    <i>
      <x v="482"/>
    </i>
    <i>
      <x v="483"/>
    </i>
    <i>
      <x v="484"/>
    </i>
    <i>
      <x v="485"/>
    </i>
    <i>
      <x v="486"/>
    </i>
    <i>
      <x v="487"/>
    </i>
    <i>
      <x v="488"/>
    </i>
    <i>
      <x v="489"/>
    </i>
    <i>
      <x v="490"/>
    </i>
    <i>
      <x v="491"/>
    </i>
    <i>
      <x v="492"/>
    </i>
    <i>
      <x v="493"/>
    </i>
    <i>
      <x v="494"/>
    </i>
    <i>
      <x v="495"/>
    </i>
    <i>
      <x v="496"/>
    </i>
    <i>
      <x v="497"/>
    </i>
    <i>
      <x v="498"/>
    </i>
    <i>
      <x v="499"/>
    </i>
    <i>
      <x v="500"/>
    </i>
    <i>
      <x v="501"/>
    </i>
    <i>
      <x v="502"/>
    </i>
    <i>
      <x v="503"/>
    </i>
    <i>
      <x v="504"/>
    </i>
    <i>
      <x v="505"/>
    </i>
    <i>
      <x v="506"/>
    </i>
    <i>
      <x v="507"/>
    </i>
    <i>
      <x v="508"/>
    </i>
    <i>
      <x v="509"/>
    </i>
    <i>
      <x v="510"/>
    </i>
    <i>
      <x v="511"/>
    </i>
    <i>
      <x v="512"/>
    </i>
    <i>
      <x v="513"/>
    </i>
    <i>
      <x v="514"/>
    </i>
    <i>
      <x v="515"/>
    </i>
    <i>
      <x v="516"/>
    </i>
    <i>
      <x v="517"/>
    </i>
    <i>
      <x v="518"/>
    </i>
    <i>
      <x v="519"/>
    </i>
    <i>
      <x v="520"/>
    </i>
    <i>
      <x v="521"/>
    </i>
    <i>
      <x v="522"/>
    </i>
    <i>
      <x v="523"/>
    </i>
    <i>
      <x v="524"/>
    </i>
    <i>
      <x v="525"/>
    </i>
    <i>
      <x v="526"/>
    </i>
    <i>
      <x v="527"/>
    </i>
    <i>
      <x v="528"/>
    </i>
    <i>
      <x v="529"/>
    </i>
    <i>
      <x v="530"/>
    </i>
    <i>
      <x v="531"/>
    </i>
    <i>
      <x v="532"/>
    </i>
    <i>
      <x v="533"/>
    </i>
    <i>
      <x v="534"/>
    </i>
    <i>
      <x v="535"/>
    </i>
    <i>
      <x v="536"/>
    </i>
    <i>
      <x v="537"/>
    </i>
    <i>
      <x v="538"/>
    </i>
    <i>
      <x v="539"/>
    </i>
    <i>
      <x v="540"/>
    </i>
    <i>
      <x v="541"/>
    </i>
    <i>
      <x v="542"/>
    </i>
    <i>
      <x v="543"/>
    </i>
    <i>
      <x v="544"/>
    </i>
    <i>
      <x v="545"/>
    </i>
    <i>
      <x v="546"/>
    </i>
    <i>
      <x v="547"/>
    </i>
    <i>
      <x v="548"/>
    </i>
    <i>
      <x v="549"/>
    </i>
    <i>
      <x v="550"/>
    </i>
    <i>
      <x v="551"/>
    </i>
    <i>
      <x v="552"/>
    </i>
    <i>
      <x v="553"/>
    </i>
    <i>
      <x v="554"/>
    </i>
    <i>
      <x v="555"/>
    </i>
    <i>
      <x v="556"/>
    </i>
    <i>
      <x v="557"/>
    </i>
    <i>
      <x v="558"/>
    </i>
    <i>
      <x v="559"/>
    </i>
    <i>
      <x v="560"/>
    </i>
    <i>
      <x v="561"/>
    </i>
    <i>
      <x v="562"/>
    </i>
    <i>
      <x v="563"/>
    </i>
    <i>
      <x v="564"/>
    </i>
    <i>
      <x v="565"/>
    </i>
    <i>
      <x v="566"/>
    </i>
    <i>
      <x v="567"/>
    </i>
    <i>
      <x v="568"/>
    </i>
    <i>
      <x v="569"/>
    </i>
    <i>
      <x v="570"/>
    </i>
    <i>
      <x v="571"/>
    </i>
    <i>
      <x v="572"/>
    </i>
    <i>
      <x v="573"/>
    </i>
    <i>
      <x v="574"/>
    </i>
    <i>
      <x v="575"/>
    </i>
    <i>
      <x v="576"/>
    </i>
    <i>
      <x v="577"/>
    </i>
    <i>
      <x v="578"/>
    </i>
    <i>
      <x v="579"/>
    </i>
    <i>
      <x v="580"/>
    </i>
    <i>
      <x v="581"/>
    </i>
    <i>
      <x v="582"/>
    </i>
    <i>
      <x v="583"/>
    </i>
    <i>
      <x v="584"/>
    </i>
    <i>
      <x v="585"/>
    </i>
    <i>
      <x v="586"/>
    </i>
    <i>
      <x v="587"/>
    </i>
    <i>
      <x v="588"/>
    </i>
    <i>
      <x v="589"/>
    </i>
    <i>
      <x v="590"/>
    </i>
    <i>
      <x v="591"/>
    </i>
    <i>
      <x v="592"/>
    </i>
    <i>
      <x v="593"/>
    </i>
    <i>
      <x v="594"/>
    </i>
    <i>
      <x v="595"/>
    </i>
    <i>
      <x v="596"/>
    </i>
    <i>
      <x v="597"/>
    </i>
    <i>
      <x v="598"/>
    </i>
    <i>
      <x v="599"/>
    </i>
    <i>
      <x v="600"/>
    </i>
    <i>
      <x v="601"/>
    </i>
    <i>
      <x v="602"/>
    </i>
    <i>
      <x v="603"/>
    </i>
    <i>
      <x v="604"/>
    </i>
    <i>
      <x v="605"/>
    </i>
    <i>
      <x v="606"/>
    </i>
    <i>
      <x v="607"/>
    </i>
    <i>
      <x v="608"/>
    </i>
    <i>
      <x v="609"/>
    </i>
    <i>
      <x v="610"/>
    </i>
    <i>
      <x v="611"/>
    </i>
    <i>
      <x v="612"/>
    </i>
    <i>
      <x v="613"/>
    </i>
    <i>
      <x v="614"/>
    </i>
    <i>
      <x v="615"/>
    </i>
    <i>
      <x v="616"/>
    </i>
    <i>
      <x v="617"/>
    </i>
    <i>
      <x v="618"/>
    </i>
    <i>
      <x v="619"/>
    </i>
    <i>
      <x v="620"/>
    </i>
    <i>
      <x v="621"/>
    </i>
    <i>
      <x v="622"/>
    </i>
    <i>
      <x v="623"/>
    </i>
    <i>
      <x v="624"/>
    </i>
    <i>
      <x v="625"/>
    </i>
    <i>
      <x v="626"/>
    </i>
    <i>
      <x v="627"/>
    </i>
    <i>
      <x v="628"/>
    </i>
    <i>
      <x v="629"/>
    </i>
    <i>
      <x v="630"/>
    </i>
    <i>
      <x v="631"/>
    </i>
    <i>
      <x v="632"/>
    </i>
    <i>
      <x v="633"/>
    </i>
    <i>
      <x v="634"/>
    </i>
    <i>
      <x v="635"/>
    </i>
    <i>
      <x v="636"/>
    </i>
    <i>
      <x v="637"/>
    </i>
    <i>
      <x v="638"/>
    </i>
    <i>
      <x v="639"/>
    </i>
    <i>
      <x v="640"/>
    </i>
    <i>
      <x v="641"/>
    </i>
    <i>
      <x v="642"/>
    </i>
    <i>
      <x v="643"/>
    </i>
    <i>
      <x v="644"/>
    </i>
    <i>
      <x v="645"/>
    </i>
    <i>
      <x v="646"/>
    </i>
    <i>
      <x v="647"/>
    </i>
    <i>
      <x v="648"/>
    </i>
    <i>
      <x v="649"/>
    </i>
    <i>
      <x v="650"/>
    </i>
    <i>
      <x v="651"/>
    </i>
    <i>
      <x v="652"/>
    </i>
    <i>
      <x v="653"/>
    </i>
    <i>
      <x v="654"/>
    </i>
    <i>
      <x v="655"/>
    </i>
    <i>
      <x v="656"/>
    </i>
    <i>
      <x v="657"/>
    </i>
    <i>
      <x v="658"/>
    </i>
    <i>
      <x v="659"/>
    </i>
    <i>
      <x v="660"/>
    </i>
    <i>
      <x v="661"/>
    </i>
    <i>
      <x v="662"/>
    </i>
    <i>
      <x v="663"/>
    </i>
    <i>
      <x v="664"/>
    </i>
    <i>
      <x v="665"/>
    </i>
    <i>
      <x v="666"/>
    </i>
    <i>
      <x v="667"/>
    </i>
    <i>
      <x v="668"/>
    </i>
    <i>
      <x v="669"/>
    </i>
    <i>
      <x v="670"/>
    </i>
    <i>
      <x v="671"/>
    </i>
    <i>
      <x v="672"/>
    </i>
    <i>
      <x v="673"/>
    </i>
    <i>
      <x v="674"/>
    </i>
    <i>
      <x v="675"/>
    </i>
    <i>
      <x v="676"/>
    </i>
    <i>
      <x v="677"/>
    </i>
    <i>
      <x v="678"/>
    </i>
    <i>
      <x v="682"/>
    </i>
    <i>
      <x v="683"/>
    </i>
    <i>
      <x v="684"/>
    </i>
    <i>
      <x v="685"/>
    </i>
    <i>
      <x v="688"/>
    </i>
  </rowItems>
  <colFields count="1">
    <field x="-2"/>
  </colFields>
  <colItems count="2">
    <i>
      <x/>
    </i>
    <i i="1">
      <x v="1"/>
    </i>
  </colItems>
  <dataFields count="2">
    <dataField name="Crude oil" fld="7" baseField="0" baseItem="0" numFmtId="165"/>
    <dataField name="RBOB Gas" fld="8" baseField="0" baseItem="0" numFmtId="165"/>
  </dataFields>
  <formats count="4">
    <format dxfId="111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110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109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108">
      <pivotArea dataOnly="0" labelOnly="1" outline="0" fieldPosition="0">
        <references count="1">
          <reference field="4294967294" count="1">
            <x v="1"/>
          </reference>
        </references>
      </pivotArea>
    </format>
  </format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5C27C95-F91C-4C9A-8808-E27445E70632}" name="PivotTable5" cacheId="13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5">
  <location ref="T2:V552" firstHeaderRow="0" firstDataRow="1" firstDataCol="1"/>
  <pivotFields count="3">
    <pivotField axis="axisRow" numFmtId="14" showAll="0" sortType="ascending">
      <items count="550">
        <item x="548"/>
        <item x="547"/>
        <item x="546"/>
        <item x="545"/>
        <item x="544"/>
        <item x="543"/>
        <item x="542"/>
        <item x="541"/>
        <item x="540"/>
        <item x="539"/>
        <item x="538"/>
        <item x="537"/>
        <item x="536"/>
        <item x="535"/>
        <item x="534"/>
        <item x="533"/>
        <item x="532"/>
        <item x="531"/>
        <item x="530"/>
        <item x="529"/>
        <item x="528"/>
        <item x="527"/>
        <item x="526"/>
        <item x="525"/>
        <item x="524"/>
        <item x="523"/>
        <item x="522"/>
        <item x="521"/>
        <item x="520"/>
        <item x="519"/>
        <item x="518"/>
        <item x="517"/>
        <item x="516"/>
        <item x="515"/>
        <item x="514"/>
        <item x="513"/>
        <item x="512"/>
        <item x="511"/>
        <item x="510"/>
        <item x="509"/>
        <item x="508"/>
        <item x="507"/>
        <item x="506"/>
        <item x="505"/>
        <item x="504"/>
        <item x="503"/>
        <item x="502"/>
        <item x="501"/>
        <item x="500"/>
        <item x="499"/>
        <item x="498"/>
        <item x="497"/>
        <item x="496"/>
        <item x="495"/>
        <item x="494"/>
        <item x="493"/>
        <item x="492"/>
        <item x="491"/>
        <item x="490"/>
        <item x="489"/>
        <item x="488"/>
        <item x="487"/>
        <item x="486"/>
        <item x="485"/>
        <item x="484"/>
        <item x="483"/>
        <item x="482"/>
        <item x="481"/>
        <item x="480"/>
        <item x="479"/>
        <item x="478"/>
        <item x="477"/>
        <item x="476"/>
        <item x="475"/>
        <item x="474"/>
        <item x="473"/>
        <item x="472"/>
        <item x="471"/>
        <item x="470"/>
        <item x="469"/>
        <item x="468"/>
        <item x="467"/>
        <item x="466"/>
        <item x="465"/>
        <item x="464"/>
        <item x="463"/>
        <item x="462"/>
        <item x="461"/>
        <item x="460"/>
        <item x="459"/>
        <item x="458"/>
        <item x="457"/>
        <item x="456"/>
        <item x="455"/>
        <item x="454"/>
        <item x="453"/>
        <item x="452"/>
        <item x="451"/>
        <item x="450"/>
        <item x="449"/>
        <item x="448"/>
        <item x="447"/>
        <item x="446"/>
        <item x="445"/>
        <item x="444"/>
        <item x="443"/>
        <item x="442"/>
        <item x="441"/>
        <item x="440"/>
        <item x="439"/>
        <item x="438"/>
        <item x="437"/>
        <item x="436"/>
        <item x="435"/>
        <item x="434"/>
        <item x="433"/>
        <item x="432"/>
        <item x="431"/>
        <item x="430"/>
        <item x="429"/>
        <item x="428"/>
        <item x="427"/>
        <item x="426"/>
        <item x="425"/>
        <item x="424"/>
        <item x="423"/>
        <item x="422"/>
        <item x="421"/>
        <item x="420"/>
        <item x="419"/>
        <item x="418"/>
        <item x="417"/>
        <item x="416"/>
        <item x="415"/>
        <item x="414"/>
        <item x="413"/>
        <item x="412"/>
        <item x="411"/>
        <item x="410"/>
        <item x="409"/>
        <item x="408"/>
        <item x="407"/>
        <item x="406"/>
        <item x="405"/>
        <item x="404"/>
        <item x="403"/>
        <item x="402"/>
        <item x="401"/>
        <item x="400"/>
        <item x="399"/>
        <item x="398"/>
        <item x="397"/>
        <item x="396"/>
        <item x="395"/>
        <item x="394"/>
        <item x="393"/>
        <item x="392"/>
        <item x="391"/>
        <item x="390"/>
        <item x="389"/>
        <item x="388"/>
        <item x="387"/>
        <item x="386"/>
        <item x="385"/>
        <item x="384"/>
        <item x="383"/>
        <item x="382"/>
        <item x="381"/>
        <item x="380"/>
        <item x="379"/>
        <item x="378"/>
        <item x="377"/>
        <item x="376"/>
        <item x="375"/>
        <item x="374"/>
        <item x="373"/>
        <item x="372"/>
        <item x="371"/>
        <item x="370"/>
        <item x="369"/>
        <item x="368"/>
        <item x="367"/>
        <item x="366"/>
        <item x="365"/>
        <item x="364"/>
        <item x="363"/>
        <item x="362"/>
        <item x="361"/>
        <item x="360"/>
        <item x="359"/>
        <item x="358"/>
        <item x="357"/>
        <item x="356"/>
        <item x="355"/>
        <item x="354"/>
        <item x="353"/>
        <item x="352"/>
        <item x="351"/>
        <item x="350"/>
        <item x="349"/>
        <item x="348"/>
        <item x="347"/>
        <item x="346"/>
        <item x="345"/>
        <item x="344"/>
        <item x="343"/>
        <item x="342"/>
        <item x="341"/>
        <item x="340"/>
        <item x="339"/>
        <item x="338"/>
        <item x="337"/>
        <item x="336"/>
        <item x="335"/>
        <item x="334"/>
        <item x="333"/>
        <item x="332"/>
        <item x="331"/>
        <item x="330"/>
        <item x="329"/>
        <item x="328"/>
        <item x="327"/>
        <item x="326"/>
        <item x="325"/>
        <item x="324"/>
        <item x="323"/>
        <item x="322"/>
        <item x="321"/>
        <item x="320"/>
        <item x="319"/>
        <item x="318"/>
        <item x="317"/>
        <item x="316"/>
        <item x="315"/>
        <item x="314"/>
        <item x="313"/>
        <item x="312"/>
        <item x="311"/>
        <item x="310"/>
        <item x="309"/>
        <item x="308"/>
        <item x="307"/>
        <item x="306"/>
        <item x="305"/>
        <item x="304"/>
        <item x="303"/>
        <item x="302"/>
        <item x="301"/>
        <item x="300"/>
        <item x="299"/>
        <item x="298"/>
        <item x="297"/>
        <item x="296"/>
        <item x="295"/>
        <item x="294"/>
        <item x="293"/>
        <item x="292"/>
        <item x="291"/>
        <item x="290"/>
        <item x="289"/>
        <item x="288"/>
        <item x="287"/>
        <item x="286"/>
        <item x="285"/>
        <item x="284"/>
        <item x="283"/>
        <item x="282"/>
        <item x="281"/>
        <item x="280"/>
        <item x="279"/>
        <item x="278"/>
        <item x="277"/>
        <item x="276"/>
        <item x="275"/>
        <item x="274"/>
        <item x="273"/>
        <item x="272"/>
        <item x="271"/>
        <item x="270"/>
        <item x="269"/>
        <item x="268"/>
        <item x="267"/>
        <item x="266"/>
        <item x="265"/>
        <item x="264"/>
        <item x="263"/>
        <item x="262"/>
        <item x="261"/>
        <item x="260"/>
        <item x="259"/>
        <item x="258"/>
        <item x="257"/>
        <item x="256"/>
        <item x="255"/>
        <item x="254"/>
        <item x="253"/>
        <item x="252"/>
        <item x="251"/>
        <item x="250"/>
        <item x="249"/>
        <item x="248"/>
        <item x="247"/>
        <item x="246"/>
        <item x="245"/>
        <item x="244"/>
        <item x="243"/>
        <item x="242"/>
        <item x="241"/>
        <item x="240"/>
        <item x="239"/>
        <item x="238"/>
        <item x="237"/>
        <item x="236"/>
        <item x="235"/>
        <item x="234"/>
        <item x="233"/>
        <item x="232"/>
        <item x="231"/>
        <item x="230"/>
        <item x="229"/>
        <item x="228"/>
        <item x="227"/>
        <item x="226"/>
        <item x="225"/>
        <item x="224"/>
        <item x="223"/>
        <item x="222"/>
        <item x="221"/>
        <item x="220"/>
        <item x="219"/>
        <item x="218"/>
        <item x="217"/>
        <item x="216"/>
        <item x="215"/>
        <item x="214"/>
        <item x="213"/>
        <item x="212"/>
        <item x="211"/>
        <item x="210"/>
        <item x="209"/>
        <item x="208"/>
        <item x="207"/>
        <item x="206"/>
        <item x="205"/>
        <item x="204"/>
        <item x="203"/>
        <item x="202"/>
        <item x="201"/>
        <item x="200"/>
        <item x="199"/>
        <item x="198"/>
        <item x="197"/>
        <item x="196"/>
        <item x="195"/>
        <item x="194"/>
        <item x="193"/>
        <item x="192"/>
        <item x="191"/>
        <item x="190"/>
        <item x="189"/>
        <item x="188"/>
        <item x="187"/>
        <item x="186"/>
        <item x="185"/>
        <item x="184"/>
        <item x="183"/>
        <item x="182"/>
        <item x="181"/>
        <item x="180"/>
        <item x="179"/>
        <item x="178"/>
        <item x="177"/>
        <item x="176"/>
        <item x="175"/>
        <item x="174"/>
        <item x="173"/>
        <item x="172"/>
        <item x="171"/>
        <item x="170"/>
        <item x="169"/>
        <item x="168"/>
        <item x="167"/>
        <item x="166"/>
        <item x="165"/>
        <item x="164"/>
        <item x="163"/>
        <item x="162"/>
        <item x="161"/>
        <item x="160"/>
        <item x="159"/>
        <item x="158"/>
        <item x="157"/>
        <item x="156"/>
        <item x="155"/>
        <item x="154"/>
        <item x="153"/>
        <item x="152"/>
        <item x="151"/>
        <item x="150"/>
        <item x="149"/>
        <item x="148"/>
        <item x="147"/>
        <item x="146"/>
        <item x="145"/>
        <item x="144"/>
        <item x="143"/>
        <item x="142"/>
        <item x="141"/>
        <item x="140"/>
        <item x="139"/>
        <item x="138"/>
        <item x="137"/>
        <item x="136"/>
        <item x="135"/>
        <item x="134"/>
        <item x="133"/>
        <item x="132"/>
        <item x="131"/>
        <item x="130"/>
        <item x="129"/>
        <item x="128"/>
        <item x="127"/>
        <item x="126"/>
        <item x="125"/>
        <item x="124"/>
        <item x="123"/>
        <item x="122"/>
        <item x="121"/>
        <item x="120"/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t="default"/>
      </items>
    </pivotField>
    <pivotField dataField="1" numFmtId="165" showAll="0"/>
    <pivotField dataField="1" numFmtId="165" showAll="0"/>
  </pivotFields>
  <rowFields count="1">
    <field x="0"/>
  </rowFields>
  <rowItems count="55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86"/>
    </i>
    <i>
      <x v="187"/>
    </i>
    <i>
      <x v="188"/>
    </i>
    <i>
      <x v="189"/>
    </i>
    <i>
      <x v="190"/>
    </i>
    <i>
      <x v="191"/>
    </i>
    <i>
      <x v="192"/>
    </i>
    <i>
      <x v="193"/>
    </i>
    <i>
      <x v="194"/>
    </i>
    <i>
      <x v="195"/>
    </i>
    <i>
      <x v="196"/>
    </i>
    <i>
      <x v="197"/>
    </i>
    <i>
      <x v="198"/>
    </i>
    <i>
      <x v="199"/>
    </i>
    <i>
      <x v="200"/>
    </i>
    <i>
      <x v="201"/>
    </i>
    <i>
      <x v="202"/>
    </i>
    <i>
      <x v="203"/>
    </i>
    <i>
      <x v="204"/>
    </i>
    <i>
      <x v="205"/>
    </i>
    <i>
      <x v="206"/>
    </i>
    <i>
      <x v="207"/>
    </i>
    <i>
      <x v="208"/>
    </i>
    <i>
      <x v="209"/>
    </i>
    <i>
      <x v="210"/>
    </i>
    <i>
      <x v="211"/>
    </i>
    <i>
      <x v="212"/>
    </i>
    <i>
      <x v="213"/>
    </i>
    <i>
      <x v="214"/>
    </i>
    <i>
      <x v="215"/>
    </i>
    <i>
      <x v="216"/>
    </i>
    <i>
      <x v="217"/>
    </i>
    <i>
      <x v="218"/>
    </i>
    <i>
      <x v="219"/>
    </i>
    <i>
      <x v="220"/>
    </i>
    <i>
      <x v="221"/>
    </i>
    <i>
      <x v="222"/>
    </i>
    <i>
      <x v="223"/>
    </i>
    <i>
      <x v="224"/>
    </i>
    <i>
      <x v="225"/>
    </i>
    <i>
      <x v="226"/>
    </i>
    <i>
      <x v="227"/>
    </i>
    <i>
      <x v="228"/>
    </i>
    <i>
      <x v="229"/>
    </i>
    <i>
      <x v="230"/>
    </i>
    <i>
      <x v="231"/>
    </i>
    <i>
      <x v="232"/>
    </i>
    <i>
      <x v="233"/>
    </i>
    <i>
      <x v="234"/>
    </i>
    <i>
      <x v="235"/>
    </i>
    <i>
      <x v="236"/>
    </i>
    <i>
      <x v="237"/>
    </i>
    <i>
      <x v="238"/>
    </i>
    <i>
      <x v="239"/>
    </i>
    <i>
      <x v="240"/>
    </i>
    <i>
      <x v="241"/>
    </i>
    <i>
      <x v="242"/>
    </i>
    <i>
      <x v="243"/>
    </i>
    <i>
      <x v="244"/>
    </i>
    <i>
      <x v="245"/>
    </i>
    <i>
      <x v="246"/>
    </i>
    <i>
      <x v="247"/>
    </i>
    <i>
      <x v="248"/>
    </i>
    <i>
      <x v="249"/>
    </i>
    <i>
      <x v="250"/>
    </i>
    <i>
      <x v="251"/>
    </i>
    <i>
      <x v="252"/>
    </i>
    <i>
      <x v="253"/>
    </i>
    <i>
      <x v="254"/>
    </i>
    <i>
      <x v="255"/>
    </i>
    <i>
      <x v="256"/>
    </i>
    <i>
      <x v="257"/>
    </i>
    <i>
      <x v="258"/>
    </i>
    <i>
      <x v="259"/>
    </i>
    <i>
      <x v="260"/>
    </i>
    <i>
      <x v="261"/>
    </i>
    <i>
      <x v="262"/>
    </i>
    <i>
      <x v="263"/>
    </i>
    <i>
      <x v="264"/>
    </i>
    <i>
      <x v="265"/>
    </i>
    <i>
      <x v="266"/>
    </i>
    <i>
      <x v="267"/>
    </i>
    <i>
      <x v="268"/>
    </i>
    <i>
      <x v="269"/>
    </i>
    <i>
      <x v="270"/>
    </i>
    <i>
      <x v="271"/>
    </i>
    <i>
      <x v="272"/>
    </i>
    <i>
      <x v="273"/>
    </i>
    <i>
      <x v="274"/>
    </i>
    <i>
      <x v="275"/>
    </i>
    <i>
      <x v="276"/>
    </i>
    <i>
      <x v="277"/>
    </i>
    <i>
      <x v="278"/>
    </i>
    <i>
      <x v="279"/>
    </i>
    <i>
      <x v="280"/>
    </i>
    <i>
      <x v="281"/>
    </i>
    <i>
      <x v="282"/>
    </i>
    <i>
      <x v="283"/>
    </i>
    <i>
      <x v="284"/>
    </i>
    <i>
      <x v="285"/>
    </i>
    <i>
      <x v="286"/>
    </i>
    <i>
      <x v="287"/>
    </i>
    <i>
      <x v="288"/>
    </i>
    <i>
      <x v="289"/>
    </i>
    <i>
      <x v="290"/>
    </i>
    <i>
      <x v="291"/>
    </i>
    <i>
      <x v="292"/>
    </i>
    <i>
      <x v="293"/>
    </i>
    <i>
      <x v="294"/>
    </i>
    <i>
      <x v="295"/>
    </i>
    <i>
      <x v="296"/>
    </i>
    <i>
      <x v="297"/>
    </i>
    <i>
      <x v="298"/>
    </i>
    <i>
      <x v="299"/>
    </i>
    <i>
      <x v="300"/>
    </i>
    <i>
      <x v="301"/>
    </i>
    <i>
      <x v="302"/>
    </i>
    <i>
      <x v="303"/>
    </i>
    <i>
      <x v="304"/>
    </i>
    <i>
      <x v="305"/>
    </i>
    <i>
      <x v="306"/>
    </i>
    <i>
      <x v="307"/>
    </i>
    <i>
      <x v="308"/>
    </i>
    <i>
      <x v="309"/>
    </i>
    <i>
      <x v="310"/>
    </i>
    <i>
      <x v="311"/>
    </i>
    <i>
      <x v="312"/>
    </i>
    <i>
      <x v="313"/>
    </i>
    <i>
      <x v="314"/>
    </i>
    <i>
      <x v="315"/>
    </i>
    <i>
      <x v="316"/>
    </i>
    <i>
      <x v="317"/>
    </i>
    <i>
      <x v="318"/>
    </i>
    <i>
      <x v="319"/>
    </i>
    <i>
      <x v="320"/>
    </i>
    <i>
      <x v="321"/>
    </i>
    <i>
      <x v="322"/>
    </i>
    <i>
      <x v="323"/>
    </i>
    <i>
      <x v="324"/>
    </i>
    <i>
      <x v="325"/>
    </i>
    <i>
      <x v="326"/>
    </i>
    <i>
      <x v="327"/>
    </i>
    <i>
      <x v="328"/>
    </i>
    <i>
      <x v="329"/>
    </i>
    <i>
      <x v="330"/>
    </i>
    <i>
      <x v="331"/>
    </i>
    <i>
      <x v="332"/>
    </i>
    <i>
      <x v="333"/>
    </i>
    <i>
      <x v="334"/>
    </i>
    <i>
      <x v="335"/>
    </i>
    <i>
      <x v="336"/>
    </i>
    <i>
      <x v="337"/>
    </i>
    <i>
      <x v="338"/>
    </i>
    <i>
      <x v="339"/>
    </i>
    <i>
      <x v="340"/>
    </i>
    <i>
      <x v="341"/>
    </i>
    <i>
      <x v="342"/>
    </i>
    <i>
      <x v="343"/>
    </i>
    <i>
      <x v="344"/>
    </i>
    <i>
      <x v="345"/>
    </i>
    <i>
      <x v="346"/>
    </i>
    <i>
      <x v="347"/>
    </i>
    <i>
      <x v="348"/>
    </i>
    <i>
      <x v="349"/>
    </i>
    <i>
      <x v="350"/>
    </i>
    <i>
      <x v="351"/>
    </i>
    <i>
      <x v="352"/>
    </i>
    <i>
      <x v="353"/>
    </i>
    <i>
      <x v="354"/>
    </i>
    <i>
      <x v="355"/>
    </i>
    <i>
      <x v="356"/>
    </i>
    <i>
      <x v="357"/>
    </i>
    <i>
      <x v="358"/>
    </i>
    <i>
      <x v="359"/>
    </i>
    <i>
      <x v="360"/>
    </i>
    <i>
      <x v="361"/>
    </i>
    <i>
      <x v="362"/>
    </i>
    <i>
      <x v="363"/>
    </i>
    <i>
      <x v="364"/>
    </i>
    <i>
      <x v="365"/>
    </i>
    <i>
      <x v="366"/>
    </i>
    <i>
      <x v="367"/>
    </i>
    <i>
      <x v="368"/>
    </i>
    <i>
      <x v="369"/>
    </i>
    <i>
      <x v="370"/>
    </i>
    <i>
      <x v="371"/>
    </i>
    <i>
      <x v="372"/>
    </i>
    <i>
      <x v="373"/>
    </i>
    <i>
      <x v="374"/>
    </i>
    <i>
      <x v="375"/>
    </i>
    <i>
      <x v="376"/>
    </i>
    <i>
      <x v="377"/>
    </i>
    <i>
      <x v="378"/>
    </i>
    <i>
      <x v="379"/>
    </i>
    <i>
      <x v="380"/>
    </i>
    <i>
      <x v="381"/>
    </i>
    <i>
      <x v="382"/>
    </i>
    <i>
      <x v="383"/>
    </i>
    <i>
      <x v="384"/>
    </i>
    <i>
      <x v="385"/>
    </i>
    <i>
      <x v="386"/>
    </i>
    <i>
      <x v="387"/>
    </i>
    <i>
      <x v="388"/>
    </i>
    <i>
      <x v="389"/>
    </i>
    <i>
      <x v="390"/>
    </i>
    <i>
      <x v="391"/>
    </i>
    <i>
      <x v="392"/>
    </i>
    <i>
      <x v="393"/>
    </i>
    <i>
      <x v="394"/>
    </i>
    <i>
      <x v="395"/>
    </i>
    <i>
      <x v="396"/>
    </i>
    <i>
      <x v="397"/>
    </i>
    <i>
      <x v="398"/>
    </i>
    <i>
      <x v="399"/>
    </i>
    <i>
      <x v="400"/>
    </i>
    <i>
      <x v="401"/>
    </i>
    <i>
      <x v="402"/>
    </i>
    <i>
      <x v="403"/>
    </i>
    <i>
      <x v="404"/>
    </i>
    <i>
      <x v="405"/>
    </i>
    <i>
      <x v="406"/>
    </i>
    <i>
      <x v="407"/>
    </i>
    <i>
      <x v="408"/>
    </i>
    <i>
      <x v="409"/>
    </i>
    <i>
      <x v="410"/>
    </i>
    <i>
      <x v="411"/>
    </i>
    <i>
      <x v="412"/>
    </i>
    <i>
      <x v="413"/>
    </i>
    <i>
      <x v="414"/>
    </i>
    <i>
      <x v="415"/>
    </i>
    <i>
      <x v="416"/>
    </i>
    <i>
      <x v="417"/>
    </i>
    <i>
      <x v="418"/>
    </i>
    <i>
      <x v="419"/>
    </i>
    <i>
      <x v="420"/>
    </i>
    <i>
      <x v="421"/>
    </i>
    <i>
      <x v="422"/>
    </i>
    <i>
      <x v="423"/>
    </i>
    <i>
      <x v="424"/>
    </i>
    <i>
      <x v="425"/>
    </i>
    <i>
      <x v="426"/>
    </i>
    <i>
      <x v="427"/>
    </i>
    <i>
      <x v="428"/>
    </i>
    <i>
      <x v="429"/>
    </i>
    <i>
      <x v="430"/>
    </i>
    <i>
      <x v="431"/>
    </i>
    <i>
      <x v="432"/>
    </i>
    <i>
      <x v="433"/>
    </i>
    <i>
      <x v="434"/>
    </i>
    <i>
      <x v="435"/>
    </i>
    <i>
      <x v="436"/>
    </i>
    <i>
      <x v="437"/>
    </i>
    <i>
      <x v="438"/>
    </i>
    <i>
      <x v="439"/>
    </i>
    <i>
      <x v="440"/>
    </i>
    <i>
      <x v="441"/>
    </i>
    <i>
      <x v="442"/>
    </i>
    <i>
      <x v="443"/>
    </i>
    <i>
      <x v="444"/>
    </i>
    <i>
      <x v="445"/>
    </i>
    <i>
      <x v="446"/>
    </i>
    <i>
      <x v="447"/>
    </i>
    <i>
      <x v="448"/>
    </i>
    <i>
      <x v="449"/>
    </i>
    <i>
      <x v="450"/>
    </i>
    <i>
      <x v="451"/>
    </i>
    <i>
      <x v="452"/>
    </i>
    <i>
      <x v="453"/>
    </i>
    <i>
      <x v="454"/>
    </i>
    <i>
      <x v="455"/>
    </i>
    <i>
      <x v="456"/>
    </i>
    <i>
      <x v="457"/>
    </i>
    <i>
      <x v="458"/>
    </i>
    <i>
      <x v="459"/>
    </i>
    <i>
      <x v="460"/>
    </i>
    <i>
      <x v="461"/>
    </i>
    <i>
      <x v="462"/>
    </i>
    <i>
      <x v="463"/>
    </i>
    <i>
      <x v="464"/>
    </i>
    <i>
      <x v="465"/>
    </i>
    <i>
      <x v="466"/>
    </i>
    <i>
      <x v="467"/>
    </i>
    <i>
      <x v="468"/>
    </i>
    <i>
      <x v="469"/>
    </i>
    <i>
      <x v="470"/>
    </i>
    <i>
      <x v="471"/>
    </i>
    <i>
      <x v="472"/>
    </i>
    <i>
      <x v="473"/>
    </i>
    <i>
      <x v="474"/>
    </i>
    <i>
      <x v="475"/>
    </i>
    <i>
      <x v="476"/>
    </i>
    <i>
      <x v="477"/>
    </i>
    <i>
      <x v="478"/>
    </i>
    <i>
      <x v="479"/>
    </i>
    <i>
      <x v="480"/>
    </i>
    <i>
      <x v="481"/>
    </i>
    <i>
      <x v="482"/>
    </i>
    <i>
      <x v="483"/>
    </i>
    <i>
      <x v="484"/>
    </i>
    <i>
      <x v="485"/>
    </i>
    <i>
      <x v="486"/>
    </i>
    <i>
      <x v="487"/>
    </i>
    <i>
      <x v="488"/>
    </i>
    <i>
      <x v="489"/>
    </i>
    <i>
      <x v="490"/>
    </i>
    <i>
      <x v="491"/>
    </i>
    <i>
      <x v="492"/>
    </i>
    <i>
      <x v="493"/>
    </i>
    <i>
      <x v="494"/>
    </i>
    <i>
      <x v="495"/>
    </i>
    <i>
      <x v="496"/>
    </i>
    <i>
      <x v="497"/>
    </i>
    <i>
      <x v="498"/>
    </i>
    <i>
      <x v="499"/>
    </i>
    <i>
      <x v="500"/>
    </i>
    <i>
      <x v="501"/>
    </i>
    <i>
      <x v="502"/>
    </i>
    <i>
      <x v="503"/>
    </i>
    <i>
      <x v="504"/>
    </i>
    <i>
      <x v="505"/>
    </i>
    <i>
      <x v="506"/>
    </i>
    <i>
      <x v="507"/>
    </i>
    <i>
      <x v="508"/>
    </i>
    <i>
      <x v="509"/>
    </i>
    <i>
      <x v="510"/>
    </i>
    <i>
      <x v="511"/>
    </i>
    <i>
      <x v="512"/>
    </i>
    <i>
      <x v="513"/>
    </i>
    <i>
      <x v="514"/>
    </i>
    <i>
      <x v="515"/>
    </i>
    <i>
      <x v="516"/>
    </i>
    <i>
      <x v="517"/>
    </i>
    <i>
      <x v="518"/>
    </i>
    <i>
      <x v="519"/>
    </i>
    <i>
      <x v="520"/>
    </i>
    <i>
      <x v="521"/>
    </i>
    <i>
      <x v="522"/>
    </i>
    <i>
      <x v="523"/>
    </i>
    <i>
      <x v="524"/>
    </i>
    <i>
      <x v="525"/>
    </i>
    <i>
      <x v="526"/>
    </i>
    <i>
      <x v="527"/>
    </i>
    <i>
      <x v="528"/>
    </i>
    <i>
      <x v="529"/>
    </i>
    <i>
      <x v="530"/>
    </i>
    <i>
      <x v="531"/>
    </i>
    <i>
      <x v="532"/>
    </i>
    <i>
      <x v="533"/>
    </i>
    <i>
      <x v="534"/>
    </i>
    <i>
      <x v="535"/>
    </i>
    <i>
      <x v="536"/>
    </i>
    <i>
      <x v="537"/>
    </i>
    <i>
      <x v="538"/>
    </i>
    <i>
      <x v="539"/>
    </i>
    <i>
      <x v="540"/>
    </i>
    <i>
      <x v="541"/>
    </i>
    <i>
      <x v="542"/>
    </i>
    <i>
      <x v="543"/>
    </i>
    <i>
      <x v="544"/>
    </i>
    <i>
      <x v="545"/>
    </i>
    <i>
      <x v="546"/>
    </i>
    <i>
      <x v="547"/>
    </i>
    <i>
      <x v="548"/>
    </i>
    <i t="grand">
      <x/>
    </i>
  </rowItems>
  <colFields count="1">
    <field x="-2"/>
  </colFields>
  <colItems count="2">
    <i>
      <x/>
    </i>
    <i i="1">
      <x v="1"/>
    </i>
  </colItems>
  <dataFields count="2">
    <dataField name="Crude oil Price_v2" fld="1" baseField="0" baseItem="0"/>
    <dataField name="Gasoline Price_V2" fld="2" baseField="0" baseItem="0"/>
  </dataFields>
  <formats count="1">
    <format dxfId="101">
      <pivotArea collapsedLevelsAreSubtotals="1" fieldPosition="0">
        <references count="1">
          <reference field="0" count="0"/>
        </references>
      </pivotArea>
    </format>
  </format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95BD837-A9F0-4B39-B5D2-A06A548C786C}" name="CrudeOil2GasComparison" cacheId="16" applyNumberFormats="0" applyBorderFormats="0" applyFontFormats="0" applyPatternFormats="0" applyAlignmentFormats="0" applyWidthHeightFormats="1" dataCaption="Values" updatedVersion="8" minRefreshableVersion="5" useAutoFormatting="1" itemPrintTitles="1" createdVersion="8" indent="0" outline="1" outlineData="1" multipleFieldFilters="0" chartFormat="15">
  <location ref="A3:C688" firstHeaderRow="0" firstDataRow="1" firstDataCol="1"/>
  <pivotFields count="11">
    <pivotField axis="axisRow" numFmtId="14" showAll="0" sortType="ascending">
      <items count="690">
        <item x="683"/>
        <item x="682"/>
        <item x="681"/>
        <item x="680"/>
        <item x="679"/>
        <item x="678"/>
        <item x="677"/>
        <item x="676"/>
        <item x="675"/>
        <item x="674"/>
        <item x="673"/>
        <item x="672"/>
        <item x="671"/>
        <item x="670"/>
        <item x="669"/>
        <item x="668"/>
        <item x="667"/>
        <item x="666"/>
        <item x="665"/>
        <item x="664"/>
        <item x="663"/>
        <item x="662"/>
        <item x="661"/>
        <item x="660"/>
        <item x="659"/>
        <item x="658"/>
        <item x="657"/>
        <item x="656"/>
        <item x="655"/>
        <item x="654"/>
        <item x="653"/>
        <item x="652"/>
        <item x="651"/>
        <item x="650"/>
        <item x="649"/>
        <item x="648"/>
        <item x="647"/>
        <item x="646"/>
        <item x="645"/>
        <item x="644"/>
        <item x="643"/>
        <item x="642"/>
        <item x="641"/>
        <item x="640"/>
        <item x="639"/>
        <item x="638"/>
        <item x="637"/>
        <item x="636"/>
        <item x="635"/>
        <item x="634"/>
        <item x="633"/>
        <item x="632"/>
        <item x="631"/>
        <item x="630"/>
        <item x="629"/>
        <item x="628"/>
        <item x="627"/>
        <item x="626"/>
        <item x="625"/>
        <item x="624"/>
        <item x="623"/>
        <item x="622"/>
        <item x="621"/>
        <item x="620"/>
        <item x="619"/>
        <item x="618"/>
        <item x="617"/>
        <item x="616"/>
        <item x="615"/>
        <item x="614"/>
        <item x="613"/>
        <item x="612"/>
        <item x="611"/>
        <item x="610"/>
        <item x="609"/>
        <item x="608"/>
        <item x="607"/>
        <item x="606"/>
        <item x="605"/>
        <item x="604"/>
        <item x="603"/>
        <item x="602"/>
        <item x="601"/>
        <item x="600"/>
        <item x="599"/>
        <item x="598"/>
        <item x="597"/>
        <item x="596"/>
        <item x="595"/>
        <item x="594"/>
        <item x="593"/>
        <item x="592"/>
        <item x="591"/>
        <item x="590"/>
        <item x="589"/>
        <item x="588"/>
        <item x="587"/>
        <item x="586"/>
        <item x="585"/>
        <item x="584"/>
        <item x="583"/>
        <item x="582"/>
        <item x="581"/>
        <item x="580"/>
        <item x="579"/>
        <item x="578"/>
        <item x="577"/>
        <item x="576"/>
        <item x="575"/>
        <item x="574"/>
        <item x="573"/>
        <item x="572"/>
        <item x="571"/>
        <item x="570"/>
        <item x="569"/>
        <item x="568"/>
        <item x="567"/>
        <item x="566"/>
        <item x="565"/>
        <item x="564"/>
        <item x="563"/>
        <item x="562"/>
        <item x="561"/>
        <item x="560"/>
        <item x="559"/>
        <item x="558"/>
        <item x="557"/>
        <item x="556"/>
        <item x="555"/>
        <item x="554"/>
        <item x="553"/>
        <item x="552"/>
        <item x="551"/>
        <item x="550"/>
        <item x="549"/>
        <item x="548"/>
        <item x="547"/>
        <item x="546"/>
        <item x="545"/>
        <item x="544"/>
        <item x="543"/>
        <item x="542"/>
        <item x="541"/>
        <item x="540"/>
        <item x="539"/>
        <item x="538"/>
        <item x="537"/>
        <item x="536"/>
        <item x="535"/>
        <item x="534"/>
        <item x="533"/>
        <item x="532"/>
        <item x="531"/>
        <item x="530"/>
        <item x="529"/>
        <item x="528"/>
        <item x="527"/>
        <item x="526"/>
        <item x="525"/>
        <item x="524"/>
        <item x="523"/>
        <item x="522"/>
        <item x="521"/>
        <item x="520"/>
        <item x="519"/>
        <item x="518"/>
        <item x="517"/>
        <item x="516"/>
        <item x="515"/>
        <item x="514"/>
        <item x="513"/>
        <item x="512"/>
        <item x="511"/>
        <item x="510"/>
        <item x="509"/>
        <item x="508"/>
        <item x="507"/>
        <item x="506"/>
        <item x="505"/>
        <item x="504"/>
        <item x="503"/>
        <item x="502"/>
        <item x="501"/>
        <item x="500"/>
        <item x="499"/>
        <item x="498"/>
        <item x="497"/>
        <item x="496"/>
        <item x="495"/>
        <item x="494"/>
        <item x="493"/>
        <item x="492"/>
        <item x="491"/>
        <item x="490"/>
        <item x="489"/>
        <item x="488"/>
        <item x="487"/>
        <item x="486"/>
        <item x="485"/>
        <item x="484"/>
        <item x="483"/>
        <item x="482"/>
        <item x="481"/>
        <item x="480"/>
        <item x="479"/>
        <item x="478"/>
        <item x="477"/>
        <item x="476"/>
        <item x="475"/>
        <item x="474"/>
        <item x="473"/>
        <item x="472"/>
        <item x="471"/>
        <item x="470"/>
        <item x="469"/>
        <item x="468"/>
        <item x="467"/>
        <item x="466"/>
        <item x="465"/>
        <item x="464"/>
        <item x="463"/>
        <item x="462"/>
        <item x="461"/>
        <item x="460"/>
        <item x="459"/>
        <item x="458"/>
        <item x="457"/>
        <item x="456"/>
        <item x="455"/>
        <item x="454"/>
        <item x="453"/>
        <item x="452"/>
        <item x="451"/>
        <item x="450"/>
        <item x="449"/>
        <item x="448"/>
        <item x="447"/>
        <item x="446"/>
        <item x="445"/>
        <item x="444"/>
        <item x="443"/>
        <item x="442"/>
        <item x="441"/>
        <item x="440"/>
        <item x="439"/>
        <item x="438"/>
        <item x="437"/>
        <item x="436"/>
        <item x="435"/>
        <item x="434"/>
        <item x="433"/>
        <item x="432"/>
        <item x="431"/>
        <item x="430"/>
        <item x="429"/>
        <item x="428"/>
        <item x="427"/>
        <item x="426"/>
        <item x="425"/>
        <item x="424"/>
        <item x="423"/>
        <item x="422"/>
        <item x="421"/>
        <item x="420"/>
        <item x="419"/>
        <item x="418"/>
        <item x="417"/>
        <item x="416"/>
        <item x="415"/>
        <item x="414"/>
        <item x="413"/>
        <item x="412"/>
        <item x="411"/>
        <item x="410"/>
        <item x="409"/>
        <item x="408"/>
        <item x="407"/>
        <item x="406"/>
        <item x="405"/>
        <item x="404"/>
        <item x="403"/>
        <item x="402"/>
        <item x="401"/>
        <item x="400"/>
        <item x="399"/>
        <item x="398"/>
        <item x="397"/>
        <item x="396"/>
        <item x="395"/>
        <item x="394"/>
        <item x="393"/>
        <item x="392"/>
        <item x="391"/>
        <item x="390"/>
        <item x="389"/>
        <item x="388"/>
        <item x="387"/>
        <item x="386"/>
        <item x="385"/>
        <item x="384"/>
        <item x="383"/>
        <item x="382"/>
        <item x="381"/>
        <item x="380"/>
        <item x="379"/>
        <item x="378"/>
        <item x="377"/>
        <item x="376"/>
        <item x="375"/>
        <item x="374"/>
        <item x="373"/>
        <item x="372"/>
        <item x="371"/>
        <item x="370"/>
        <item x="369"/>
        <item x="368"/>
        <item x="367"/>
        <item x="366"/>
        <item x="365"/>
        <item x="364"/>
        <item x="363"/>
        <item x="362"/>
        <item x="361"/>
        <item x="360"/>
        <item x="359"/>
        <item x="358"/>
        <item x="357"/>
        <item x="356"/>
        <item x="355"/>
        <item x="354"/>
        <item x="353"/>
        <item x="352"/>
        <item x="351"/>
        <item x="350"/>
        <item x="349"/>
        <item x="348"/>
        <item x="347"/>
        <item x="346"/>
        <item x="345"/>
        <item x="344"/>
        <item x="343"/>
        <item x="342"/>
        <item x="341"/>
        <item x="340"/>
        <item x="339"/>
        <item x="338"/>
        <item x="337"/>
        <item x="336"/>
        <item x="335"/>
        <item x="334"/>
        <item x="333"/>
        <item x="332"/>
        <item x="331"/>
        <item x="330"/>
        <item x="329"/>
        <item x="328"/>
        <item x="327"/>
        <item x="326"/>
        <item x="325"/>
        <item x="324"/>
        <item x="323"/>
        <item x="322"/>
        <item x="321"/>
        <item x="320"/>
        <item x="319"/>
        <item x="318"/>
        <item x="317"/>
        <item x="316"/>
        <item x="315"/>
        <item x="314"/>
        <item x="313"/>
        <item x="312"/>
        <item x="311"/>
        <item x="310"/>
        <item x="309"/>
        <item x="308"/>
        <item x="307"/>
        <item x="306"/>
        <item x="305"/>
        <item x="304"/>
        <item x="303"/>
        <item x="302"/>
        <item x="301"/>
        <item x="300"/>
        <item x="299"/>
        <item x="298"/>
        <item x="297"/>
        <item x="296"/>
        <item x="295"/>
        <item x="294"/>
        <item x="293"/>
        <item x="292"/>
        <item x="291"/>
        <item x="290"/>
        <item x="289"/>
        <item x="288"/>
        <item x="287"/>
        <item x="286"/>
        <item x="285"/>
        <item x="284"/>
        <item x="283"/>
        <item x="282"/>
        <item x="281"/>
        <item x="280"/>
        <item x="279"/>
        <item x="278"/>
        <item x="277"/>
        <item x="276"/>
        <item x="275"/>
        <item x="274"/>
        <item x="273"/>
        <item x="272"/>
        <item x="271"/>
        <item x="270"/>
        <item x="269"/>
        <item x="268"/>
        <item x="267"/>
        <item x="266"/>
        <item x="265"/>
        <item x="264"/>
        <item x="263"/>
        <item x="262"/>
        <item x="261"/>
        <item x="260"/>
        <item x="259"/>
        <item x="258"/>
        <item x="257"/>
        <item x="256"/>
        <item x="255"/>
        <item x="254"/>
        <item x="253"/>
        <item x="252"/>
        <item x="251"/>
        <item x="250"/>
        <item x="249"/>
        <item x="248"/>
        <item x="247"/>
        <item x="246"/>
        <item x="245"/>
        <item x="244"/>
        <item x="243"/>
        <item x="242"/>
        <item x="241"/>
        <item x="240"/>
        <item x="239"/>
        <item x="238"/>
        <item x="237"/>
        <item x="236"/>
        <item x="235"/>
        <item x="234"/>
        <item x="233"/>
        <item x="232"/>
        <item x="231"/>
        <item x="230"/>
        <item x="229"/>
        <item x="228"/>
        <item x="227"/>
        <item x="226"/>
        <item x="225"/>
        <item x="224"/>
        <item x="223"/>
        <item x="222"/>
        <item x="221"/>
        <item x="220"/>
        <item x="219"/>
        <item x="218"/>
        <item x="217"/>
        <item x="216"/>
        <item x="215"/>
        <item x="214"/>
        <item x="213"/>
        <item x="212"/>
        <item x="211"/>
        <item x="210"/>
        <item x="209"/>
        <item x="208"/>
        <item x="207"/>
        <item x="206"/>
        <item x="205"/>
        <item x="204"/>
        <item x="203"/>
        <item x="202"/>
        <item x="201"/>
        <item x="200"/>
        <item x="199"/>
        <item x="198"/>
        <item x="197"/>
        <item x="196"/>
        <item x="195"/>
        <item x="194"/>
        <item x="193"/>
        <item x="192"/>
        <item x="191"/>
        <item x="190"/>
        <item x="189"/>
        <item x="188"/>
        <item x="187"/>
        <item x="186"/>
        <item x="185"/>
        <item x="184"/>
        <item x="183"/>
        <item x="182"/>
        <item x="181"/>
        <item x="180"/>
        <item x="179"/>
        <item x="178"/>
        <item x="177"/>
        <item x="176"/>
        <item x="175"/>
        <item x="174"/>
        <item x="173"/>
        <item x="172"/>
        <item x="171"/>
        <item x="170"/>
        <item x="169"/>
        <item x="168"/>
        <item x="167"/>
        <item x="166"/>
        <item x="165"/>
        <item x="164"/>
        <item x="163"/>
        <item x="162"/>
        <item x="161"/>
        <item x="160"/>
        <item x="159"/>
        <item x="158"/>
        <item x="157"/>
        <item x="156"/>
        <item x="155"/>
        <item x="154"/>
        <item x="153"/>
        <item x="152"/>
        <item x="151"/>
        <item x="150"/>
        <item x="149"/>
        <item x="148"/>
        <item x="147"/>
        <item x="146"/>
        <item x="145"/>
        <item x="144"/>
        <item x="143"/>
        <item x="142"/>
        <item x="141"/>
        <item x="140"/>
        <item x="139"/>
        <item x="138"/>
        <item x="137"/>
        <item x="136"/>
        <item x="135"/>
        <item x="134"/>
        <item x="133"/>
        <item x="132"/>
        <item x="131"/>
        <item x="130"/>
        <item x="129"/>
        <item x="128"/>
        <item x="127"/>
        <item x="126"/>
        <item x="125"/>
        <item x="124"/>
        <item x="123"/>
        <item x="122"/>
        <item x="121"/>
        <item x="120"/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m="1" x="684"/>
        <item m="1" x="687"/>
        <item m="1" x="685"/>
        <item x="4"/>
        <item x="3"/>
        <item x="2"/>
        <item x="1"/>
        <item m="1" x="688"/>
        <item m="1" x="686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dataField="1" showAll="0"/>
    <pivotField dataField="1" numFmtId="2" showAll="0"/>
    <pivotField showAll="0"/>
    <pivotField numFmtId="44" showAll="0"/>
  </pivotFields>
  <rowFields count="1">
    <field x="0"/>
  </rowFields>
  <rowItems count="685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86"/>
    </i>
    <i>
      <x v="187"/>
    </i>
    <i>
      <x v="188"/>
    </i>
    <i>
      <x v="189"/>
    </i>
    <i>
      <x v="190"/>
    </i>
    <i>
      <x v="191"/>
    </i>
    <i>
      <x v="192"/>
    </i>
    <i>
      <x v="193"/>
    </i>
    <i>
      <x v="194"/>
    </i>
    <i>
      <x v="195"/>
    </i>
    <i>
      <x v="196"/>
    </i>
    <i>
      <x v="197"/>
    </i>
    <i>
      <x v="198"/>
    </i>
    <i>
      <x v="199"/>
    </i>
    <i>
      <x v="200"/>
    </i>
    <i>
      <x v="201"/>
    </i>
    <i>
      <x v="202"/>
    </i>
    <i>
      <x v="203"/>
    </i>
    <i>
      <x v="204"/>
    </i>
    <i>
      <x v="205"/>
    </i>
    <i>
      <x v="206"/>
    </i>
    <i>
      <x v="207"/>
    </i>
    <i>
      <x v="208"/>
    </i>
    <i>
      <x v="209"/>
    </i>
    <i>
      <x v="210"/>
    </i>
    <i>
      <x v="211"/>
    </i>
    <i>
      <x v="212"/>
    </i>
    <i>
      <x v="213"/>
    </i>
    <i>
      <x v="214"/>
    </i>
    <i>
      <x v="215"/>
    </i>
    <i>
      <x v="216"/>
    </i>
    <i>
      <x v="217"/>
    </i>
    <i>
      <x v="218"/>
    </i>
    <i>
      <x v="219"/>
    </i>
    <i>
      <x v="220"/>
    </i>
    <i>
      <x v="221"/>
    </i>
    <i>
      <x v="222"/>
    </i>
    <i>
      <x v="223"/>
    </i>
    <i>
      <x v="224"/>
    </i>
    <i>
      <x v="225"/>
    </i>
    <i>
      <x v="226"/>
    </i>
    <i>
      <x v="227"/>
    </i>
    <i>
      <x v="228"/>
    </i>
    <i>
      <x v="229"/>
    </i>
    <i>
      <x v="230"/>
    </i>
    <i>
      <x v="231"/>
    </i>
    <i>
      <x v="232"/>
    </i>
    <i>
      <x v="233"/>
    </i>
    <i>
      <x v="234"/>
    </i>
    <i>
      <x v="235"/>
    </i>
    <i>
      <x v="236"/>
    </i>
    <i>
      <x v="237"/>
    </i>
    <i>
      <x v="238"/>
    </i>
    <i>
      <x v="239"/>
    </i>
    <i>
      <x v="240"/>
    </i>
    <i>
      <x v="241"/>
    </i>
    <i>
      <x v="242"/>
    </i>
    <i>
      <x v="243"/>
    </i>
    <i>
      <x v="244"/>
    </i>
    <i>
      <x v="245"/>
    </i>
    <i>
      <x v="246"/>
    </i>
    <i>
      <x v="247"/>
    </i>
    <i>
      <x v="248"/>
    </i>
    <i>
      <x v="249"/>
    </i>
    <i>
      <x v="250"/>
    </i>
    <i>
      <x v="251"/>
    </i>
    <i>
      <x v="252"/>
    </i>
    <i>
      <x v="253"/>
    </i>
    <i>
      <x v="254"/>
    </i>
    <i>
      <x v="255"/>
    </i>
    <i>
      <x v="256"/>
    </i>
    <i>
      <x v="257"/>
    </i>
    <i>
      <x v="258"/>
    </i>
    <i>
      <x v="259"/>
    </i>
    <i>
      <x v="260"/>
    </i>
    <i>
      <x v="261"/>
    </i>
    <i>
      <x v="262"/>
    </i>
    <i>
      <x v="263"/>
    </i>
    <i>
      <x v="264"/>
    </i>
    <i>
      <x v="265"/>
    </i>
    <i>
      <x v="266"/>
    </i>
    <i>
      <x v="267"/>
    </i>
    <i>
      <x v="268"/>
    </i>
    <i>
      <x v="269"/>
    </i>
    <i>
      <x v="270"/>
    </i>
    <i>
      <x v="271"/>
    </i>
    <i>
      <x v="272"/>
    </i>
    <i>
      <x v="273"/>
    </i>
    <i>
      <x v="274"/>
    </i>
    <i>
      <x v="275"/>
    </i>
    <i>
      <x v="276"/>
    </i>
    <i>
      <x v="277"/>
    </i>
    <i>
      <x v="278"/>
    </i>
    <i>
      <x v="279"/>
    </i>
    <i>
      <x v="280"/>
    </i>
    <i>
      <x v="281"/>
    </i>
    <i>
      <x v="282"/>
    </i>
    <i>
      <x v="283"/>
    </i>
    <i>
      <x v="284"/>
    </i>
    <i>
      <x v="285"/>
    </i>
    <i>
      <x v="286"/>
    </i>
    <i>
      <x v="287"/>
    </i>
    <i>
      <x v="288"/>
    </i>
    <i>
      <x v="289"/>
    </i>
    <i>
      <x v="290"/>
    </i>
    <i>
      <x v="291"/>
    </i>
    <i>
      <x v="292"/>
    </i>
    <i>
      <x v="293"/>
    </i>
    <i>
      <x v="294"/>
    </i>
    <i>
      <x v="295"/>
    </i>
    <i>
      <x v="296"/>
    </i>
    <i>
      <x v="297"/>
    </i>
    <i>
      <x v="298"/>
    </i>
    <i>
      <x v="299"/>
    </i>
    <i>
      <x v="300"/>
    </i>
    <i>
      <x v="301"/>
    </i>
    <i>
      <x v="302"/>
    </i>
    <i>
      <x v="303"/>
    </i>
    <i>
      <x v="304"/>
    </i>
    <i>
      <x v="305"/>
    </i>
    <i>
      <x v="306"/>
    </i>
    <i>
      <x v="307"/>
    </i>
    <i>
      <x v="308"/>
    </i>
    <i>
      <x v="309"/>
    </i>
    <i>
      <x v="310"/>
    </i>
    <i>
      <x v="311"/>
    </i>
    <i>
      <x v="312"/>
    </i>
    <i>
      <x v="313"/>
    </i>
    <i>
      <x v="314"/>
    </i>
    <i>
      <x v="315"/>
    </i>
    <i>
      <x v="316"/>
    </i>
    <i>
      <x v="317"/>
    </i>
    <i>
      <x v="318"/>
    </i>
    <i>
      <x v="319"/>
    </i>
    <i>
      <x v="320"/>
    </i>
    <i>
      <x v="321"/>
    </i>
    <i>
      <x v="322"/>
    </i>
    <i>
      <x v="323"/>
    </i>
    <i>
      <x v="324"/>
    </i>
    <i>
      <x v="325"/>
    </i>
    <i>
      <x v="326"/>
    </i>
    <i>
      <x v="327"/>
    </i>
    <i>
      <x v="328"/>
    </i>
    <i>
      <x v="329"/>
    </i>
    <i>
      <x v="330"/>
    </i>
    <i>
      <x v="331"/>
    </i>
    <i>
      <x v="332"/>
    </i>
    <i>
      <x v="333"/>
    </i>
    <i>
      <x v="334"/>
    </i>
    <i>
      <x v="335"/>
    </i>
    <i>
      <x v="336"/>
    </i>
    <i>
      <x v="337"/>
    </i>
    <i>
      <x v="338"/>
    </i>
    <i>
      <x v="339"/>
    </i>
    <i>
      <x v="340"/>
    </i>
    <i>
      <x v="341"/>
    </i>
    <i>
      <x v="342"/>
    </i>
    <i>
      <x v="343"/>
    </i>
    <i>
      <x v="344"/>
    </i>
    <i>
      <x v="345"/>
    </i>
    <i>
      <x v="346"/>
    </i>
    <i>
      <x v="347"/>
    </i>
    <i>
      <x v="348"/>
    </i>
    <i>
      <x v="349"/>
    </i>
    <i>
      <x v="350"/>
    </i>
    <i>
      <x v="351"/>
    </i>
    <i>
      <x v="352"/>
    </i>
    <i>
      <x v="353"/>
    </i>
    <i>
      <x v="354"/>
    </i>
    <i>
      <x v="355"/>
    </i>
    <i>
      <x v="356"/>
    </i>
    <i>
      <x v="357"/>
    </i>
    <i>
      <x v="358"/>
    </i>
    <i>
      <x v="359"/>
    </i>
    <i>
      <x v="360"/>
    </i>
    <i>
      <x v="361"/>
    </i>
    <i>
      <x v="362"/>
    </i>
    <i>
      <x v="363"/>
    </i>
    <i>
      <x v="364"/>
    </i>
    <i>
      <x v="365"/>
    </i>
    <i>
      <x v="366"/>
    </i>
    <i>
      <x v="367"/>
    </i>
    <i>
      <x v="368"/>
    </i>
    <i>
      <x v="369"/>
    </i>
    <i>
      <x v="370"/>
    </i>
    <i>
      <x v="371"/>
    </i>
    <i>
      <x v="372"/>
    </i>
    <i>
      <x v="373"/>
    </i>
    <i>
      <x v="374"/>
    </i>
    <i>
      <x v="375"/>
    </i>
    <i>
      <x v="376"/>
    </i>
    <i>
      <x v="377"/>
    </i>
    <i>
      <x v="378"/>
    </i>
    <i>
      <x v="379"/>
    </i>
    <i>
      <x v="380"/>
    </i>
    <i>
      <x v="381"/>
    </i>
    <i>
      <x v="382"/>
    </i>
    <i>
      <x v="383"/>
    </i>
    <i>
      <x v="384"/>
    </i>
    <i>
      <x v="385"/>
    </i>
    <i>
      <x v="386"/>
    </i>
    <i>
      <x v="387"/>
    </i>
    <i>
      <x v="388"/>
    </i>
    <i>
      <x v="389"/>
    </i>
    <i>
      <x v="390"/>
    </i>
    <i>
      <x v="391"/>
    </i>
    <i>
      <x v="392"/>
    </i>
    <i>
      <x v="393"/>
    </i>
    <i>
      <x v="394"/>
    </i>
    <i>
      <x v="395"/>
    </i>
    <i>
      <x v="396"/>
    </i>
    <i>
      <x v="397"/>
    </i>
    <i>
      <x v="398"/>
    </i>
    <i>
      <x v="399"/>
    </i>
    <i>
      <x v="400"/>
    </i>
    <i>
      <x v="401"/>
    </i>
    <i>
      <x v="402"/>
    </i>
    <i>
      <x v="403"/>
    </i>
    <i>
      <x v="404"/>
    </i>
    <i>
      <x v="405"/>
    </i>
    <i>
      <x v="406"/>
    </i>
    <i>
      <x v="407"/>
    </i>
    <i>
      <x v="408"/>
    </i>
    <i>
      <x v="409"/>
    </i>
    <i>
      <x v="410"/>
    </i>
    <i>
      <x v="411"/>
    </i>
    <i>
      <x v="412"/>
    </i>
    <i>
      <x v="413"/>
    </i>
    <i>
      <x v="414"/>
    </i>
    <i>
      <x v="415"/>
    </i>
    <i>
      <x v="416"/>
    </i>
    <i>
      <x v="417"/>
    </i>
    <i>
      <x v="418"/>
    </i>
    <i>
      <x v="419"/>
    </i>
    <i>
      <x v="420"/>
    </i>
    <i>
      <x v="421"/>
    </i>
    <i>
      <x v="422"/>
    </i>
    <i>
      <x v="423"/>
    </i>
    <i>
      <x v="424"/>
    </i>
    <i>
      <x v="425"/>
    </i>
    <i>
      <x v="426"/>
    </i>
    <i>
      <x v="427"/>
    </i>
    <i>
      <x v="428"/>
    </i>
    <i>
      <x v="429"/>
    </i>
    <i>
      <x v="430"/>
    </i>
    <i>
      <x v="431"/>
    </i>
    <i>
      <x v="432"/>
    </i>
    <i>
      <x v="433"/>
    </i>
    <i>
      <x v="434"/>
    </i>
    <i>
      <x v="435"/>
    </i>
    <i>
      <x v="436"/>
    </i>
    <i>
      <x v="437"/>
    </i>
    <i>
      <x v="438"/>
    </i>
    <i>
      <x v="439"/>
    </i>
    <i>
      <x v="440"/>
    </i>
    <i>
      <x v="441"/>
    </i>
    <i>
      <x v="442"/>
    </i>
    <i>
      <x v="443"/>
    </i>
    <i>
      <x v="444"/>
    </i>
    <i>
      <x v="445"/>
    </i>
    <i>
      <x v="446"/>
    </i>
    <i>
      <x v="447"/>
    </i>
    <i>
      <x v="448"/>
    </i>
    <i>
      <x v="449"/>
    </i>
    <i>
      <x v="450"/>
    </i>
    <i>
      <x v="451"/>
    </i>
    <i>
      <x v="452"/>
    </i>
    <i>
      <x v="453"/>
    </i>
    <i>
      <x v="454"/>
    </i>
    <i>
      <x v="455"/>
    </i>
    <i>
      <x v="456"/>
    </i>
    <i>
      <x v="457"/>
    </i>
    <i>
      <x v="458"/>
    </i>
    <i>
      <x v="459"/>
    </i>
    <i>
      <x v="460"/>
    </i>
    <i>
      <x v="461"/>
    </i>
    <i>
      <x v="462"/>
    </i>
    <i>
      <x v="463"/>
    </i>
    <i>
      <x v="464"/>
    </i>
    <i>
      <x v="465"/>
    </i>
    <i>
      <x v="466"/>
    </i>
    <i>
      <x v="467"/>
    </i>
    <i>
      <x v="468"/>
    </i>
    <i>
      <x v="469"/>
    </i>
    <i>
      <x v="470"/>
    </i>
    <i>
      <x v="471"/>
    </i>
    <i>
      <x v="472"/>
    </i>
    <i>
      <x v="473"/>
    </i>
    <i>
      <x v="474"/>
    </i>
    <i>
      <x v="475"/>
    </i>
    <i>
      <x v="476"/>
    </i>
    <i>
      <x v="477"/>
    </i>
    <i>
      <x v="478"/>
    </i>
    <i>
      <x v="479"/>
    </i>
    <i>
      <x v="480"/>
    </i>
    <i>
      <x v="481"/>
    </i>
    <i>
      <x v="482"/>
    </i>
    <i>
      <x v="483"/>
    </i>
    <i>
      <x v="484"/>
    </i>
    <i>
      <x v="485"/>
    </i>
    <i>
      <x v="486"/>
    </i>
    <i>
      <x v="487"/>
    </i>
    <i>
      <x v="488"/>
    </i>
    <i>
      <x v="489"/>
    </i>
    <i>
      <x v="490"/>
    </i>
    <i>
      <x v="491"/>
    </i>
    <i>
      <x v="492"/>
    </i>
    <i>
      <x v="493"/>
    </i>
    <i>
      <x v="494"/>
    </i>
    <i>
      <x v="495"/>
    </i>
    <i>
      <x v="496"/>
    </i>
    <i>
      <x v="497"/>
    </i>
    <i>
      <x v="498"/>
    </i>
    <i>
      <x v="499"/>
    </i>
    <i>
      <x v="500"/>
    </i>
    <i>
      <x v="501"/>
    </i>
    <i>
      <x v="502"/>
    </i>
    <i>
      <x v="503"/>
    </i>
    <i>
      <x v="504"/>
    </i>
    <i>
      <x v="505"/>
    </i>
    <i>
      <x v="506"/>
    </i>
    <i>
      <x v="507"/>
    </i>
    <i>
      <x v="508"/>
    </i>
    <i>
      <x v="509"/>
    </i>
    <i>
      <x v="510"/>
    </i>
    <i>
      <x v="511"/>
    </i>
    <i>
      <x v="512"/>
    </i>
    <i>
      <x v="513"/>
    </i>
    <i>
      <x v="514"/>
    </i>
    <i>
      <x v="515"/>
    </i>
    <i>
      <x v="516"/>
    </i>
    <i>
      <x v="517"/>
    </i>
    <i>
      <x v="518"/>
    </i>
    <i>
      <x v="519"/>
    </i>
    <i>
      <x v="520"/>
    </i>
    <i>
      <x v="521"/>
    </i>
    <i>
      <x v="522"/>
    </i>
    <i>
      <x v="523"/>
    </i>
    <i>
      <x v="524"/>
    </i>
    <i>
      <x v="525"/>
    </i>
    <i>
      <x v="526"/>
    </i>
    <i>
      <x v="527"/>
    </i>
    <i>
      <x v="528"/>
    </i>
    <i>
      <x v="529"/>
    </i>
    <i>
      <x v="530"/>
    </i>
    <i>
      <x v="531"/>
    </i>
    <i>
      <x v="532"/>
    </i>
    <i>
      <x v="533"/>
    </i>
    <i>
      <x v="534"/>
    </i>
    <i>
      <x v="535"/>
    </i>
    <i>
      <x v="536"/>
    </i>
    <i>
      <x v="537"/>
    </i>
    <i>
      <x v="538"/>
    </i>
    <i>
      <x v="539"/>
    </i>
    <i>
      <x v="540"/>
    </i>
    <i>
      <x v="541"/>
    </i>
    <i>
      <x v="542"/>
    </i>
    <i>
      <x v="543"/>
    </i>
    <i>
      <x v="544"/>
    </i>
    <i>
      <x v="545"/>
    </i>
    <i>
      <x v="546"/>
    </i>
    <i>
      <x v="547"/>
    </i>
    <i>
      <x v="548"/>
    </i>
    <i>
      <x v="549"/>
    </i>
    <i>
      <x v="550"/>
    </i>
    <i>
      <x v="551"/>
    </i>
    <i>
      <x v="552"/>
    </i>
    <i>
      <x v="553"/>
    </i>
    <i>
      <x v="554"/>
    </i>
    <i>
      <x v="555"/>
    </i>
    <i>
      <x v="556"/>
    </i>
    <i>
      <x v="557"/>
    </i>
    <i>
      <x v="558"/>
    </i>
    <i>
      <x v="559"/>
    </i>
    <i>
      <x v="560"/>
    </i>
    <i>
      <x v="561"/>
    </i>
    <i>
      <x v="562"/>
    </i>
    <i>
      <x v="563"/>
    </i>
    <i>
      <x v="564"/>
    </i>
    <i>
      <x v="565"/>
    </i>
    <i>
      <x v="566"/>
    </i>
    <i>
      <x v="567"/>
    </i>
    <i>
      <x v="568"/>
    </i>
    <i>
      <x v="569"/>
    </i>
    <i>
      <x v="570"/>
    </i>
    <i>
      <x v="571"/>
    </i>
    <i>
      <x v="572"/>
    </i>
    <i>
      <x v="573"/>
    </i>
    <i>
      <x v="574"/>
    </i>
    <i>
      <x v="575"/>
    </i>
    <i>
      <x v="576"/>
    </i>
    <i>
      <x v="577"/>
    </i>
    <i>
      <x v="578"/>
    </i>
    <i>
      <x v="579"/>
    </i>
    <i>
      <x v="580"/>
    </i>
    <i>
      <x v="581"/>
    </i>
    <i>
      <x v="582"/>
    </i>
    <i>
      <x v="583"/>
    </i>
    <i>
      <x v="584"/>
    </i>
    <i>
      <x v="585"/>
    </i>
    <i>
      <x v="586"/>
    </i>
    <i>
      <x v="587"/>
    </i>
    <i>
      <x v="588"/>
    </i>
    <i>
      <x v="589"/>
    </i>
    <i>
      <x v="590"/>
    </i>
    <i>
      <x v="591"/>
    </i>
    <i>
      <x v="592"/>
    </i>
    <i>
      <x v="593"/>
    </i>
    <i>
      <x v="594"/>
    </i>
    <i>
      <x v="595"/>
    </i>
    <i>
      <x v="596"/>
    </i>
    <i>
      <x v="597"/>
    </i>
    <i>
      <x v="598"/>
    </i>
    <i>
      <x v="599"/>
    </i>
    <i>
      <x v="600"/>
    </i>
    <i>
      <x v="601"/>
    </i>
    <i>
      <x v="602"/>
    </i>
    <i>
      <x v="603"/>
    </i>
    <i>
      <x v="604"/>
    </i>
    <i>
      <x v="605"/>
    </i>
    <i>
      <x v="606"/>
    </i>
    <i>
      <x v="607"/>
    </i>
    <i>
      <x v="608"/>
    </i>
    <i>
      <x v="609"/>
    </i>
    <i>
      <x v="610"/>
    </i>
    <i>
      <x v="611"/>
    </i>
    <i>
      <x v="612"/>
    </i>
    <i>
      <x v="613"/>
    </i>
    <i>
      <x v="614"/>
    </i>
    <i>
      <x v="615"/>
    </i>
    <i>
      <x v="616"/>
    </i>
    <i>
      <x v="617"/>
    </i>
    <i>
      <x v="618"/>
    </i>
    <i>
      <x v="619"/>
    </i>
    <i>
      <x v="620"/>
    </i>
    <i>
      <x v="621"/>
    </i>
    <i>
      <x v="622"/>
    </i>
    <i>
      <x v="623"/>
    </i>
    <i>
      <x v="624"/>
    </i>
    <i>
      <x v="625"/>
    </i>
    <i>
      <x v="626"/>
    </i>
    <i>
      <x v="627"/>
    </i>
    <i>
      <x v="628"/>
    </i>
    <i>
      <x v="629"/>
    </i>
    <i>
      <x v="630"/>
    </i>
    <i>
      <x v="631"/>
    </i>
    <i>
      <x v="632"/>
    </i>
    <i>
      <x v="633"/>
    </i>
    <i>
      <x v="634"/>
    </i>
    <i>
      <x v="635"/>
    </i>
    <i>
      <x v="636"/>
    </i>
    <i>
      <x v="637"/>
    </i>
    <i>
      <x v="638"/>
    </i>
    <i>
      <x v="639"/>
    </i>
    <i>
      <x v="640"/>
    </i>
    <i>
      <x v="641"/>
    </i>
    <i>
      <x v="642"/>
    </i>
    <i>
      <x v="643"/>
    </i>
    <i>
      <x v="644"/>
    </i>
    <i>
      <x v="645"/>
    </i>
    <i>
      <x v="646"/>
    </i>
    <i>
      <x v="647"/>
    </i>
    <i>
      <x v="648"/>
    </i>
    <i>
      <x v="649"/>
    </i>
    <i>
      <x v="650"/>
    </i>
    <i>
      <x v="651"/>
    </i>
    <i>
      <x v="652"/>
    </i>
    <i>
      <x v="653"/>
    </i>
    <i>
      <x v="654"/>
    </i>
    <i>
      <x v="655"/>
    </i>
    <i>
      <x v="656"/>
    </i>
    <i>
      <x v="657"/>
    </i>
    <i>
      <x v="658"/>
    </i>
    <i>
      <x v="659"/>
    </i>
    <i>
      <x v="660"/>
    </i>
    <i>
      <x v="661"/>
    </i>
    <i>
      <x v="662"/>
    </i>
    <i>
      <x v="663"/>
    </i>
    <i>
      <x v="664"/>
    </i>
    <i>
      <x v="665"/>
    </i>
    <i>
      <x v="666"/>
    </i>
    <i>
      <x v="667"/>
    </i>
    <i>
      <x v="668"/>
    </i>
    <i>
      <x v="669"/>
    </i>
    <i>
      <x v="670"/>
    </i>
    <i>
      <x v="671"/>
    </i>
    <i>
      <x v="672"/>
    </i>
    <i>
      <x v="673"/>
    </i>
    <i>
      <x v="674"/>
    </i>
    <i>
      <x v="675"/>
    </i>
    <i>
      <x v="676"/>
    </i>
    <i>
      <x v="677"/>
    </i>
    <i>
      <x v="678"/>
    </i>
    <i>
      <x v="682"/>
    </i>
    <i>
      <x v="683"/>
    </i>
    <i>
      <x v="684"/>
    </i>
    <i>
      <x v="685"/>
    </i>
    <i>
      <x v="688"/>
    </i>
    <i t="grand">
      <x/>
    </i>
  </rowItems>
  <colFields count="1">
    <field x="-2"/>
  </colFields>
  <colItems count="2">
    <i>
      <x/>
    </i>
    <i i="1">
      <x v="1"/>
    </i>
  </colItems>
  <dataFields count="2">
    <dataField name="Crude oil Price" fld="7" baseField="0" baseItem="0"/>
    <dataField name="Gasoline Price" fld="8" baseField="0" baseItem="0"/>
  </dataFields>
  <formats count="3">
    <format dxfId="104">
      <pivotArea outline="0" collapsedLevelsAreSubtotals="1" fieldPosition="0"/>
    </format>
    <format dxfId="103">
      <pivotArea dataOnly="0" labelOnly="1" grandRow="1" outline="0" fieldPosition="0"/>
    </format>
    <format dxfId="102">
      <pivotArea outline="0" collapsedLevelsAreSubtotals="1" fieldPosition="0"/>
    </format>
  </formats>
  <chartFormats count="6">
    <chartFormat chart="2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5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6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" format="9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1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E2493EC1-E29F-40A1-8EF8-D561CE3C3563}" name="Table6" displayName="Table6" ref="Q1:S550" totalsRowShown="0" headerRowDxfId="100" dataDxfId="98" headerRowBorderDxfId="99">
  <autoFilter ref="Q1:S550" xr:uid="{E2493EC1-E29F-40A1-8EF8-D561CE3C3563}"/>
  <sortState xmlns:xlrd2="http://schemas.microsoft.com/office/spreadsheetml/2017/richdata2" ref="Q2:S550">
    <sortCondition descending="1" ref="Q1:Q550"/>
  </sortState>
  <tableColumns count="3">
    <tableColumn id="1" xr3:uid="{889357AD-4087-43C0-8432-23E28948FCA9}" name="date" dataDxfId="97"/>
    <tableColumn id="2" xr3:uid="{2848DA28-21DD-4F76-8D11-AF8FF6B501F6}" name="Crude oil Price" dataDxfId="96"/>
    <tableColumn id="3" xr3:uid="{DCE49FD4-6CA0-42C0-9B95-6CFC781D4752}" name="Gasoline Price" dataDxfId="95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40B06AF-EEDB-4D54-BB1E-B4DB88EBBE80}" name="Table1" displayName="Table1" ref="A1:K685" totalsRowShown="0" headerRowDxfId="93" dataDxfId="92">
  <autoFilter ref="A1:K685" xr:uid="{6DE116F4-386B-4DE1-BD1B-0722473A0B9F}"/>
  <sortState xmlns:xlrd2="http://schemas.microsoft.com/office/spreadsheetml/2017/richdata2" ref="A2:K685">
    <sortCondition descending="1" ref="A1:A685"/>
  </sortState>
  <tableColumns count="11">
    <tableColumn id="1" xr3:uid="{AA8707E8-4FD0-4166-AA2D-C68515A9B6B6}" name="Date" dataDxfId="91"/>
    <tableColumn id="2" xr3:uid="{2F078F98-57BC-48EE-A2F8-09C445ECF501}" name="WTI Crude" dataDxfId="90"/>
    <tableColumn id="3" xr3:uid="{B1F8CB73-86EB-4BB5-AA6E-42FE4388E8BC}" name="Opec Basket" dataDxfId="89"/>
    <tableColumn id="4" xr3:uid="{AB4D448B-7C19-4DC5-ADD0-355261C7C85A}" name="Brent Crude" dataDxfId="88"/>
    <tableColumn id="5" xr3:uid="{E212D4B6-8FFB-4EF1-8B0A-54C0684C3BBC}" name="WCS" dataDxfId="87"/>
    <tableColumn id="9" xr3:uid="{8AB2F516-B6B4-4CE5-9A9E-2C867721705F}" name="Which is Cheaper_V1" dataDxfId="86">
      <calculatedColumnFormula>IF(MIN(B2:E2)=B2,1,IF(MIN(B2:E2)=C2,2,IF(MIN(B2:E2)=D2,3,IF(MIN(B2:E2)=E2,4,))))</calculatedColumnFormula>
    </tableColumn>
    <tableColumn id="6" xr3:uid="{7617DD31-6E83-4D6C-AD43-6091B3340556}" name="Which is Cheaper?" dataDxfId="85">
      <calculatedColumnFormula>IF(MIN(B2:E2)=B2,$B$1,IF(MIN(B2:E2)=C2,$C$1,IF(MIN(B2:E2)=D2,$D$1,IF(MIN(B2:E2)=E2,$E$1,))))</calculatedColumnFormula>
    </tableColumn>
    <tableColumn id="7" xr3:uid="{BBF0E584-89E1-474D-A66D-0C405D60F99A}" name="Price?" dataDxfId="84">
      <calculatedColumnFormula>IF(MIN(B2:E2)=B2,B2,IF(MIN(B2:E2)=C2,C2,IF(MIN(B2:E2)=D2,D2,IF(MIN(B2:E2)=E2,E2,))))</calculatedColumnFormula>
    </tableColumn>
    <tableColumn id="8" xr3:uid="{11F16594-2336-49BF-AB3B-BF8A43968296}" name="Gasoline" dataDxfId="83"/>
    <tableColumn id="10" xr3:uid="{5D2FC19C-73C1-454A-AAFE-2CFAFE472AA5}" name="GasP" dataDxfId="82"/>
    <tableColumn id="11" xr3:uid="{7FE4C035-ADB7-454C-9312-33DFBDFA89B3}" name="RBOB to Retail Diff" dataDxfId="81">
      <calculatedColumnFormula>Table1[[#This Row],[GasP]]-Table1[[#This Row],[Gasoline]]</calculatedColumnFormula>
    </tableColumn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F272C2DE-D224-498D-AB4E-AEF2B42CA91E}" name="Table14" displayName="Table14" ref="A1:I680" totalsRowShown="0" headerRowDxfId="80" dataDxfId="79">
  <autoFilter ref="A1:I680" xr:uid="{F272C2DE-D224-498D-AB4E-AEF2B42CA91E}"/>
  <sortState xmlns:xlrd2="http://schemas.microsoft.com/office/spreadsheetml/2017/richdata2" ref="A2:I680">
    <sortCondition descending="1" ref="A1:A680"/>
  </sortState>
  <tableColumns count="9">
    <tableColumn id="1" xr3:uid="{2744741C-101B-4866-B578-6652845AD937}" name="Date" dataDxfId="78"/>
    <tableColumn id="2" xr3:uid="{0D5D2B97-453B-4712-88CD-C500CDA8413F}" name="WTI Crude" dataDxfId="77"/>
    <tableColumn id="3" xr3:uid="{A396042F-B307-493F-82BF-4AC4DA49B31D}" name="Opec Basket" dataDxfId="76"/>
    <tableColumn id="4" xr3:uid="{32A5CCAE-0190-4B6C-9FB6-73AA2DDAA738}" name="Brent Crude" dataDxfId="75"/>
    <tableColumn id="5" xr3:uid="{828F599D-E6F9-4AD4-BE13-75FD2B33E180}" name="WCS" dataDxfId="74"/>
    <tableColumn id="9" xr3:uid="{C264ED5D-3BF4-4BA7-A47E-1FB800CC06B5}" name="Which is Cheaper_V1" dataDxfId="73">
      <calculatedColumnFormula>IF(MIN(B2:E2)=B2,0,IF(MIN(B2:E2)=C2,0.3,IF(MIN(B2:E2)=D2,0.75,IF(MIN(B2:E2)=E2,1,))))</calculatedColumnFormula>
    </tableColumn>
    <tableColumn id="6" xr3:uid="{256E82C3-E1BC-460E-B5E5-FCDB3B8827FA}" name="Which is Cheaper?" dataDxfId="72">
      <calculatedColumnFormula>IF(MIN(B2:E2)=B2,$B$1,IF(MIN(B2:E2)=C2,$C$1,IF(MIN(B2:E2)=D2,$D$1,IF(MIN(B2:E2)=E2,$E$1,))))</calculatedColumnFormula>
    </tableColumn>
    <tableColumn id="7" xr3:uid="{A8E8B54D-64FC-40D4-8D36-FCCCA0277033}" name="Price?" dataDxfId="71">
      <calculatedColumnFormula>IF(MIN(B2:E2)=B2,B2,IF(MIN(B2:E2)=C2,C2,IF(MIN(B2:E2)=D2,D2,IF(MIN(B2:E2)=E2,E2,))))</calculatedColumnFormula>
    </tableColumn>
    <tableColumn id="8" xr3:uid="{6C0774D0-E839-4BCF-BDF7-90772A78EA5E}" name="Gasoline" dataDxfId="70"/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11C7D9E-63A0-46A7-BA07-7342C60EF62B}" name="Table7" displayName="Table7" ref="D1:H5" totalsRowCount="1" headerRowDxfId="69">
  <autoFilter ref="D1:H4" xr:uid="{C494A663-0C83-4CF4-99FA-4DE4E2C0BD8E}"/>
  <tableColumns count="5">
    <tableColumn id="1" xr3:uid="{09FFB40E-9B88-4C7A-9D99-44BE5A3F24BF}" name="metrics" totalsRowDxfId="68"/>
    <tableColumn id="2" xr3:uid="{CBCA1883-DE1F-40FD-B48B-19AA91E720C2}" name="performance" totalsRowFunction="custom" totalsRowDxfId="67">
      <totalsRowFormula>IF(SUM(#REF!)&gt;1,"N/A",IF(SUM(#REF!)=0,"WTI",IF(SUM(#REF!)=0.3,"OPEC",IF(SUM(#REF!)=0.75,"Brent","WCS"))))</totalsRowFormula>
    </tableColumn>
    <tableColumn id="3" xr3:uid="{A18DCAC0-F5BC-4D00-9C28-620CCA17B57D}" name="needle" totalsRowDxfId="66"/>
    <tableColumn id="4" xr3:uid="{057F3C64-29B2-47FC-9DC2-84FB69E534F7}" name="blank part" totalsRowDxfId="65">
      <calculatedColumnFormula>H2-E2</calculatedColumnFormula>
    </tableColumn>
    <tableColumn id="5" xr3:uid="{84CEE187-25D2-4CA9-8192-268214A103B4}" name="half circle" totalsRowDxfId="64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M4" dT="2022-06-13T17:24:29.19" personId="{5BB518EE-8A48-42E1-A0C5-0977E592E60B}" id="{11364B46-D877-4681-9D8F-4E6F3DBF0E99}">
    <text>need to recheck formulas, and parameters</text>
  </threadedComment>
</ThreadedComments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Date" xr10:uid="{0B6CC758-222C-4BA4-82C9-12C9E6CF236F}" sourceName="Date">
  <pivotTables>
    <pivotTable tabId="19" name="crudeGasRetail"/>
    <pivotTable tabId="1" name="CrudeFinalProject"/>
    <pivotTable tabId="9" name="CrudeOil2GasComparison"/>
    <pivotTable tabId="21" name="PivotTable4"/>
    <pivotTable tabId="19" name="GasPriceFinalProject"/>
    <pivotTable tabId="2" name="GasolineFinalProject"/>
  </pivotTables>
  <state minimalRefreshVersion="6" lastRefreshVersion="6" pivotCacheId="627302700" filterType="unknown">
    <bounds startDate="2019-01-01T00:00:00" endDate="2023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e 2" xr10:uid="{AB8A7E74-21BC-4426-BA01-83230769507F}" cache="NativeTimeline_Date" caption="Date" level="3" selectionLevel="3" scrollPosition="2022-05-08T00:00:00"/>
</timeline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3.xml"/><Relationship Id="rId12" Type="http://schemas.microsoft.com/office/2011/relationships/timeline" Target="../timelines/timelin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2.xml"/><Relationship Id="rId11" Type="http://schemas.openxmlformats.org/officeDocument/2006/relationships/ctrlProp" Target="../ctrlProps/ctrlProp7.xml"/><Relationship Id="rId5" Type="http://schemas.openxmlformats.org/officeDocument/2006/relationships/ctrlProp" Target="../ctrlProps/ctrlProp1.xml"/><Relationship Id="rId10" Type="http://schemas.openxmlformats.org/officeDocument/2006/relationships/ctrlProp" Target="../ctrlProps/ctrlProp6.xml"/><Relationship Id="rId4" Type="http://schemas.openxmlformats.org/officeDocument/2006/relationships/image" Target="../media/image1.png"/><Relationship Id="rId9" Type="http://schemas.openxmlformats.org/officeDocument/2006/relationships/ctrlProp" Target="../ctrlProps/ctrlProp5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ivotTable" Target="../pivotTables/pivotTable3.xml"/><Relationship Id="rId1" Type="http://schemas.openxmlformats.org/officeDocument/2006/relationships/pivotTable" Target="../pivotTables/pivotTable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ivotTable" Target="../pivotTables/pivotTable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7.xml"/><Relationship Id="rId2" Type="http://schemas.openxmlformats.org/officeDocument/2006/relationships/pivotTable" Target="../pivotTables/pivotTable6.xml"/><Relationship Id="rId1" Type="http://schemas.openxmlformats.org/officeDocument/2006/relationships/pivotTable" Target="../pivotTables/pivotTable5.xml"/><Relationship Id="rId4" Type="http://schemas.openxmlformats.org/officeDocument/2006/relationships/drawing" Target="../drawings/drawing6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ivotTable" Target="../pivotTables/pivotTable9.xml"/><Relationship Id="rId1" Type="http://schemas.openxmlformats.org/officeDocument/2006/relationships/pivotTable" Target="../pivotTables/pivotTable8.xml"/><Relationship Id="rId4" Type="http://schemas.openxmlformats.org/officeDocument/2006/relationships/table" Target="../tables/table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8.xml"/><Relationship Id="rId6" Type="http://schemas.microsoft.com/office/2017/10/relationships/threadedComment" Target="../threadedComments/threadedComment1.xml"/><Relationship Id="rId5" Type="http://schemas.openxmlformats.org/officeDocument/2006/relationships/comments" Target="../comments1.xml"/><Relationship Id="rId4" Type="http://schemas.openxmlformats.org/officeDocument/2006/relationships/table" Target="../tables/table2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2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drawing" Target="../drawings/drawing10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47B824-D539-45F7-8B18-11D153DFDD33}">
  <sheetPr codeName="Sheet1"/>
  <dimension ref="D5:Z30"/>
  <sheetViews>
    <sheetView showGridLines="0" showRowColHeaders="0" tabSelected="1" zoomScale="85" zoomScaleNormal="85" workbookViewId="0">
      <selection activeCell="P13" sqref="P13"/>
    </sheetView>
  </sheetViews>
  <sheetFormatPr defaultRowHeight="15.75"/>
  <cols>
    <col min="3" max="3" width="9" customWidth="1"/>
    <col min="4" max="4" width="9.375" bestFit="1" customWidth="1"/>
    <col min="5" max="5" width="6.375" bestFit="1" customWidth="1"/>
    <col min="6" max="6" width="14.125" customWidth="1"/>
    <col min="7" max="7" width="4.625" customWidth="1"/>
    <col min="8" max="8" width="17.25" customWidth="1"/>
    <col min="9" max="9" width="18.125" bestFit="1" customWidth="1"/>
    <col min="10" max="11" width="10" bestFit="1" customWidth="1"/>
    <col min="12" max="12" width="8.875" bestFit="1" customWidth="1"/>
    <col min="14" max="14" width="9.375" bestFit="1" customWidth="1"/>
    <col min="16" max="16" width="14.625" customWidth="1"/>
    <col min="19" max="19" width="9.625" customWidth="1"/>
  </cols>
  <sheetData>
    <row r="5" spans="4:26">
      <c r="J5" s="60"/>
      <c r="K5" s="58"/>
      <c r="L5" s="58"/>
      <c r="M5" s="58"/>
      <c r="N5" s="58"/>
      <c r="S5" s="44"/>
      <c r="Z5" s="24"/>
    </row>
    <row r="6" spans="4:26" ht="19.5">
      <c r="F6" s="4"/>
      <c r="J6" s="55"/>
      <c r="K6" s="61"/>
      <c r="L6" s="62"/>
      <c r="M6" s="63"/>
      <c r="N6" s="64"/>
      <c r="S6" s="44"/>
    </row>
    <row r="7" spans="4:26" ht="19.5">
      <c r="J7" s="55"/>
      <c r="K7" s="61"/>
      <c r="L7" s="62"/>
      <c r="M7" s="61"/>
      <c r="N7" s="62"/>
    </row>
    <row r="8" spans="4:26" ht="19.5">
      <c r="N8" s="55"/>
      <c r="O8" s="56"/>
      <c r="P8" s="57"/>
      <c r="Q8" s="56"/>
      <c r="R8" s="57"/>
    </row>
    <row r="9" spans="4:26" ht="19.5">
      <c r="M9" s="55"/>
      <c r="N9" s="56"/>
      <c r="O9" s="57"/>
      <c r="P9" s="56"/>
      <c r="Q9" s="57"/>
    </row>
    <row r="11" spans="4:26" ht="23.25">
      <c r="D11" s="119"/>
      <c r="E11" s="119"/>
      <c r="F11" s="47"/>
      <c r="G11" s="47"/>
      <c r="H11" s="47"/>
      <c r="R11" s="108"/>
    </row>
    <row r="12" spans="4:26" ht="21">
      <c r="D12" s="45"/>
      <c r="E12" s="46"/>
    </row>
    <row r="14" spans="4:26" ht="21">
      <c r="I14" s="28"/>
      <c r="K14" t="s">
        <v>47</v>
      </c>
    </row>
    <row r="15" spans="4:26" ht="21">
      <c r="I15" s="27"/>
    </row>
    <row r="16" spans="4:26" ht="21">
      <c r="I16" s="26"/>
    </row>
    <row r="22" spans="4:9">
      <c r="D22" s="24"/>
    </row>
    <row r="23" spans="4:9" ht="21">
      <c r="I23" s="59"/>
    </row>
    <row r="30" spans="4:9" ht="21">
      <c r="E30" s="120"/>
      <c r="F30" s="120"/>
      <c r="G30" s="120"/>
      <c r="H30" s="120"/>
      <c r="I30" s="120"/>
    </row>
  </sheetData>
  <mergeCells count="2">
    <mergeCell ref="D11:E11"/>
    <mergeCell ref="E30:I30"/>
  </mergeCells>
  <pageMargins left="0.7" right="0.7" top="0.75" bottom="0.75" header="0.3" footer="0.3"/>
  <pageSetup orientation="portrait" verticalDpi="300" r:id="rId1"/>
  <drawing r:id="rId2"/>
  <legacyDrawing r:id="rId3"/>
  <picture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5" name="Button 1">
              <controlPr defaultSize="0" autoFill="0" autoPict="0" macro="[0]!FinalProjectTimelineManipulator.Sanctions">
                <anchor moveWithCells="1">
                  <from>
                    <xdr:col>4</xdr:col>
                    <xdr:colOff>238125</xdr:colOff>
                    <xdr:row>13</xdr:row>
                    <xdr:rowOff>28575</xdr:rowOff>
                  </from>
                  <to>
                    <xdr:col>7</xdr:col>
                    <xdr:colOff>523875</xdr:colOff>
                    <xdr:row>13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6" name="Button 2">
              <controlPr defaultSize="0" autoFill="0" autoPict="0" macro="[0]!FinalProjectTimelineManipulator.RussiaInvades">
                <anchor moveWithCells="1">
                  <from>
                    <xdr:col>4</xdr:col>
                    <xdr:colOff>238125</xdr:colOff>
                    <xdr:row>11</xdr:row>
                    <xdr:rowOff>209550</xdr:rowOff>
                  </from>
                  <to>
                    <xdr:col>7</xdr:col>
                    <xdr:colOff>523875</xdr:colOff>
                    <xdr:row>12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7" name="Button 3">
              <controlPr defaultSize="0" autoFill="0" autoPict="0" macro="[0]!FinalProjectTimelineManipulator.JoeTakesOfficeBeforeWar">
                <anchor moveWithCells="1">
                  <from>
                    <xdr:col>4</xdr:col>
                    <xdr:colOff>238125</xdr:colOff>
                    <xdr:row>10</xdr:row>
                    <xdr:rowOff>228600</xdr:rowOff>
                  </from>
                  <to>
                    <xdr:col>7</xdr:col>
                    <xdr:colOff>523875</xdr:colOff>
                    <xdr:row>11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8" name="Button 4">
              <controlPr defaultSize="0" autoFill="0" autoPict="0" macro="[0]!FinalProjectTimelineManipulator.USBeginsReOpen">
                <anchor moveWithCells="1">
                  <from>
                    <xdr:col>0</xdr:col>
                    <xdr:colOff>523875</xdr:colOff>
                    <xdr:row>13</xdr:row>
                    <xdr:rowOff>0</xdr:rowOff>
                  </from>
                  <to>
                    <xdr:col>3</xdr:col>
                    <xdr:colOff>666750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9" name="Button 5">
              <controlPr defaultSize="0" autoFill="0" autoPict="0" macro="[0]!FinalProjectTimelineManipulator.USBeginsShutDown">
                <anchor moveWithCells="1">
                  <from>
                    <xdr:col>0</xdr:col>
                    <xdr:colOff>523875</xdr:colOff>
                    <xdr:row>11</xdr:row>
                    <xdr:rowOff>190500</xdr:rowOff>
                  </from>
                  <to>
                    <xdr:col>3</xdr:col>
                    <xdr:colOff>666750</xdr:colOff>
                    <xdr:row>12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10" name="Button 6">
              <controlPr defaultSize="0" autoFill="0" autoPict="0" macro="[0]!Sheet1.PrePandemicPrices">
                <anchor moveWithCells="1">
                  <from>
                    <xdr:col>0</xdr:col>
                    <xdr:colOff>523875</xdr:colOff>
                    <xdr:row>10</xdr:row>
                    <xdr:rowOff>228600</xdr:rowOff>
                  </from>
                  <to>
                    <xdr:col>3</xdr:col>
                    <xdr:colOff>666750</xdr:colOff>
                    <xdr:row>11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autoFill="0" autoPict="0" macro="[0]!FinalProjectTimelineManipulator.ResetTimeLine">
                <anchor moveWithCells="1">
                  <from>
                    <xdr:col>2</xdr:col>
                    <xdr:colOff>400050</xdr:colOff>
                    <xdr:row>14</xdr:row>
                    <xdr:rowOff>47625</xdr:rowOff>
                  </from>
                  <to>
                    <xdr:col>5</xdr:col>
                    <xdr:colOff>714375</xdr:colOff>
                    <xdr:row>14</xdr:row>
                    <xdr:rowOff>228600</xdr:rowOff>
                  </to>
                </anchor>
              </controlPr>
            </control>
          </mc:Choice>
        </mc:AlternateContent>
      </controls>
    </mc:Choice>
  </mc:AlternateContent>
  <extLst>
    <ext xmlns:x15="http://schemas.microsoft.com/office/spreadsheetml/2010/11/main" uri="{7E03D99C-DC04-49d9-9315-930204A7B6E9}">
      <x15:timelineRefs>
        <x15:timelineRef r:id="rId12"/>
      </x15:timelineRef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7E91BA-3AEC-4282-8138-920C23A614A5}">
  <sheetPr codeName="Sheet11"/>
  <dimension ref="A1:E685"/>
  <sheetViews>
    <sheetView workbookViewId="0">
      <selection activeCell="E53" sqref="E53"/>
    </sheetView>
  </sheetViews>
  <sheetFormatPr defaultRowHeight="15.75"/>
  <cols>
    <col min="1" max="1" width="12.375" bestFit="1" customWidth="1"/>
    <col min="2" max="5" width="7.375" style="43" bestFit="1" customWidth="1"/>
  </cols>
  <sheetData>
    <row r="1" spans="1:5">
      <c r="A1" s="1" t="s">
        <v>0</v>
      </c>
      <c r="B1" s="43" t="s">
        <v>75</v>
      </c>
      <c r="C1" s="43" t="s">
        <v>76</v>
      </c>
      <c r="D1" s="43" t="s">
        <v>77</v>
      </c>
      <c r="E1" s="43" t="s">
        <v>78</v>
      </c>
    </row>
    <row r="2" spans="1:5">
      <c r="A2" s="20">
        <v>43769</v>
      </c>
      <c r="B2" s="43">
        <v>52.66</v>
      </c>
      <c r="C2" s="43">
        <v>60.52</v>
      </c>
      <c r="D2" s="43">
        <v>58.32</v>
      </c>
    </row>
    <row r="3" spans="1:5">
      <c r="A3" s="20">
        <v>43770</v>
      </c>
      <c r="B3" s="43">
        <v>53.32</v>
      </c>
      <c r="C3" s="43">
        <v>60.19</v>
      </c>
      <c r="D3" s="43">
        <v>59.1</v>
      </c>
    </row>
    <row r="4" spans="1:5">
      <c r="A4" s="20">
        <v>43773</v>
      </c>
      <c r="B4" s="43">
        <v>54.09</v>
      </c>
      <c r="C4" s="43">
        <v>62</v>
      </c>
      <c r="D4" s="43">
        <v>60.51</v>
      </c>
    </row>
    <row r="5" spans="1:5">
      <c r="A5" s="20">
        <v>43774</v>
      </c>
      <c r="B5" s="43">
        <v>53.41</v>
      </c>
      <c r="C5" s="43">
        <v>62.57</v>
      </c>
      <c r="D5" s="43">
        <v>59.35</v>
      </c>
    </row>
    <row r="6" spans="1:5">
      <c r="A6" s="20">
        <v>43775</v>
      </c>
      <c r="B6" s="43">
        <v>52.97</v>
      </c>
      <c r="C6" s="43">
        <v>62.39</v>
      </c>
      <c r="D6" s="43">
        <v>58.74</v>
      </c>
    </row>
    <row r="7" spans="1:5">
      <c r="A7" s="20">
        <v>43776</v>
      </c>
      <c r="B7" s="43">
        <v>53.26</v>
      </c>
      <c r="C7" s="43">
        <v>62.32</v>
      </c>
      <c r="D7" s="43">
        <v>59.42</v>
      </c>
    </row>
    <row r="8" spans="1:5">
      <c r="A8" s="20">
        <v>43777</v>
      </c>
      <c r="B8" s="43">
        <v>53.54</v>
      </c>
      <c r="C8" s="43">
        <v>61.98</v>
      </c>
      <c r="D8" s="43">
        <v>59.91</v>
      </c>
    </row>
    <row r="9" spans="1:5">
      <c r="A9" s="20">
        <v>43780</v>
      </c>
      <c r="B9" s="43">
        <v>53.47</v>
      </c>
      <c r="C9" s="43">
        <v>62.26</v>
      </c>
      <c r="D9" s="43">
        <v>59.42</v>
      </c>
    </row>
    <row r="10" spans="1:5">
      <c r="A10" s="20">
        <v>43781</v>
      </c>
      <c r="B10" s="43">
        <v>53.32</v>
      </c>
      <c r="C10" s="43">
        <v>62.82</v>
      </c>
      <c r="D10" s="43">
        <v>58.96</v>
      </c>
    </row>
    <row r="11" spans="1:5">
      <c r="A11" s="20">
        <v>43782</v>
      </c>
      <c r="B11" s="43">
        <v>53.65</v>
      </c>
      <c r="C11" s="43">
        <v>62.48</v>
      </c>
      <c r="D11" s="43">
        <v>59.7</v>
      </c>
    </row>
    <row r="12" spans="1:5">
      <c r="A12" s="20">
        <v>43783</v>
      </c>
      <c r="B12" s="43">
        <v>54.11</v>
      </c>
      <c r="C12" s="43">
        <v>63</v>
      </c>
      <c r="D12" s="43">
        <v>61.17</v>
      </c>
    </row>
    <row r="13" spans="1:5">
      <c r="A13" s="20">
        <v>43784</v>
      </c>
      <c r="B13" s="43">
        <v>54.18</v>
      </c>
      <c r="C13" s="43">
        <v>63.12</v>
      </c>
      <c r="D13" s="43">
        <v>61.67</v>
      </c>
    </row>
    <row r="14" spans="1:5">
      <c r="A14" s="20">
        <v>43787</v>
      </c>
      <c r="B14" s="43">
        <v>54.27</v>
      </c>
      <c r="C14" s="43">
        <v>63.44</v>
      </c>
      <c r="D14" s="43">
        <v>62.02</v>
      </c>
    </row>
    <row r="15" spans="1:5">
      <c r="A15" s="20">
        <v>43788</v>
      </c>
      <c r="B15" s="43">
        <v>54.12</v>
      </c>
      <c r="C15" s="43">
        <v>62.51</v>
      </c>
      <c r="D15" s="43">
        <v>61.57</v>
      </c>
    </row>
    <row r="16" spans="1:5">
      <c r="A16" s="20">
        <v>43789</v>
      </c>
      <c r="B16" s="43">
        <v>54.09</v>
      </c>
      <c r="C16" s="43">
        <v>62.22</v>
      </c>
      <c r="D16" s="43">
        <v>61.59</v>
      </c>
    </row>
    <row r="17" spans="1:4">
      <c r="A17" s="20">
        <v>43790</v>
      </c>
      <c r="B17" s="43">
        <v>54.04</v>
      </c>
      <c r="C17" s="43">
        <v>63.68</v>
      </c>
      <c r="D17" s="43">
        <v>60.61</v>
      </c>
    </row>
    <row r="18" spans="1:4">
      <c r="A18" s="20">
        <v>43791</v>
      </c>
      <c r="B18" s="43">
        <v>54.01</v>
      </c>
      <c r="C18" s="43">
        <v>64.56</v>
      </c>
      <c r="D18" s="43">
        <v>60.23</v>
      </c>
    </row>
    <row r="19" spans="1:4">
      <c r="A19" s="20">
        <v>43794</v>
      </c>
      <c r="B19" s="43">
        <v>56.22</v>
      </c>
      <c r="C19" s="43">
        <v>64.209999999999994</v>
      </c>
      <c r="D19" s="43">
        <v>61.69</v>
      </c>
    </row>
    <row r="20" spans="1:4">
      <c r="A20" s="20">
        <v>43795</v>
      </c>
      <c r="B20" s="43">
        <v>56.54</v>
      </c>
      <c r="C20" s="43">
        <v>63.92</v>
      </c>
      <c r="D20" s="43">
        <v>62.13</v>
      </c>
    </row>
    <row r="21" spans="1:4">
      <c r="A21" s="20">
        <v>43796</v>
      </c>
      <c r="B21" s="43">
        <v>57.16</v>
      </c>
      <c r="C21" s="43">
        <v>64.400000000000006</v>
      </c>
      <c r="D21" s="43">
        <v>62.96</v>
      </c>
    </row>
    <row r="22" spans="1:4">
      <c r="A22" s="20">
        <v>43797</v>
      </c>
      <c r="B22" s="43">
        <v>56.41</v>
      </c>
      <c r="C22" s="43">
        <v>63.94</v>
      </c>
      <c r="D22" s="43">
        <v>61.74</v>
      </c>
    </row>
    <row r="23" spans="1:4">
      <c r="A23" s="20">
        <v>43798</v>
      </c>
      <c r="B23" s="43">
        <v>57.04</v>
      </c>
      <c r="C23" s="43">
        <v>63.83</v>
      </c>
      <c r="D23" s="43">
        <v>62.29</v>
      </c>
    </row>
    <row r="24" spans="1:4">
      <c r="A24" s="20">
        <v>43801</v>
      </c>
      <c r="B24" s="43">
        <v>57.11</v>
      </c>
      <c r="C24" s="43">
        <v>62.5</v>
      </c>
      <c r="D24" s="43">
        <v>62.51</v>
      </c>
    </row>
    <row r="25" spans="1:4">
      <c r="A25" s="20">
        <v>43802</v>
      </c>
      <c r="B25" s="43">
        <v>56.85</v>
      </c>
      <c r="C25" s="43">
        <v>62.57</v>
      </c>
      <c r="D25" s="43">
        <v>62.18</v>
      </c>
    </row>
    <row r="26" spans="1:4">
      <c r="A26" s="20">
        <v>43803</v>
      </c>
      <c r="B26" s="43">
        <v>56.81</v>
      </c>
      <c r="C26" s="43">
        <v>63.39</v>
      </c>
      <c r="D26" s="43">
        <v>62.06</v>
      </c>
    </row>
    <row r="27" spans="1:4">
      <c r="A27" s="20">
        <v>43804</v>
      </c>
      <c r="B27" s="43">
        <v>57.01</v>
      </c>
      <c r="C27" s="43">
        <v>64.81</v>
      </c>
      <c r="D27" s="43">
        <v>62.37</v>
      </c>
    </row>
    <row r="28" spans="1:4">
      <c r="A28" s="20">
        <v>43805</v>
      </c>
      <c r="B28" s="43">
        <v>56.83</v>
      </c>
      <c r="C28" s="43">
        <v>65.239999999999995</v>
      </c>
      <c r="D28" s="43">
        <v>62.28</v>
      </c>
    </row>
    <row r="29" spans="1:4">
      <c r="A29" s="20">
        <v>43808</v>
      </c>
      <c r="B29" s="43">
        <v>57.31</v>
      </c>
      <c r="C29" s="43">
        <v>65.569999999999993</v>
      </c>
      <c r="D29" s="43">
        <v>63.3</v>
      </c>
    </row>
    <row r="30" spans="1:4">
      <c r="A30" s="20">
        <v>43809</v>
      </c>
      <c r="B30" s="43">
        <v>57</v>
      </c>
      <c r="C30" s="43">
        <v>65.66</v>
      </c>
      <c r="D30" s="43">
        <v>62.44</v>
      </c>
    </row>
    <row r="31" spans="1:4">
      <c r="A31" s="20">
        <v>43810</v>
      </c>
      <c r="B31" s="43">
        <v>56.28</v>
      </c>
      <c r="C31" s="43">
        <v>65.38</v>
      </c>
      <c r="D31" s="43">
        <v>60.91</v>
      </c>
    </row>
    <row r="32" spans="1:4">
      <c r="A32" s="20">
        <v>43811</v>
      </c>
      <c r="B32" s="43">
        <v>56.87</v>
      </c>
      <c r="C32" s="43">
        <v>65.81</v>
      </c>
      <c r="D32" s="43">
        <v>62.4</v>
      </c>
    </row>
    <row r="33" spans="1:4">
      <c r="A33" s="20">
        <v>43812</v>
      </c>
      <c r="B33" s="43">
        <v>57.34</v>
      </c>
      <c r="C33" s="43">
        <v>66.760000000000005</v>
      </c>
      <c r="D33" s="43">
        <v>63.97</v>
      </c>
    </row>
    <row r="34" spans="1:4">
      <c r="A34" s="20">
        <v>43815</v>
      </c>
      <c r="B34" s="43">
        <v>57.14</v>
      </c>
      <c r="C34" s="43">
        <v>67.22</v>
      </c>
      <c r="D34" s="43">
        <v>63.39</v>
      </c>
    </row>
    <row r="35" spans="1:4">
      <c r="A35" s="20">
        <v>43816</v>
      </c>
      <c r="B35" s="43">
        <v>57.19</v>
      </c>
      <c r="C35" s="43">
        <v>67.48</v>
      </c>
      <c r="D35" s="43">
        <v>63.65</v>
      </c>
    </row>
    <row r="36" spans="1:4">
      <c r="A36" s="20">
        <v>43817</v>
      </c>
      <c r="B36" s="43">
        <v>57.25</v>
      </c>
      <c r="C36" s="43">
        <v>67.77</v>
      </c>
      <c r="D36" s="43">
        <v>64.27</v>
      </c>
    </row>
    <row r="37" spans="1:4">
      <c r="A37" s="20">
        <v>43818</v>
      </c>
      <c r="B37" s="43">
        <v>57.22</v>
      </c>
      <c r="C37" s="43">
        <v>67.930000000000007</v>
      </c>
      <c r="D37" s="43">
        <v>64.06</v>
      </c>
    </row>
    <row r="38" spans="1:4">
      <c r="A38" s="20">
        <v>43819</v>
      </c>
      <c r="B38" s="43">
        <v>57.07</v>
      </c>
      <c r="C38" s="43">
        <v>68</v>
      </c>
      <c r="D38" s="43">
        <v>62.43</v>
      </c>
    </row>
    <row r="39" spans="1:4">
      <c r="A39" s="20">
        <v>43822</v>
      </c>
      <c r="B39" s="43">
        <v>55.94</v>
      </c>
      <c r="C39" s="43">
        <v>67.58</v>
      </c>
      <c r="D39" s="43">
        <v>60.92</v>
      </c>
    </row>
    <row r="40" spans="1:4">
      <c r="A40" s="20">
        <v>43823</v>
      </c>
      <c r="B40" s="43">
        <v>56.07</v>
      </c>
      <c r="C40" s="43">
        <v>67.989999999999995</v>
      </c>
      <c r="D40" s="43">
        <v>60.82</v>
      </c>
    </row>
    <row r="41" spans="1:4">
      <c r="A41" s="20">
        <v>43825</v>
      </c>
      <c r="B41" s="43">
        <v>58.17</v>
      </c>
      <c r="C41" s="43">
        <v>68.48</v>
      </c>
      <c r="D41" s="43">
        <v>63</v>
      </c>
    </row>
    <row r="42" spans="1:4">
      <c r="A42" s="20">
        <v>43826</v>
      </c>
      <c r="B42" s="43">
        <v>58.17</v>
      </c>
      <c r="C42" s="43">
        <v>69.069999999999993</v>
      </c>
      <c r="D42" s="43">
        <v>63.39</v>
      </c>
    </row>
    <row r="43" spans="1:4">
      <c r="A43" s="20">
        <v>43829</v>
      </c>
      <c r="B43" s="43">
        <v>58.79</v>
      </c>
      <c r="C43" s="43">
        <v>68.89</v>
      </c>
      <c r="D43" s="43">
        <v>64.39</v>
      </c>
    </row>
    <row r="44" spans="1:4">
      <c r="A44" s="20">
        <v>43830</v>
      </c>
      <c r="B44" s="43">
        <v>58.65</v>
      </c>
      <c r="C44" s="43">
        <v>67.959999999999994</v>
      </c>
      <c r="D44" s="43">
        <v>64.25</v>
      </c>
    </row>
    <row r="45" spans="1:4">
      <c r="A45" s="20">
        <v>43832</v>
      </c>
      <c r="B45" s="43">
        <v>58.81</v>
      </c>
      <c r="C45" s="43">
        <v>67.12</v>
      </c>
      <c r="D45" s="43">
        <v>64.34</v>
      </c>
    </row>
    <row r="46" spans="1:4">
      <c r="A46" s="20">
        <v>43833</v>
      </c>
      <c r="B46" s="43">
        <v>58.49</v>
      </c>
      <c r="C46" s="43">
        <v>69.38</v>
      </c>
      <c r="D46" s="43">
        <v>63.72</v>
      </c>
    </row>
    <row r="47" spans="1:4">
      <c r="A47" s="20">
        <v>43836</v>
      </c>
      <c r="B47" s="43">
        <v>58.74</v>
      </c>
      <c r="C47" s="43">
        <v>70.87</v>
      </c>
      <c r="D47" s="43">
        <v>64.2</v>
      </c>
    </row>
    <row r="48" spans="1:4">
      <c r="A48" s="20">
        <v>43837</v>
      </c>
      <c r="B48" s="43">
        <v>59.26</v>
      </c>
      <c r="C48" s="43">
        <v>69.599999999999994</v>
      </c>
      <c r="D48" s="43">
        <v>65.22</v>
      </c>
    </row>
    <row r="49" spans="1:4">
      <c r="A49" s="20">
        <v>43838</v>
      </c>
      <c r="B49" s="43">
        <v>59.34</v>
      </c>
      <c r="C49" s="43">
        <v>69.58</v>
      </c>
      <c r="D49" s="43">
        <v>65.34</v>
      </c>
    </row>
    <row r="50" spans="1:4">
      <c r="A50" s="20">
        <v>43839</v>
      </c>
      <c r="B50" s="43">
        <v>59.69</v>
      </c>
      <c r="C50" s="43">
        <v>67.239999999999995</v>
      </c>
      <c r="D50" s="43">
        <v>66.099999999999994</v>
      </c>
    </row>
    <row r="51" spans="1:4">
      <c r="A51" s="20">
        <v>43840</v>
      </c>
      <c r="B51" s="43">
        <v>59.68</v>
      </c>
      <c r="C51" s="43">
        <v>67.02</v>
      </c>
      <c r="D51" s="43">
        <v>66.17</v>
      </c>
    </row>
    <row r="52" spans="1:4">
      <c r="A52" s="20">
        <v>43843</v>
      </c>
      <c r="B52" s="43">
        <v>59.81</v>
      </c>
      <c r="C52" s="43">
        <v>66.069999999999993</v>
      </c>
      <c r="D52" s="43">
        <v>66.540000000000006</v>
      </c>
    </row>
    <row r="53" spans="1:4">
      <c r="A53" s="20">
        <v>43844</v>
      </c>
      <c r="B53" s="43">
        <v>59.56</v>
      </c>
      <c r="C53" s="43">
        <v>65.63</v>
      </c>
      <c r="D53" s="43">
        <v>66.14</v>
      </c>
    </row>
    <row r="54" spans="1:4">
      <c r="A54" s="20">
        <v>43845</v>
      </c>
      <c r="B54" s="43">
        <v>59.58</v>
      </c>
      <c r="C54" s="43">
        <v>65.319999999999993</v>
      </c>
      <c r="D54" s="43">
        <v>66.39</v>
      </c>
    </row>
    <row r="55" spans="1:4">
      <c r="A55" s="20">
        <v>43846</v>
      </c>
      <c r="B55" s="43">
        <v>59.72</v>
      </c>
      <c r="C55" s="43">
        <v>65.62</v>
      </c>
      <c r="D55" s="43">
        <v>67.2</v>
      </c>
    </row>
    <row r="56" spans="1:4">
      <c r="A56" s="20">
        <v>43847</v>
      </c>
      <c r="B56" s="43">
        <v>59.83</v>
      </c>
      <c r="C56" s="43">
        <v>65.58</v>
      </c>
      <c r="D56" s="43">
        <v>67.92</v>
      </c>
    </row>
    <row r="57" spans="1:4">
      <c r="A57" s="20">
        <v>43850</v>
      </c>
      <c r="B57" s="43">
        <v>59.84</v>
      </c>
      <c r="C57" s="43">
        <v>66.11</v>
      </c>
      <c r="D57" s="43">
        <v>68.16</v>
      </c>
    </row>
    <row r="58" spans="1:4">
      <c r="A58" s="20">
        <v>43851</v>
      </c>
      <c r="B58" s="43">
        <v>59.83</v>
      </c>
      <c r="C58" s="43">
        <v>65.260000000000005</v>
      </c>
      <c r="D58" s="43">
        <v>68.44</v>
      </c>
    </row>
    <row r="59" spans="1:4">
      <c r="A59" s="20">
        <v>43852</v>
      </c>
      <c r="B59" s="43">
        <v>59.8</v>
      </c>
      <c r="C59" s="43">
        <v>64.66</v>
      </c>
      <c r="D59" s="43">
        <v>66</v>
      </c>
    </row>
    <row r="60" spans="1:4">
      <c r="A60" s="20">
        <v>43853</v>
      </c>
      <c r="B60" s="43">
        <v>61.09</v>
      </c>
      <c r="C60" s="43">
        <v>63.26</v>
      </c>
      <c r="D60" s="43">
        <v>66.25</v>
      </c>
    </row>
    <row r="61" spans="1:4">
      <c r="A61" s="20">
        <v>43854</v>
      </c>
      <c r="B61" s="43">
        <v>62.87</v>
      </c>
      <c r="C61" s="43">
        <v>62.52</v>
      </c>
      <c r="D61" s="43">
        <v>68.599999999999994</v>
      </c>
    </row>
    <row r="62" spans="1:4">
      <c r="A62" s="20">
        <v>43857</v>
      </c>
      <c r="B62" s="43">
        <v>63.07</v>
      </c>
      <c r="C62" s="43">
        <v>61.98</v>
      </c>
      <c r="D62" s="43">
        <v>68.91</v>
      </c>
    </row>
    <row r="63" spans="1:4">
      <c r="A63" s="20">
        <v>43858</v>
      </c>
      <c r="B63" s="43">
        <v>62.6</v>
      </c>
      <c r="C63" s="43">
        <v>60.67</v>
      </c>
      <c r="D63" s="43">
        <v>68.27</v>
      </c>
    </row>
    <row r="64" spans="1:4">
      <c r="A64" s="20">
        <v>43859</v>
      </c>
      <c r="B64" s="43">
        <v>60.11</v>
      </c>
      <c r="C64" s="43">
        <v>61.04</v>
      </c>
      <c r="D64" s="43">
        <v>65.44</v>
      </c>
    </row>
    <row r="65" spans="1:4">
      <c r="A65" s="20">
        <v>43860</v>
      </c>
      <c r="B65" s="43">
        <v>60.09</v>
      </c>
      <c r="C65" s="43">
        <v>58.8</v>
      </c>
      <c r="D65" s="43">
        <v>65.37</v>
      </c>
    </row>
    <row r="66" spans="1:4">
      <c r="A66" s="20">
        <v>43861</v>
      </c>
      <c r="B66" s="43">
        <v>59.74</v>
      </c>
      <c r="C66" s="43">
        <v>58.94</v>
      </c>
      <c r="D66" s="43">
        <v>64.98</v>
      </c>
    </row>
    <row r="67" spans="1:4">
      <c r="A67" s="20">
        <v>43864</v>
      </c>
      <c r="B67" s="43">
        <v>59.12</v>
      </c>
      <c r="C67" s="43">
        <v>55.53</v>
      </c>
      <c r="D67" s="43">
        <v>64.2</v>
      </c>
    </row>
    <row r="68" spans="1:4">
      <c r="A68" s="20">
        <v>43865</v>
      </c>
      <c r="B68" s="43">
        <v>59.22</v>
      </c>
      <c r="C68" s="43">
        <v>54.68</v>
      </c>
      <c r="D68" s="43">
        <v>64.489999999999995</v>
      </c>
    </row>
    <row r="69" spans="1:4">
      <c r="A69" s="20">
        <v>43866</v>
      </c>
      <c r="B69" s="43">
        <v>58.98</v>
      </c>
      <c r="C69" s="43">
        <v>55.01</v>
      </c>
      <c r="D69" s="43">
        <v>64</v>
      </c>
    </row>
    <row r="70" spans="1:4">
      <c r="A70" s="20">
        <v>43867</v>
      </c>
      <c r="B70" s="43">
        <v>59.35</v>
      </c>
      <c r="C70" s="43">
        <v>55.74</v>
      </c>
      <c r="D70" s="43">
        <v>64.62</v>
      </c>
    </row>
    <row r="71" spans="1:4">
      <c r="A71" s="20">
        <v>43868</v>
      </c>
      <c r="B71" s="43">
        <v>59.37</v>
      </c>
      <c r="C71" s="43">
        <v>55.13</v>
      </c>
      <c r="D71" s="43">
        <v>64.849999999999994</v>
      </c>
    </row>
    <row r="72" spans="1:4">
      <c r="A72" s="20">
        <v>43871</v>
      </c>
      <c r="B72" s="43">
        <v>59.28</v>
      </c>
      <c r="C72" s="43">
        <v>54.21</v>
      </c>
      <c r="D72" s="43">
        <v>64.59</v>
      </c>
    </row>
    <row r="73" spans="1:4">
      <c r="A73" s="20">
        <v>43872</v>
      </c>
      <c r="B73" s="43">
        <v>58.66</v>
      </c>
      <c r="C73" s="43">
        <v>54.2</v>
      </c>
      <c r="D73" s="43">
        <v>63.21</v>
      </c>
    </row>
    <row r="74" spans="1:4">
      <c r="A74" s="20">
        <v>43873</v>
      </c>
      <c r="B74" s="43">
        <v>58.28</v>
      </c>
      <c r="C74" s="43">
        <v>55.59</v>
      </c>
      <c r="D74" s="43">
        <v>62.04</v>
      </c>
    </row>
    <row r="75" spans="1:4">
      <c r="A75" s="20">
        <v>43874</v>
      </c>
      <c r="B75" s="43">
        <v>57.88</v>
      </c>
      <c r="C75" s="43">
        <v>55.9</v>
      </c>
      <c r="D75" s="43">
        <v>60.69</v>
      </c>
    </row>
    <row r="76" spans="1:4">
      <c r="A76" s="20">
        <v>43875</v>
      </c>
      <c r="B76" s="43">
        <v>57.63</v>
      </c>
      <c r="C76" s="43">
        <v>56.77</v>
      </c>
      <c r="D76" s="43">
        <v>59.32</v>
      </c>
    </row>
    <row r="77" spans="1:4">
      <c r="A77" s="20">
        <v>43878</v>
      </c>
      <c r="B77" s="43">
        <v>57.69</v>
      </c>
      <c r="C77" s="43">
        <v>57.28</v>
      </c>
      <c r="D77" s="43">
        <v>59.51</v>
      </c>
    </row>
    <row r="78" spans="1:4">
      <c r="A78" s="20">
        <v>43879</v>
      </c>
      <c r="B78" s="43">
        <v>57.67</v>
      </c>
      <c r="C78" s="43">
        <v>56.72</v>
      </c>
      <c r="D78" s="43">
        <v>59.81</v>
      </c>
    </row>
    <row r="79" spans="1:4">
      <c r="A79" s="20">
        <v>43880</v>
      </c>
      <c r="B79" s="43">
        <v>57.56</v>
      </c>
      <c r="C79" s="43">
        <v>58.39</v>
      </c>
      <c r="D79" s="43">
        <v>58.29</v>
      </c>
    </row>
    <row r="80" spans="1:4">
      <c r="A80" s="20">
        <v>43881</v>
      </c>
      <c r="B80" s="43">
        <v>57.53</v>
      </c>
      <c r="C80" s="43">
        <v>58.98</v>
      </c>
      <c r="D80" s="43">
        <v>58.16</v>
      </c>
    </row>
    <row r="81" spans="1:4">
      <c r="A81" s="20">
        <v>43882</v>
      </c>
      <c r="B81" s="43">
        <v>50.16</v>
      </c>
      <c r="C81" s="43">
        <v>58.21</v>
      </c>
      <c r="D81" s="43">
        <v>54.45</v>
      </c>
    </row>
    <row r="82" spans="1:4">
      <c r="A82" s="20">
        <v>43885</v>
      </c>
      <c r="B82" s="43">
        <v>49.7</v>
      </c>
      <c r="C82" s="43">
        <v>56.14</v>
      </c>
      <c r="D82" s="43">
        <v>53.96</v>
      </c>
    </row>
    <row r="83" spans="1:4">
      <c r="A83" s="20">
        <v>43886</v>
      </c>
      <c r="B83" s="43">
        <v>50.71</v>
      </c>
      <c r="C83" s="43">
        <v>55.91</v>
      </c>
      <c r="D83" s="43">
        <v>55.28</v>
      </c>
    </row>
    <row r="84" spans="1:4">
      <c r="A84" s="20">
        <v>43887</v>
      </c>
      <c r="B84" s="43">
        <v>50.88</v>
      </c>
      <c r="C84" s="43">
        <v>54.04</v>
      </c>
      <c r="D84" s="43">
        <v>54.93</v>
      </c>
    </row>
    <row r="85" spans="1:4">
      <c r="A85" s="20">
        <v>43888</v>
      </c>
      <c r="B85" s="43">
        <v>50.4</v>
      </c>
      <c r="C85" s="43">
        <v>51.92</v>
      </c>
      <c r="D85" s="43">
        <v>54.47</v>
      </c>
    </row>
    <row r="86" spans="1:4">
      <c r="A86" s="20">
        <v>43889</v>
      </c>
      <c r="B86" s="43">
        <v>49.84</v>
      </c>
      <c r="C86" s="43">
        <v>50.19</v>
      </c>
      <c r="D86" s="43">
        <v>53.27</v>
      </c>
    </row>
    <row r="87" spans="1:4">
      <c r="A87" s="20">
        <v>43892</v>
      </c>
      <c r="B87" s="43">
        <v>50.1</v>
      </c>
      <c r="C87" s="43">
        <v>51.68</v>
      </c>
      <c r="D87" s="43">
        <v>54.01</v>
      </c>
    </row>
    <row r="88" spans="1:4">
      <c r="A88" s="20">
        <v>43893</v>
      </c>
      <c r="B88" s="43">
        <v>50.88</v>
      </c>
      <c r="C88" s="43">
        <v>52.66</v>
      </c>
      <c r="D88" s="43">
        <v>55.79</v>
      </c>
    </row>
    <row r="89" spans="1:4">
      <c r="A89" s="20">
        <v>43894</v>
      </c>
      <c r="B89" s="43">
        <v>51.03</v>
      </c>
      <c r="C89" s="43">
        <v>52.01</v>
      </c>
      <c r="D89" s="43">
        <v>56.34</v>
      </c>
    </row>
    <row r="90" spans="1:4">
      <c r="A90" s="20">
        <v>43895</v>
      </c>
      <c r="B90" s="43">
        <v>51.37</v>
      </c>
      <c r="C90" s="43">
        <v>51.75</v>
      </c>
      <c r="D90" s="43">
        <v>57.32</v>
      </c>
    </row>
    <row r="91" spans="1:4">
      <c r="A91" s="20">
        <v>43896</v>
      </c>
      <c r="B91" s="43">
        <v>51.36</v>
      </c>
      <c r="C91" s="43">
        <v>48.35</v>
      </c>
      <c r="D91" s="43">
        <v>57.75</v>
      </c>
    </row>
    <row r="92" spans="1:4">
      <c r="A92" s="20">
        <v>43899</v>
      </c>
      <c r="B92" s="43">
        <v>51.87</v>
      </c>
      <c r="C92" s="43">
        <v>34.72</v>
      </c>
      <c r="D92" s="43">
        <v>59.12</v>
      </c>
    </row>
    <row r="93" spans="1:4">
      <c r="A93" s="20">
        <v>43900</v>
      </c>
      <c r="B93" s="43">
        <v>52.02</v>
      </c>
      <c r="C93" s="43">
        <v>35.729999999999997</v>
      </c>
      <c r="D93" s="43">
        <v>59.31</v>
      </c>
    </row>
    <row r="94" spans="1:4">
      <c r="A94" s="20">
        <v>43901</v>
      </c>
      <c r="B94" s="43">
        <v>51.86</v>
      </c>
      <c r="C94" s="43">
        <v>35.56</v>
      </c>
      <c r="D94" s="43">
        <v>58.5</v>
      </c>
    </row>
    <row r="95" spans="1:4">
      <c r="A95" s="20">
        <v>43902</v>
      </c>
      <c r="B95" s="43">
        <v>51.34</v>
      </c>
      <c r="C95" s="43">
        <v>33.270000000000003</v>
      </c>
      <c r="D95" s="43">
        <v>56.3</v>
      </c>
    </row>
    <row r="96" spans="1:4">
      <c r="A96" s="20">
        <v>43903</v>
      </c>
      <c r="B96" s="43">
        <v>51.02</v>
      </c>
      <c r="C96" s="43">
        <v>34.14</v>
      </c>
      <c r="D96" s="43">
        <v>54.95</v>
      </c>
    </row>
    <row r="97" spans="1:4">
      <c r="A97" s="20">
        <v>43906</v>
      </c>
      <c r="B97" s="43">
        <v>50.84</v>
      </c>
      <c r="C97" s="43">
        <v>30.63</v>
      </c>
      <c r="D97" s="43">
        <v>53.43</v>
      </c>
    </row>
    <row r="98" spans="1:4">
      <c r="A98" s="20">
        <v>43907</v>
      </c>
      <c r="B98" s="43">
        <v>50.66</v>
      </c>
      <c r="C98" s="43">
        <v>30.36</v>
      </c>
      <c r="D98" s="43">
        <v>52.18</v>
      </c>
    </row>
    <row r="99" spans="1:4">
      <c r="A99" s="20">
        <v>43908</v>
      </c>
      <c r="B99" s="43">
        <v>50.54</v>
      </c>
      <c r="C99" s="43">
        <v>27.31</v>
      </c>
      <c r="D99" s="43">
        <v>50.52</v>
      </c>
    </row>
    <row r="100" spans="1:4">
      <c r="A100" s="20">
        <v>43909</v>
      </c>
      <c r="B100" s="43">
        <v>46.8</v>
      </c>
      <c r="C100" s="43">
        <v>26.73</v>
      </c>
      <c r="D100" s="43">
        <v>51.9</v>
      </c>
    </row>
    <row r="101" spans="1:4">
      <c r="A101" s="20">
        <v>43910</v>
      </c>
      <c r="B101" s="43">
        <v>47.21</v>
      </c>
      <c r="C101" s="43">
        <v>28.57</v>
      </c>
      <c r="D101" s="43">
        <v>51.86</v>
      </c>
    </row>
    <row r="102" spans="1:4">
      <c r="A102" s="20">
        <v>43913</v>
      </c>
      <c r="B102" s="43">
        <v>46.85</v>
      </c>
      <c r="C102" s="43">
        <v>24.72</v>
      </c>
      <c r="D102" s="43">
        <v>51.13</v>
      </c>
    </row>
    <row r="103" spans="1:4">
      <c r="A103" s="20">
        <v>43914</v>
      </c>
      <c r="B103" s="43">
        <v>46.09</v>
      </c>
      <c r="C103" s="43">
        <v>26.53</v>
      </c>
      <c r="D103" s="43">
        <v>49.99</v>
      </c>
    </row>
    <row r="104" spans="1:4">
      <c r="A104" s="20">
        <v>43915</v>
      </c>
      <c r="B104" s="43">
        <v>42.33</v>
      </c>
      <c r="C104" s="43">
        <v>26.94</v>
      </c>
      <c r="D104" s="43">
        <v>45.27</v>
      </c>
    </row>
    <row r="105" spans="1:4">
      <c r="A105" s="20">
        <v>43916</v>
      </c>
      <c r="B105" s="43">
        <v>34.520000000000003</v>
      </c>
      <c r="C105" s="43">
        <v>26.04</v>
      </c>
      <c r="D105" s="43">
        <v>34.36</v>
      </c>
    </row>
    <row r="106" spans="1:4">
      <c r="A106" s="20">
        <v>43917</v>
      </c>
      <c r="B106" s="43">
        <v>36.880000000000003</v>
      </c>
      <c r="C106" s="43">
        <v>24.26</v>
      </c>
      <c r="D106" s="43">
        <v>37.22</v>
      </c>
    </row>
    <row r="107" spans="1:4">
      <c r="A107" s="20">
        <v>43920</v>
      </c>
      <c r="B107" s="43">
        <v>35.950000000000003</v>
      </c>
      <c r="C107" s="43">
        <v>21.66</v>
      </c>
      <c r="D107" s="43">
        <v>35.79</v>
      </c>
    </row>
    <row r="108" spans="1:4">
      <c r="A108" s="20">
        <v>43921</v>
      </c>
      <c r="B108" s="43">
        <v>35.03</v>
      </c>
      <c r="C108" s="43">
        <v>22.61</v>
      </c>
      <c r="D108" s="43">
        <v>33.22</v>
      </c>
    </row>
    <row r="109" spans="1:4">
      <c r="A109" s="20">
        <v>43922</v>
      </c>
      <c r="B109" s="43">
        <v>35.14</v>
      </c>
      <c r="C109" s="43">
        <v>16.850000000000001</v>
      </c>
      <c r="D109" s="43">
        <v>33.85</v>
      </c>
    </row>
    <row r="110" spans="1:4">
      <c r="A110" s="20">
        <v>43923</v>
      </c>
      <c r="B110" s="43">
        <v>33.46</v>
      </c>
      <c r="C110" s="43">
        <v>18.91</v>
      </c>
      <c r="D110" s="43">
        <v>30.05</v>
      </c>
    </row>
    <row r="111" spans="1:4">
      <c r="A111" s="20">
        <v>43924</v>
      </c>
      <c r="B111" s="43">
        <v>32.61</v>
      </c>
      <c r="C111" s="43">
        <v>23.01</v>
      </c>
      <c r="D111" s="43">
        <v>28.73</v>
      </c>
    </row>
    <row r="112" spans="1:4">
      <c r="A112" s="20">
        <v>43927</v>
      </c>
      <c r="B112" s="43">
        <v>29.64</v>
      </c>
      <c r="C112" s="43">
        <v>23.48</v>
      </c>
      <c r="D112" s="43">
        <v>24.88</v>
      </c>
    </row>
    <row r="113" spans="1:4">
      <c r="A113" s="20">
        <v>43928</v>
      </c>
      <c r="B113" s="43">
        <v>31.7</v>
      </c>
      <c r="C113" s="43">
        <v>22.67</v>
      </c>
      <c r="D113" s="43">
        <v>28.47</v>
      </c>
    </row>
    <row r="114" spans="1:4">
      <c r="A114" s="20">
        <v>43929</v>
      </c>
      <c r="B114" s="43">
        <v>30.53</v>
      </c>
      <c r="C114" s="43">
        <v>21.19</v>
      </c>
      <c r="D114" s="43">
        <v>26.98</v>
      </c>
    </row>
    <row r="115" spans="1:4">
      <c r="A115" s="20">
        <v>43930</v>
      </c>
      <c r="B115" s="43">
        <v>30.76</v>
      </c>
      <c r="C115" s="43">
        <v>21.77</v>
      </c>
      <c r="D115" s="43">
        <v>27.03</v>
      </c>
    </row>
    <row r="116" spans="1:4">
      <c r="A116" s="20">
        <v>43934</v>
      </c>
      <c r="B116" s="43">
        <v>30.94</v>
      </c>
      <c r="C116" s="43">
        <v>21.18</v>
      </c>
      <c r="D116" s="43">
        <v>27.15</v>
      </c>
    </row>
    <row r="117" spans="1:4">
      <c r="A117" s="20">
        <v>43935</v>
      </c>
      <c r="B117" s="43">
        <v>31.05</v>
      </c>
      <c r="C117" s="43">
        <v>19.7</v>
      </c>
      <c r="D117" s="43">
        <v>27.39</v>
      </c>
    </row>
    <row r="118" spans="1:4">
      <c r="A118" s="20">
        <v>43936</v>
      </c>
      <c r="B118" s="43">
        <v>30.71</v>
      </c>
      <c r="C118" s="43">
        <v>17.510000000000002</v>
      </c>
      <c r="D118" s="43">
        <v>26.34</v>
      </c>
    </row>
    <row r="119" spans="1:4">
      <c r="A119" s="20">
        <v>43937</v>
      </c>
      <c r="B119" s="43">
        <v>30.56</v>
      </c>
      <c r="C119" s="43">
        <v>17.73</v>
      </c>
      <c r="D119" s="43">
        <v>24.93</v>
      </c>
    </row>
    <row r="120" spans="1:4">
      <c r="A120" s="20">
        <v>43938</v>
      </c>
      <c r="B120" s="43">
        <v>30.43</v>
      </c>
      <c r="C120" s="43">
        <v>18.170000000000002</v>
      </c>
      <c r="D120" s="43">
        <v>22.76</v>
      </c>
    </row>
    <row r="121" spans="1:4">
      <c r="A121" s="20">
        <v>43941</v>
      </c>
      <c r="B121" s="43">
        <v>21.82</v>
      </c>
      <c r="C121" s="43">
        <v>14.19</v>
      </c>
      <c r="D121" s="43">
        <v>26.35</v>
      </c>
    </row>
    <row r="122" spans="1:4">
      <c r="A122" s="20">
        <v>43942</v>
      </c>
      <c r="B122" s="43">
        <v>21.45</v>
      </c>
      <c r="C122" s="43">
        <v>14.63</v>
      </c>
      <c r="D122" s="43">
        <v>24.74</v>
      </c>
    </row>
    <row r="123" spans="1:4">
      <c r="A123" s="20">
        <v>43943</v>
      </c>
      <c r="B123" s="43">
        <v>25.99</v>
      </c>
      <c r="C123" s="43">
        <v>12.22</v>
      </c>
      <c r="D123" s="43">
        <v>29.94</v>
      </c>
    </row>
    <row r="124" spans="1:4">
      <c r="A124" s="20">
        <v>43944</v>
      </c>
      <c r="B124" s="43">
        <v>28.67</v>
      </c>
      <c r="C124" s="43">
        <v>15.23</v>
      </c>
      <c r="D124" s="43">
        <v>34.11</v>
      </c>
    </row>
    <row r="125" spans="1:4">
      <c r="A125" s="20">
        <v>43945</v>
      </c>
      <c r="B125" s="43">
        <v>27.18</v>
      </c>
      <c r="C125" s="43">
        <v>14.31</v>
      </c>
      <c r="D125" s="43">
        <v>33.049999999999997</v>
      </c>
    </row>
    <row r="126" spans="1:4">
      <c r="A126" s="20">
        <v>43948</v>
      </c>
      <c r="B126" s="43">
        <v>25.58</v>
      </c>
      <c r="C126" s="43">
        <v>13.3</v>
      </c>
      <c r="D126" s="43">
        <v>31.87</v>
      </c>
    </row>
    <row r="127" spans="1:4">
      <c r="A127" s="20">
        <v>43949</v>
      </c>
      <c r="B127" s="43">
        <v>26.7</v>
      </c>
      <c r="C127" s="43">
        <v>12.41</v>
      </c>
      <c r="D127" s="43">
        <v>32.840000000000003</v>
      </c>
    </row>
    <row r="128" spans="1:4">
      <c r="A128" s="20">
        <v>43950</v>
      </c>
      <c r="B128" s="43">
        <v>25.36</v>
      </c>
      <c r="C128" s="43">
        <v>14.36</v>
      </c>
      <c r="D128" s="43">
        <v>31.48</v>
      </c>
    </row>
    <row r="129" spans="1:4">
      <c r="A129" s="20">
        <v>43951</v>
      </c>
      <c r="B129" s="43">
        <v>25.39</v>
      </c>
      <c r="C129" s="43">
        <v>18.05</v>
      </c>
      <c r="D129" s="43">
        <v>31.74</v>
      </c>
    </row>
    <row r="130" spans="1:4">
      <c r="A130" s="20">
        <v>43952</v>
      </c>
      <c r="B130" s="43">
        <v>24.11</v>
      </c>
      <c r="C130" s="43">
        <v>16.52</v>
      </c>
      <c r="D130" s="43">
        <v>29.6</v>
      </c>
    </row>
    <row r="131" spans="1:4">
      <c r="A131" s="20">
        <v>43955</v>
      </c>
      <c r="B131" s="43">
        <v>23.6</v>
      </c>
      <c r="C131" s="43">
        <v>18.36</v>
      </c>
      <c r="D131" s="43">
        <v>27.69</v>
      </c>
    </row>
    <row r="132" spans="1:4">
      <c r="A132" s="20">
        <v>43956</v>
      </c>
      <c r="B132" s="43">
        <v>23.43</v>
      </c>
      <c r="C132" s="43">
        <v>21.43</v>
      </c>
      <c r="D132" s="43">
        <v>27.82</v>
      </c>
    </row>
    <row r="133" spans="1:4">
      <c r="A133" s="20">
        <v>43957</v>
      </c>
      <c r="B133" s="43">
        <v>23.04</v>
      </c>
      <c r="C133" s="43">
        <v>22.4</v>
      </c>
      <c r="D133" s="43">
        <v>28.08</v>
      </c>
    </row>
    <row r="134" spans="1:4">
      <c r="A134" s="20">
        <v>43958</v>
      </c>
      <c r="B134" s="43">
        <v>16.18</v>
      </c>
      <c r="C134" s="43">
        <v>22.91</v>
      </c>
      <c r="D134" s="43">
        <v>25.57</v>
      </c>
    </row>
    <row r="135" spans="1:4">
      <c r="A135" s="20">
        <v>43959</v>
      </c>
      <c r="B135" s="43">
        <v>15.5</v>
      </c>
      <c r="C135" s="43">
        <v>22.21</v>
      </c>
      <c r="D135" s="43">
        <v>19.329999999999998</v>
      </c>
    </row>
    <row r="136" spans="1:4">
      <c r="A136" s="20">
        <v>43962</v>
      </c>
      <c r="B136" s="43">
        <v>16.23</v>
      </c>
      <c r="C136" s="43">
        <v>22.71</v>
      </c>
      <c r="D136" s="43">
        <v>20.37</v>
      </c>
    </row>
    <row r="137" spans="1:4">
      <c r="A137" s="20">
        <v>43963</v>
      </c>
      <c r="B137" s="43">
        <v>17.010000000000002</v>
      </c>
      <c r="C137" s="43">
        <v>22.83</v>
      </c>
      <c r="D137" s="43">
        <v>21.33</v>
      </c>
    </row>
    <row r="138" spans="1:4">
      <c r="A138" s="20">
        <v>43964</v>
      </c>
      <c r="B138" s="43">
        <v>17.12</v>
      </c>
      <c r="C138" s="43">
        <v>23.25</v>
      </c>
      <c r="D138" s="43">
        <v>21.44</v>
      </c>
    </row>
    <row r="139" spans="1:4">
      <c r="A139" s="20">
        <v>43965</v>
      </c>
      <c r="B139" s="43">
        <v>16.32</v>
      </c>
      <c r="C139" s="43">
        <v>24.93</v>
      </c>
      <c r="D139" s="43">
        <v>19.989999999999998</v>
      </c>
    </row>
    <row r="140" spans="1:4">
      <c r="A140" s="20">
        <v>43966</v>
      </c>
      <c r="B140" s="43">
        <v>16.260000000000002</v>
      </c>
      <c r="C140" s="43">
        <v>26.54</v>
      </c>
      <c r="D140" s="43">
        <v>20.46</v>
      </c>
    </row>
    <row r="141" spans="1:4">
      <c r="A141" s="20">
        <v>43969</v>
      </c>
      <c r="B141" s="43">
        <v>16.52</v>
      </c>
      <c r="C141" s="43">
        <v>28.21</v>
      </c>
      <c r="D141" s="43">
        <v>22.54</v>
      </c>
    </row>
    <row r="142" spans="1:4">
      <c r="A142" s="20">
        <v>43970</v>
      </c>
      <c r="B142" s="43">
        <v>16.7</v>
      </c>
      <c r="C142" s="43">
        <v>28.43</v>
      </c>
      <c r="D142" s="43">
        <v>25.27</v>
      </c>
    </row>
    <row r="143" spans="1:4">
      <c r="A143" s="20">
        <v>43971</v>
      </c>
      <c r="B143" s="43">
        <v>20.66</v>
      </c>
      <c r="C143" s="43">
        <v>28.68</v>
      </c>
      <c r="D143" s="43">
        <v>26.44</v>
      </c>
    </row>
    <row r="144" spans="1:4">
      <c r="A144" s="20">
        <v>43972</v>
      </c>
      <c r="B144" s="43">
        <v>21.2</v>
      </c>
      <c r="C144" s="43">
        <v>29.7</v>
      </c>
      <c r="D144" s="43">
        <v>27.2</v>
      </c>
    </row>
    <row r="145" spans="1:4">
      <c r="A145" s="20">
        <v>43973</v>
      </c>
      <c r="B145" s="43">
        <v>24.79</v>
      </c>
      <c r="C145" s="43">
        <v>28.06</v>
      </c>
      <c r="D145" s="43">
        <v>30.97</v>
      </c>
    </row>
    <row r="146" spans="1:4">
      <c r="A146" s="20">
        <v>43977</v>
      </c>
      <c r="B146" s="43">
        <v>24.2</v>
      </c>
      <c r="C146" s="43">
        <v>29.75</v>
      </c>
      <c r="D146" s="43">
        <v>29.72</v>
      </c>
    </row>
    <row r="147" spans="1:4">
      <c r="A147" s="20">
        <v>43978</v>
      </c>
      <c r="B147" s="43">
        <v>23.72</v>
      </c>
      <c r="C147" s="43">
        <v>29.03</v>
      </c>
      <c r="D147" s="43">
        <v>29.46</v>
      </c>
    </row>
    <row r="148" spans="1:4">
      <c r="A148" s="20">
        <v>43979</v>
      </c>
      <c r="B148" s="43">
        <v>24.67</v>
      </c>
      <c r="C148" s="43">
        <v>28.45</v>
      </c>
      <c r="D148" s="43">
        <v>30.97</v>
      </c>
    </row>
    <row r="149" spans="1:4">
      <c r="A149" s="20">
        <v>43980</v>
      </c>
      <c r="B149" s="43">
        <v>24.08</v>
      </c>
      <c r="C149" s="43">
        <v>29.01</v>
      </c>
      <c r="D149" s="43">
        <v>29.63</v>
      </c>
    </row>
    <row r="150" spans="1:4">
      <c r="A150" s="20">
        <v>43983</v>
      </c>
      <c r="B150" s="43">
        <v>25.01</v>
      </c>
      <c r="C150" s="43">
        <v>33.69</v>
      </c>
      <c r="D150" s="43">
        <v>29.98</v>
      </c>
    </row>
    <row r="151" spans="1:4">
      <c r="A151" s="20">
        <v>43984</v>
      </c>
      <c r="B151" s="43">
        <v>24.66</v>
      </c>
      <c r="C151" s="43">
        <v>34.96</v>
      </c>
      <c r="D151" s="43">
        <v>29.19</v>
      </c>
    </row>
    <row r="152" spans="1:4">
      <c r="A152" s="20">
        <v>43985</v>
      </c>
      <c r="B152" s="43">
        <v>25.88</v>
      </c>
      <c r="C152" s="43">
        <v>35.47</v>
      </c>
      <c r="D152" s="43">
        <v>31.13</v>
      </c>
    </row>
    <row r="153" spans="1:4">
      <c r="A153" s="20">
        <v>43986</v>
      </c>
      <c r="B153" s="43">
        <v>26.74</v>
      </c>
      <c r="C153" s="43">
        <v>34.85</v>
      </c>
      <c r="D153" s="43">
        <v>32.5</v>
      </c>
    </row>
    <row r="154" spans="1:4">
      <c r="A154" s="20">
        <v>43987</v>
      </c>
      <c r="B154" s="43">
        <v>27.72</v>
      </c>
      <c r="C154" s="43">
        <v>36.840000000000003</v>
      </c>
      <c r="D154" s="43">
        <v>34.81</v>
      </c>
    </row>
    <row r="155" spans="1:4">
      <c r="A155" s="20">
        <v>43990</v>
      </c>
      <c r="B155" s="43">
        <v>27.86</v>
      </c>
      <c r="C155" s="43">
        <v>38.89</v>
      </c>
      <c r="D155" s="43">
        <v>34.65</v>
      </c>
    </row>
    <row r="156" spans="1:4">
      <c r="A156" s="20">
        <v>43991</v>
      </c>
      <c r="B156" s="43">
        <v>28.4</v>
      </c>
      <c r="C156" s="43">
        <v>37.1</v>
      </c>
      <c r="D156" s="43">
        <v>35.75</v>
      </c>
    </row>
    <row r="157" spans="1:4">
      <c r="A157" s="20">
        <v>43992</v>
      </c>
      <c r="B157" s="43">
        <v>28.53</v>
      </c>
      <c r="C157" s="43">
        <v>37.46</v>
      </c>
      <c r="D157" s="43">
        <v>36.06</v>
      </c>
    </row>
    <row r="158" spans="1:4">
      <c r="A158" s="20">
        <v>43993</v>
      </c>
      <c r="B158" s="43">
        <v>28.36</v>
      </c>
      <c r="C158" s="43">
        <v>36.56</v>
      </c>
      <c r="D158" s="43">
        <v>35.130000000000003</v>
      </c>
    </row>
    <row r="159" spans="1:4">
      <c r="A159" s="20">
        <v>43994</v>
      </c>
      <c r="B159" s="43">
        <v>28.58</v>
      </c>
      <c r="C159" s="43">
        <v>35.06</v>
      </c>
      <c r="D159" s="43">
        <v>36.17</v>
      </c>
    </row>
    <row r="160" spans="1:4">
      <c r="A160" s="20">
        <v>43997</v>
      </c>
      <c r="B160" s="43">
        <v>28.35</v>
      </c>
      <c r="C160" s="43">
        <v>35.090000000000003</v>
      </c>
      <c r="D160" s="43">
        <v>34.74</v>
      </c>
    </row>
    <row r="161" spans="1:4">
      <c r="A161" s="20">
        <v>43998</v>
      </c>
      <c r="B161" s="43">
        <v>28.44</v>
      </c>
      <c r="C161" s="43">
        <v>36.75</v>
      </c>
      <c r="D161" s="43">
        <v>35.29</v>
      </c>
    </row>
    <row r="162" spans="1:4">
      <c r="A162" s="20">
        <v>43999</v>
      </c>
      <c r="B162" s="43">
        <v>28.53</v>
      </c>
      <c r="C162" s="43">
        <v>37.590000000000003</v>
      </c>
      <c r="D162" s="43">
        <v>35.33</v>
      </c>
    </row>
    <row r="163" spans="1:4">
      <c r="A163" s="20">
        <v>44000</v>
      </c>
      <c r="B163" s="43">
        <v>35.54</v>
      </c>
      <c r="C163" s="43">
        <v>37.700000000000003</v>
      </c>
      <c r="D163" s="43">
        <v>38.32</v>
      </c>
    </row>
    <row r="164" spans="1:4">
      <c r="A164" s="20">
        <v>44001</v>
      </c>
      <c r="B164" s="43">
        <v>36.82</v>
      </c>
      <c r="C164" s="43">
        <v>39.450000000000003</v>
      </c>
      <c r="D164" s="43">
        <v>39.57</v>
      </c>
    </row>
    <row r="165" spans="1:4">
      <c r="A165" s="20">
        <v>44004</v>
      </c>
      <c r="B165" s="43">
        <v>37.270000000000003</v>
      </c>
      <c r="C165" s="43">
        <v>38.96</v>
      </c>
      <c r="D165" s="43">
        <v>39.79</v>
      </c>
    </row>
    <row r="166" spans="1:4">
      <c r="A166" s="20">
        <v>44005</v>
      </c>
      <c r="B166" s="43">
        <v>37.369999999999997</v>
      </c>
      <c r="C166" s="43">
        <v>39.85</v>
      </c>
      <c r="D166" s="43">
        <v>39.99</v>
      </c>
    </row>
    <row r="167" spans="1:4">
      <c r="A167" s="20">
        <v>44006</v>
      </c>
      <c r="B167" s="43">
        <v>39.11</v>
      </c>
      <c r="C167" s="43">
        <v>38.17</v>
      </c>
      <c r="D167" s="43">
        <v>42.3</v>
      </c>
    </row>
    <row r="168" spans="1:4">
      <c r="A168" s="20">
        <v>44007</v>
      </c>
      <c r="B168" s="43">
        <v>38.049999999999997</v>
      </c>
      <c r="C168" s="43">
        <v>37.18</v>
      </c>
      <c r="D168" s="43">
        <v>40.799999999999997</v>
      </c>
    </row>
    <row r="169" spans="1:4">
      <c r="A169" s="20">
        <v>44008</v>
      </c>
      <c r="B169" s="43">
        <v>38.590000000000003</v>
      </c>
      <c r="C169" s="43">
        <v>37.99</v>
      </c>
      <c r="D169" s="43">
        <v>41.18</v>
      </c>
    </row>
    <row r="170" spans="1:4">
      <c r="A170" s="20">
        <v>44011</v>
      </c>
      <c r="B170" s="43">
        <v>39.03</v>
      </c>
      <c r="C170" s="43">
        <v>37.340000000000003</v>
      </c>
      <c r="D170" s="43">
        <v>41.73</v>
      </c>
    </row>
    <row r="171" spans="1:4">
      <c r="A171" s="20">
        <v>44012</v>
      </c>
      <c r="B171" s="43">
        <v>36.97</v>
      </c>
      <c r="C171" s="43">
        <v>38.22</v>
      </c>
      <c r="D171" s="43">
        <v>38.549999999999997</v>
      </c>
    </row>
    <row r="172" spans="1:4">
      <c r="A172" s="20">
        <v>44013</v>
      </c>
      <c r="B172" s="43">
        <v>36.93</v>
      </c>
      <c r="C172" s="43">
        <v>42.69</v>
      </c>
      <c r="D172" s="43">
        <v>38.729999999999997</v>
      </c>
    </row>
    <row r="173" spans="1:4">
      <c r="A173" s="20">
        <v>44014</v>
      </c>
      <c r="B173" s="43">
        <v>37.42</v>
      </c>
      <c r="C173" s="43">
        <v>42.93</v>
      </c>
      <c r="D173" s="43">
        <v>39.72</v>
      </c>
    </row>
    <row r="174" spans="1:4">
      <c r="A174" s="20">
        <v>44015</v>
      </c>
      <c r="B174" s="43">
        <v>38.03</v>
      </c>
      <c r="C174" s="43">
        <v>42.96</v>
      </c>
      <c r="D174" s="43">
        <v>40.96</v>
      </c>
    </row>
    <row r="175" spans="1:4">
      <c r="A175" s="20">
        <v>44018</v>
      </c>
      <c r="B175" s="43">
        <v>37.840000000000003</v>
      </c>
      <c r="C175" s="43">
        <v>43.57</v>
      </c>
      <c r="D175" s="43">
        <v>40.71</v>
      </c>
    </row>
    <row r="176" spans="1:4">
      <c r="A176" s="20">
        <v>44019</v>
      </c>
      <c r="B176" s="43">
        <v>38.19</v>
      </c>
      <c r="C176" s="43">
        <v>43.15</v>
      </c>
      <c r="D176" s="43">
        <v>41.51</v>
      </c>
    </row>
    <row r="177" spans="1:4">
      <c r="A177" s="20">
        <v>44020</v>
      </c>
      <c r="B177" s="43">
        <v>38.479999999999997</v>
      </c>
      <c r="C177" s="43">
        <v>43.44</v>
      </c>
      <c r="D177" s="43">
        <v>42.19</v>
      </c>
    </row>
    <row r="178" spans="1:4">
      <c r="A178" s="20">
        <v>44021</v>
      </c>
      <c r="B178" s="43">
        <v>38.76</v>
      </c>
      <c r="C178" s="43">
        <v>43.31</v>
      </c>
      <c r="D178" s="43">
        <v>43.08</v>
      </c>
    </row>
    <row r="179" spans="1:4">
      <c r="A179" s="20">
        <v>44022</v>
      </c>
      <c r="B179" s="43">
        <v>38.659999999999997</v>
      </c>
      <c r="C179" s="43">
        <v>43.47</v>
      </c>
      <c r="D179" s="43">
        <v>42.63</v>
      </c>
    </row>
    <row r="180" spans="1:4">
      <c r="A180" s="20">
        <v>44025</v>
      </c>
      <c r="B180" s="43">
        <v>38.130000000000003</v>
      </c>
      <c r="C180" s="43">
        <v>43.38</v>
      </c>
      <c r="D180" s="43">
        <v>40.31</v>
      </c>
    </row>
    <row r="181" spans="1:4">
      <c r="A181" s="20">
        <v>44026</v>
      </c>
      <c r="B181" s="43">
        <v>38.25</v>
      </c>
      <c r="C181" s="43">
        <v>43.02</v>
      </c>
      <c r="D181" s="43">
        <v>41.05</v>
      </c>
    </row>
    <row r="182" spans="1:4">
      <c r="A182" s="20">
        <v>44027</v>
      </c>
      <c r="B182" s="43">
        <v>38.22</v>
      </c>
      <c r="C182" s="43">
        <v>44.12</v>
      </c>
      <c r="D182" s="43">
        <v>41.02</v>
      </c>
    </row>
    <row r="183" spans="1:4">
      <c r="A183" s="20">
        <v>44028</v>
      </c>
      <c r="B183" s="43">
        <v>38.33</v>
      </c>
      <c r="C183" s="43">
        <v>43.8</v>
      </c>
      <c r="D183" s="43">
        <v>41.71</v>
      </c>
    </row>
    <row r="184" spans="1:4">
      <c r="A184" s="20">
        <v>44029</v>
      </c>
      <c r="B184" s="43">
        <v>38.31</v>
      </c>
      <c r="C184" s="43">
        <v>43.22</v>
      </c>
      <c r="D184" s="43">
        <v>41.15</v>
      </c>
    </row>
    <row r="185" spans="1:4">
      <c r="A185" s="20">
        <v>44032</v>
      </c>
      <c r="B185" s="43">
        <v>39.86</v>
      </c>
      <c r="C185" s="43">
        <v>43.03</v>
      </c>
      <c r="D185" s="43">
        <v>42.03</v>
      </c>
    </row>
    <row r="186" spans="1:4">
      <c r="A186" s="20">
        <v>44033</v>
      </c>
      <c r="B186" s="43">
        <v>40.65</v>
      </c>
      <c r="C186" s="43">
        <v>44.29</v>
      </c>
      <c r="D186" s="43">
        <v>43.14</v>
      </c>
    </row>
    <row r="187" spans="1:4">
      <c r="A187" s="20">
        <v>44034</v>
      </c>
      <c r="B187" s="43">
        <v>40.630000000000003</v>
      </c>
      <c r="C187" s="43">
        <v>44.24</v>
      </c>
      <c r="D187" s="43">
        <v>43.1</v>
      </c>
    </row>
    <row r="188" spans="1:4">
      <c r="A188" s="20">
        <v>44035</v>
      </c>
      <c r="B188" s="43">
        <v>40.61</v>
      </c>
      <c r="C188" s="43">
        <v>44.62</v>
      </c>
      <c r="D188" s="43">
        <v>43.08</v>
      </c>
    </row>
    <row r="189" spans="1:4">
      <c r="A189" s="20">
        <v>44036</v>
      </c>
      <c r="B189" s="43">
        <v>40.869999999999997</v>
      </c>
      <c r="C189" s="43">
        <v>43.38</v>
      </c>
      <c r="D189" s="43">
        <v>43.29</v>
      </c>
    </row>
    <row r="190" spans="1:4">
      <c r="A190" s="20">
        <v>44039</v>
      </c>
      <c r="B190" s="43">
        <v>39.9</v>
      </c>
      <c r="C190" s="43">
        <v>43.14</v>
      </c>
      <c r="D190" s="43">
        <v>42.35</v>
      </c>
    </row>
    <row r="191" spans="1:4">
      <c r="A191" s="20">
        <v>44040</v>
      </c>
      <c r="B191" s="43">
        <v>40.58</v>
      </c>
      <c r="C191" s="43">
        <v>43.4</v>
      </c>
      <c r="D191" s="43">
        <v>43.24</v>
      </c>
    </row>
    <row r="192" spans="1:4">
      <c r="A192" s="20">
        <v>44041</v>
      </c>
      <c r="B192" s="43">
        <v>40.28</v>
      </c>
      <c r="C192" s="43">
        <v>43.59</v>
      </c>
      <c r="D192" s="43">
        <v>42.72</v>
      </c>
    </row>
    <row r="193" spans="1:4">
      <c r="A193" s="20">
        <v>44042</v>
      </c>
      <c r="B193" s="43">
        <v>40.409999999999997</v>
      </c>
      <c r="C193" s="43">
        <v>42.99</v>
      </c>
      <c r="D193" s="43">
        <v>42.9</v>
      </c>
    </row>
    <row r="194" spans="1:4">
      <c r="A194" s="20">
        <v>44043</v>
      </c>
      <c r="B194" s="43">
        <v>40.93</v>
      </c>
      <c r="C194" s="43">
        <v>43.02</v>
      </c>
      <c r="D194" s="43">
        <v>43.79</v>
      </c>
    </row>
    <row r="195" spans="1:4">
      <c r="A195" s="20">
        <v>44046</v>
      </c>
      <c r="B195" s="43">
        <v>40.67</v>
      </c>
      <c r="C195" s="43">
        <v>44.02</v>
      </c>
      <c r="D195" s="43">
        <v>43.37</v>
      </c>
    </row>
    <row r="196" spans="1:4">
      <c r="A196" s="20">
        <v>44047</v>
      </c>
      <c r="B196" s="43">
        <v>40.590000000000003</v>
      </c>
      <c r="C196" s="43">
        <v>44.27</v>
      </c>
      <c r="D196" s="43">
        <v>43.14</v>
      </c>
    </row>
    <row r="197" spans="1:4">
      <c r="A197" s="20">
        <v>44048</v>
      </c>
      <c r="B197" s="43">
        <v>40.67</v>
      </c>
      <c r="C197" s="43">
        <v>45.34</v>
      </c>
      <c r="D197" s="43">
        <v>43.28</v>
      </c>
    </row>
    <row r="198" spans="1:4">
      <c r="A198" s="20">
        <v>44049</v>
      </c>
      <c r="B198" s="43">
        <v>41.08</v>
      </c>
      <c r="C198" s="43">
        <v>45.17</v>
      </c>
      <c r="D198" s="43">
        <v>44.32</v>
      </c>
    </row>
    <row r="199" spans="1:4">
      <c r="A199" s="20">
        <v>44050</v>
      </c>
      <c r="B199" s="43">
        <v>41.08</v>
      </c>
      <c r="C199" s="43">
        <v>44.87</v>
      </c>
      <c r="D199" s="43">
        <v>44.29</v>
      </c>
    </row>
    <row r="200" spans="1:4">
      <c r="A200" s="20">
        <v>44053</v>
      </c>
      <c r="B200" s="43">
        <v>40.81</v>
      </c>
      <c r="C200" s="43">
        <v>45.01</v>
      </c>
      <c r="D200" s="43">
        <v>43.31</v>
      </c>
    </row>
    <row r="201" spans="1:4">
      <c r="A201" s="20">
        <v>44054</v>
      </c>
      <c r="B201" s="43">
        <v>40.869999999999997</v>
      </c>
      <c r="C201" s="43">
        <v>45.21</v>
      </c>
      <c r="D201" s="43">
        <v>43.34</v>
      </c>
    </row>
    <row r="202" spans="1:4">
      <c r="A202" s="20">
        <v>44055</v>
      </c>
      <c r="B202" s="43">
        <v>40.94</v>
      </c>
      <c r="C202" s="43">
        <v>45.08</v>
      </c>
      <c r="D202" s="43">
        <v>43.41</v>
      </c>
    </row>
    <row r="203" spans="1:4">
      <c r="A203" s="20">
        <v>44056</v>
      </c>
      <c r="B203" s="43">
        <v>40.840000000000003</v>
      </c>
      <c r="C203" s="43">
        <v>45.34</v>
      </c>
      <c r="D203" s="43">
        <v>43.22</v>
      </c>
    </row>
    <row r="204" spans="1:4">
      <c r="A204" s="20">
        <v>44057</v>
      </c>
      <c r="B204" s="43">
        <v>40.869999999999997</v>
      </c>
      <c r="C204" s="43">
        <v>44.62</v>
      </c>
      <c r="D204" s="43">
        <v>43.75</v>
      </c>
    </row>
    <row r="205" spans="1:4">
      <c r="A205" s="20">
        <v>44060</v>
      </c>
      <c r="B205" s="43">
        <v>40.75</v>
      </c>
      <c r="C205" s="43">
        <v>44.94</v>
      </c>
      <c r="D205" s="43">
        <v>42.94</v>
      </c>
    </row>
    <row r="206" spans="1:4">
      <c r="A206" s="20">
        <v>44061</v>
      </c>
      <c r="B206" s="43">
        <v>40.770000000000003</v>
      </c>
      <c r="C206" s="43">
        <v>45.49</v>
      </c>
      <c r="D206" s="43">
        <v>43.3</v>
      </c>
    </row>
    <row r="207" spans="1:4">
      <c r="A207" s="20">
        <v>44062</v>
      </c>
      <c r="B207" s="43">
        <v>41.11</v>
      </c>
      <c r="C207" s="43">
        <v>45.19</v>
      </c>
      <c r="D207" s="43">
        <v>44.15</v>
      </c>
    </row>
    <row r="208" spans="1:4">
      <c r="A208" s="20">
        <v>44063</v>
      </c>
      <c r="B208" s="43">
        <v>41.74</v>
      </c>
      <c r="C208" s="43">
        <v>45.05</v>
      </c>
      <c r="D208" s="43">
        <v>44.43</v>
      </c>
    </row>
    <row r="209" spans="1:4">
      <c r="A209" s="20">
        <v>44064</v>
      </c>
      <c r="B209" s="43">
        <v>42.19</v>
      </c>
      <c r="C209" s="43">
        <v>44.92</v>
      </c>
      <c r="D209" s="43">
        <v>45.17</v>
      </c>
    </row>
    <row r="210" spans="1:4">
      <c r="A210" s="20">
        <v>44067</v>
      </c>
      <c r="B210" s="43">
        <v>41.99</v>
      </c>
      <c r="C210" s="43">
        <v>45.19</v>
      </c>
      <c r="D210" s="43">
        <v>45.09</v>
      </c>
    </row>
    <row r="211" spans="1:4">
      <c r="A211" s="20">
        <v>44068</v>
      </c>
      <c r="B211" s="43">
        <v>41.4</v>
      </c>
      <c r="C211" s="43">
        <v>45.87</v>
      </c>
      <c r="D211" s="43">
        <v>44.4</v>
      </c>
    </row>
    <row r="212" spans="1:4">
      <c r="A212" s="20">
        <v>44069</v>
      </c>
      <c r="B212" s="43">
        <v>41.94</v>
      </c>
      <c r="C212" s="43">
        <v>46.05</v>
      </c>
      <c r="D212" s="43">
        <v>44.99</v>
      </c>
    </row>
    <row r="213" spans="1:4">
      <c r="A213" s="20">
        <v>44070</v>
      </c>
      <c r="B213" s="43">
        <v>41.71</v>
      </c>
      <c r="C213" s="43">
        <v>45.81</v>
      </c>
      <c r="D213" s="43">
        <v>44.5</v>
      </c>
    </row>
    <row r="214" spans="1:4">
      <c r="A214" s="20">
        <v>44071</v>
      </c>
      <c r="B214" s="43">
        <v>42.43</v>
      </c>
      <c r="C214" s="43">
        <v>45.33</v>
      </c>
      <c r="D214" s="43">
        <v>45.43</v>
      </c>
    </row>
    <row r="215" spans="1:4">
      <c r="A215" s="20">
        <v>44074</v>
      </c>
      <c r="B215" s="43">
        <v>42.16</v>
      </c>
      <c r="C215" s="43">
        <v>46.27</v>
      </c>
      <c r="D215" s="43">
        <v>44.96</v>
      </c>
    </row>
    <row r="216" spans="1:4">
      <c r="A216" s="20">
        <v>44075</v>
      </c>
      <c r="B216" s="43">
        <v>42.04</v>
      </c>
      <c r="C216" s="43">
        <v>45.3</v>
      </c>
      <c r="D216" s="43">
        <v>44.8</v>
      </c>
    </row>
    <row r="217" spans="1:4">
      <c r="A217" s="20">
        <v>44076</v>
      </c>
      <c r="B217" s="43">
        <v>42.49</v>
      </c>
      <c r="C217" s="43">
        <v>45.02</v>
      </c>
      <c r="D217" s="43">
        <v>45.37</v>
      </c>
    </row>
    <row r="218" spans="1:4">
      <c r="A218" s="20">
        <v>44077</v>
      </c>
      <c r="B218" s="43">
        <v>42.47</v>
      </c>
      <c r="C218" s="43">
        <v>43.36</v>
      </c>
      <c r="D218" s="43">
        <v>45.46</v>
      </c>
    </row>
    <row r="219" spans="1:4">
      <c r="A219" s="20">
        <v>44078</v>
      </c>
      <c r="B219" s="43">
        <v>42.47</v>
      </c>
      <c r="C219" s="43">
        <v>43.42</v>
      </c>
      <c r="D219" s="43">
        <v>45.37</v>
      </c>
    </row>
    <row r="220" spans="1:4">
      <c r="A220" s="20">
        <v>44081</v>
      </c>
      <c r="B220" s="43">
        <v>42.36</v>
      </c>
      <c r="C220" s="43">
        <v>41.64</v>
      </c>
      <c r="D220" s="43">
        <v>44.9</v>
      </c>
    </row>
    <row r="221" spans="1:4">
      <c r="A221" s="20">
        <v>44082</v>
      </c>
      <c r="B221" s="43">
        <v>42.2</v>
      </c>
      <c r="C221" s="43">
        <v>40.29</v>
      </c>
      <c r="D221" s="43">
        <v>44.35</v>
      </c>
    </row>
    <row r="222" spans="1:4">
      <c r="A222" s="20">
        <v>44083</v>
      </c>
      <c r="B222" s="43">
        <v>42.28</v>
      </c>
      <c r="C222" s="43">
        <v>39.82</v>
      </c>
      <c r="D222" s="43">
        <v>45.13</v>
      </c>
    </row>
    <row r="223" spans="1:4">
      <c r="A223" s="20">
        <v>44084</v>
      </c>
      <c r="B223" s="43">
        <v>42.45</v>
      </c>
      <c r="C223" s="43">
        <v>39.83</v>
      </c>
      <c r="D223" s="43">
        <v>45.86</v>
      </c>
    </row>
    <row r="224" spans="1:4">
      <c r="A224" s="20">
        <v>44085</v>
      </c>
      <c r="B224" s="43">
        <v>42.46</v>
      </c>
      <c r="C224" s="43">
        <v>39.369999999999997</v>
      </c>
      <c r="D224" s="43">
        <v>45.64</v>
      </c>
    </row>
    <row r="225" spans="1:4">
      <c r="A225" s="20">
        <v>44088</v>
      </c>
      <c r="B225" s="43">
        <v>42.41</v>
      </c>
      <c r="C225" s="43">
        <v>38.96</v>
      </c>
      <c r="D225" s="43">
        <v>45.09</v>
      </c>
    </row>
    <row r="226" spans="1:4">
      <c r="A226" s="20">
        <v>44089</v>
      </c>
      <c r="B226" s="43">
        <v>42.41</v>
      </c>
      <c r="C226" s="43">
        <v>39.35</v>
      </c>
      <c r="D226" s="43">
        <v>45.81</v>
      </c>
    </row>
    <row r="227" spans="1:4">
      <c r="A227" s="20">
        <v>44090</v>
      </c>
      <c r="B227" s="43">
        <v>42.69</v>
      </c>
      <c r="C227" s="43">
        <v>41.29</v>
      </c>
      <c r="D227" s="43">
        <v>45.28</v>
      </c>
    </row>
    <row r="228" spans="1:4">
      <c r="A228" s="20">
        <v>44091</v>
      </c>
      <c r="B228" s="43">
        <v>42.85</v>
      </c>
      <c r="C228" s="43">
        <v>42.07</v>
      </c>
      <c r="D228" s="43">
        <v>45.58</v>
      </c>
    </row>
    <row r="229" spans="1:4">
      <c r="A229" s="20">
        <v>44092</v>
      </c>
      <c r="B229" s="43">
        <v>41.67</v>
      </c>
      <c r="C229" s="43">
        <v>42.98</v>
      </c>
      <c r="D229" s="43">
        <v>44.43</v>
      </c>
    </row>
    <row r="230" spans="1:4">
      <c r="A230" s="20">
        <v>44095</v>
      </c>
      <c r="B230" s="43">
        <v>41.54</v>
      </c>
      <c r="C230" s="43">
        <v>41.49</v>
      </c>
      <c r="D230" s="43">
        <v>44.07</v>
      </c>
    </row>
    <row r="231" spans="1:4">
      <c r="A231" s="20">
        <v>44096</v>
      </c>
      <c r="B231" s="43">
        <v>40.18</v>
      </c>
      <c r="C231" s="43">
        <v>41.32</v>
      </c>
      <c r="D231" s="43">
        <v>42.66</v>
      </c>
    </row>
    <row r="232" spans="1:4">
      <c r="A232" s="20">
        <v>44097</v>
      </c>
      <c r="B232" s="43">
        <v>37.76</v>
      </c>
      <c r="C232" s="43">
        <v>41.4</v>
      </c>
      <c r="D232" s="43">
        <v>39.78</v>
      </c>
    </row>
    <row r="233" spans="1:4">
      <c r="A233" s="20">
        <v>44098</v>
      </c>
      <c r="B233" s="43">
        <v>38.72</v>
      </c>
      <c r="C233" s="43">
        <v>41.22</v>
      </c>
      <c r="D233" s="43">
        <v>40.79</v>
      </c>
    </row>
    <row r="234" spans="1:4">
      <c r="A234" s="20">
        <v>44099</v>
      </c>
      <c r="B234" s="43">
        <v>38.18</v>
      </c>
      <c r="C234" s="43">
        <v>41.93</v>
      </c>
      <c r="D234" s="43">
        <v>40.06</v>
      </c>
    </row>
    <row r="235" spans="1:4">
      <c r="A235" s="20">
        <v>44102</v>
      </c>
      <c r="B235" s="43">
        <v>38.19</v>
      </c>
      <c r="C235" s="43">
        <v>41.61</v>
      </c>
      <c r="D235" s="43">
        <v>39.83</v>
      </c>
    </row>
    <row r="236" spans="1:4">
      <c r="A236" s="20">
        <v>44103</v>
      </c>
      <c r="B236" s="43">
        <v>38.14</v>
      </c>
      <c r="C236" s="43">
        <v>41.46</v>
      </c>
      <c r="D236" s="43">
        <v>39.61</v>
      </c>
    </row>
    <row r="237" spans="1:4">
      <c r="A237" s="20">
        <v>44104</v>
      </c>
      <c r="B237" s="43">
        <v>38.72</v>
      </c>
      <c r="C237" s="43">
        <v>40.65</v>
      </c>
      <c r="D237" s="43">
        <v>40.53</v>
      </c>
    </row>
    <row r="238" spans="1:4">
      <c r="A238" s="20">
        <v>44105</v>
      </c>
      <c r="B238" s="43">
        <v>39.700000000000003</v>
      </c>
      <c r="C238" s="43">
        <v>39.94</v>
      </c>
      <c r="D238" s="43">
        <v>42.22</v>
      </c>
    </row>
    <row r="239" spans="1:4">
      <c r="A239" s="20">
        <v>44106</v>
      </c>
      <c r="B239" s="43">
        <v>40.08</v>
      </c>
      <c r="C239" s="43">
        <v>38.090000000000003</v>
      </c>
      <c r="D239" s="43">
        <v>43.3</v>
      </c>
    </row>
    <row r="240" spans="1:4">
      <c r="A240" s="20">
        <v>44109</v>
      </c>
      <c r="B240" s="43">
        <v>40.130000000000003</v>
      </c>
      <c r="C240" s="43">
        <v>39.07</v>
      </c>
      <c r="D240" s="43">
        <v>43.15</v>
      </c>
    </row>
    <row r="241" spans="1:4">
      <c r="A241" s="20">
        <v>44110</v>
      </c>
      <c r="B241" s="43">
        <v>39.450000000000003</v>
      </c>
      <c r="C241" s="43">
        <v>40.33</v>
      </c>
      <c r="D241" s="43">
        <v>41.44</v>
      </c>
    </row>
    <row r="242" spans="1:4">
      <c r="A242" s="20">
        <v>44111</v>
      </c>
      <c r="B242" s="43">
        <v>39.54</v>
      </c>
      <c r="C242" s="43">
        <v>40.450000000000003</v>
      </c>
      <c r="D242" s="43">
        <v>41.72</v>
      </c>
    </row>
    <row r="243" spans="1:4">
      <c r="A243" s="20">
        <v>44112</v>
      </c>
      <c r="B243" s="43">
        <v>39.58</v>
      </c>
      <c r="C243" s="43">
        <v>41.06</v>
      </c>
      <c r="D243" s="43">
        <v>41.77</v>
      </c>
    </row>
    <row r="244" spans="1:4">
      <c r="A244" s="20">
        <v>44113</v>
      </c>
      <c r="B244" s="43">
        <v>39.67</v>
      </c>
      <c r="C244" s="43">
        <v>41.61</v>
      </c>
      <c r="D244" s="43">
        <v>41.94</v>
      </c>
    </row>
    <row r="245" spans="1:4">
      <c r="A245" s="20">
        <v>44116</v>
      </c>
      <c r="B245" s="43">
        <v>39.659999999999997</v>
      </c>
      <c r="C245" s="43">
        <v>40.57</v>
      </c>
      <c r="D245" s="43">
        <v>41.92</v>
      </c>
    </row>
    <row r="246" spans="1:4">
      <c r="A246" s="20">
        <v>44117</v>
      </c>
      <c r="B246" s="43">
        <v>39.71</v>
      </c>
      <c r="C246" s="43">
        <v>40.68</v>
      </c>
      <c r="D246" s="43">
        <v>42.43</v>
      </c>
    </row>
    <row r="247" spans="1:4">
      <c r="A247" s="20">
        <v>44118</v>
      </c>
      <c r="B247" s="43">
        <v>39.58</v>
      </c>
      <c r="C247" s="43">
        <v>41.2</v>
      </c>
      <c r="D247" s="43">
        <v>41.03</v>
      </c>
    </row>
    <row r="248" spans="1:4">
      <c r="A248" s="20">
        <v>44119</v>
      </c>
      <c r="B248" s="43">
        <v>39.630000000000003</v>
      </c>
      <c r="C248" s="43">
        <v>41.29</v>
      </c>
      <c r="D248" s="43">
        <v>40.950000000000003</v>
      </c>
    </row>
    <row r="249" spans="1:4">
      <c r="A249" s="20">
        <v>44120</v>
      </c>
      <c r="B249" s="43">
        <v>38.83</v>
      </c>
      <c r="C249" s="43">
        <v>41.37</v>
      </c>
      <c r="D249" s="43">
        <v>40.93</v>
      </c>
    </row>
    <row r="250" spans="1:4">
      <c r="A250" s="20">
        <v>44123</v>
      </c>
      <c r="B250" s="43">
        <v>37.229999999999997</v>
      </c>
      <c r="C250" s="43">
        <v>41.38</v>
      </c>
      <c r="D250" s="43">
        <v>39.270000000000003</v>
      </c>
    </row>
    <row r="251" spans="1:4">
      <c r="A251" s="20">
        <v>44124</v>
      </c>
      <c r="B251" s="43">
        <v>39.200000000000003</v>
      </c>
      <c r="C251" s="43">
        <v>41.04</v>
      </c>
      <c r="D251" s="43">
        <v>41.29</v>
      </c>
    </row>
    <row r="252" spans="1:4">
      <c r="A252" s="20">
        <v>44125</v>
      </c>
      <c r="B252" s="43">
        <v>40.450000000000003</v>
      </c>
      <c r="C252" s="43">
        <v>40.880000000000003</v>
      </c>
      <c r="D252" s="43">
        <v>42.65</v>
      </c>
    </row>
    <row r="253" spans="1:4">
      <c r="A253" s="20">
        <v>44126</v>
      </c>
      <c r="B253" s="43">
        <v>39.86</v>
      </c>
      <c r="C253" s="43">
        <v>40.909999999999997</v>
      </c>
      <c r="D253" s="43">
        <v>41.99</v>
      </c>
    </row>
    <row r="254" spans="1:4">
      <c r="A254" s="20">
        <v>44127</v>
      </c>
      <c r="B254" s="43">
        <v>40.82</v>
      </c>
      <c r="C254" s="43">
        <v>41.05</v>
      </c>
      <c r="D254" s="43">
        <v>43.34</v>
      </c>
    </row>
    <row r="255" spans="1:4">
      <c r="A255" s="20">
        <v>44130</v>
      </c>
      <c r="B255" s="43">
        <v>40.4</v>
      </c>
      <c r="C255" s="43">
        <v>39.22</v>
      </c>
      <c r="D255" s="43">
        <v>42.85</v>
      </c>
    </row>
    <row r="256" spans="1:4">
      <c r="A256" s="20">
        <v>44131</v>
      </c>
      <c r="B256" s="43">
        <v>39.6</v>
      </c>
      <c r="C256" s="43">
        <v>39.53</v>
      </c>
      <c r="D256" s="43">
        <v>41.72</v>
      </c>
    </row>
    <row r="257" spans="1:4">
      <c r="A257" s="20">
        <v>44132</v>
      </c>
      <c r="B257" s="43">
        <v>40.090000000000003</v>
      </c>
      <c r="C257" s="43">
        <v>38.42</v>
      </c>
      <c r="D257" s="43">
        <v>42.45</v>
      </c>
    </row>
    <row r="258" spans="1:4">
      <c r="A258" s="20">
        <v>44133</v>
      </c>
      <c r="B258" s="43">
        <v>40.590000000000003</v>
      </c>
      <c r="C258" s="43">
        <v>37.119999999999997</v>
      </c>
      <c r="D258" s="43">
        <v>43.32</v>
      </c>
    </row>
    <row r="259" spans="1:4">
      <c r="A259" s="20">
        <v>44134</v>
      </c>
      <c r="B259" s="43">
        <v>40.54</v>
      </c>
      <c r="C259" s="43">
        <v>36.5</v>
      </c>
      <c r="D259" s="43">
        <v>43.16</v>
      </c>
    </row>
    <row r="260" spans="1:4">
      <c r="A260" s="20">
        <v>44137</v>
      </c>
      <c r="B260" s="43">
        <v>40.479999999999997</v>
      </c>
      <c r="C260" s="43">
        <v>35.89</v>
      </c>
      <c r="D260" s="43">
        <v>42.93</v>
      </c>
    </row>
    <row r="261" spans="1:4">
      <c r="A261" s="20">
        <v>44138</v>
      </c>
      <c r="B261" s="43">
        <v>40.46</v>
      </c>
      <c r="C261" s="43">
        <v>38.44</v>
      </c>
      <c r="D261" s="43">
        <v>42.62</v>
      </c>
    </row>
    <row r="262" spans="1:4">
      <c r="A262" s="20">
        <v>44139</v>
      </c>
      <c r="B262" s="43">
        <v>40.72</v>
      </c>
      <c r="C262" s="43">
        <v>39.090000000000003</v>
      </c>
      <c r="D262" s="43">
        <v>43.16</v>
      </c>
    </row>
    <row r="263" spans="1:4">
      <c r="A263" s="20">
        <v>44140</v>
      </c>
      <c r="B263" s="43">
        <v>40.11</v>
      </c>
      <c r="C263" s="43">
        <v>39.79</v>
      </c>
      <c r="D263" s="43">
        <v>41.73</v>
      </c>
    </row>
    <row r="264" spans="1:4">
      <c r="A264" s="20">
        <v>44141</v>
      </c>
      <c r="B264" s="43">
        <v>40.31</v>
      </c>
      <c r="C264" s="43">
        <v>39.22</v>
      </c>
      <c r="D264" s="43">
        <v>42.46</v>
      </c>
    </row>
    <row r="265" spans="1:4">
      <c r="A265" s="20">
        <v>44144</v>
      </c>
      <c r="B265" s="43">
        <v>40.090000000000003</v>
      </c>
      <c r="C265" s="43">
        <v>39.97</v>
      </c>
      <c r="D265" s="43">
        <v>41.77</v>
      </c>
    </row>
    <row r="266" spans="1:4">
      <c r="A266" s="20">
        <v>44145</v>
      </c>
      <c r="B266" s="43">
        <v>39.799999999999997</v>
      </c>
      <c r="C266" s="43">
        <v>41.72</v>
      </c>
      <c r="D266" s="43">
        <v>40.46</v>
      </c>
    </row>
    <row r="267" spans="1:4">
      <c r="A267" s="20">
        <v>44146</v>
      </c>
      <c r="B267" s="43">
        <v>39.979999999999997</v>
      </c>
      <c r="C267" s="43">
        <v>43.42</v>
      </c>
      <c r="D267" s="43">
        <v>41.2</v>
      </c>
    </row>
    <row r="268" spans="1:4">
      <c r="A268" s="20">
        <v>44147</v>
      </c>
      <c r="B268" s="43">
        <v>39.68</v>
      </c>
      <c r="C268" s="43">
        <v>42.97</v>
      </c>
      <c r="D268" s="43">
        <v>39.119999999999997</v>
      </c>
    </row>
    <row r="269" spans="1:4">
      <c r="A269" s="20">
        <v>44148</v>
      </c>
      <c r="B269" s="43">
        <v>39.57</v>
      </c>
      <c r="C269" s="43">
        <v>42.05</v>
      </c>
      <c r="D269" s="43">
        <v>37.65</v>
      </c>
    </row>
    <row r="270" spans="1:4">
      <c r="A270" s="20">
        <v>44151</v>
      </c>
      <c r="B270" s="43">
        <v>39.549999999999997</v>
      </c>
      <c r="C270" s="43">
        <v>42.93</v>
      </c>
      <c r="D270" s="43">
        <v>37.46</v>
      </c>
    </row>
    <row r="271" spans="1:4">
      <c r="A271" s="20">
        <v>44152</v>
      </c>
      <c r="B271" s="43">
        <v>36.9</v>
      </c>
      <c r="C271" s="43">
        <v>42.76</v>
      </c>
      <c r="D271" s="43">
        <v>38.97</v>
      </c>
    </row>
    <row r="272" spans="1:4">
      <c r="A272" s="20">
        <v>44153</v>
      </c>
      <c r="B272" s="43">
        <v>37.700000000000003</v>
      </c>
      <c r="C272" s="43">
        <v>43.05</v>
      </c>
      <c r="D272" s="43">
        <v>39.71</v>
      </c>
    </row>
    <row r="273" spans="1:4">
      <c r="A273" s="20">
        <v>44154</v>
      </c>
      <c r="B273" s="43">
        <v>39.04</v>
      </c>
      <c r="C273" s="43">
        <v>43.12</v>
      </c>
      <c r="D273" s="43">
        <v>41.23</v>
      </c>
    </row>
    <row r="274" spans="1:4">
      <c r="A274" s="20">
        <v>44155</v>
      </c>
      <c r="B274" s="43">
        <v>38.729999999999997</v>
      </c>
      <c r="C274" s="43">
        <v>43.38</v>
      </c>
      <c r="D274" s="43">
        <v>40.93</v>
      </c>
    </row>
    <row r="275" spans="1:4">
      <c r="A275" s="20">
        <v>44158</v>
      </c>
      <c r="B275" s="43">
        <v>37.42</v>
      </c>
      <c r="C275" s="43">
        <v>44.75</v>
      </c>
      <c r="D275" s="43">
        <v>39.450000000000003</v>
      </c>
    </row>
    <row r="276" spans="1:4">
      <c r="A276" s="20">
        <v>44159</v>
      </c>
      <c r="B276" s="43">
        <v>39.78</v>
      </c>
      <c r="C276" s="43">
        <v>45.51</v>
      </c>
      <c r="D276" s="43">
        <v>42.4</v>
      </c>
    </row>
    <row r="277" spans="1:4">
      <c r="A277" s="20">
        <v>44160</v>
      </c>
      <c r="B277" s="43">
        <v>40.520000000000003</v>
      </c>
      <c r="C277" s="43">
        <v>46.91</v>
      </c>
      <c r="D277" s="43">
        <v>43.61</v>
      </c>
    </row>
    <row r="278" spans="1:4">
      <c r="A278" s="20">
        <v>44161</v>
      </c>
      <c r="B278" s="43">
        <v>40.58</v>
      </c>
      <c r="C278" s="43">
        <v>46.66</v>
      </c>
      <c r="D278" s="43">
        <v>43.8</v>
      </c>
    </row>
    <row r="279" spans="1:4">
      <c r="A279" s="20">
        <v>44162</v>
      </c>
      <c r="B279" s="43">
        <v>40.380000000000003</v>
      </c>
      <c r="C279" s="43">
        <v>46.79</v>
      </c>
      <c r="D279" s="43">
        <v>43.53</v>
      </c>
    </row>
    <row r="280" spans="1:4">
      <c r="A280" s="20">
        <v>44165</v>
      </c>
      <c r="B280" s="43">
        <v>39.83</v>
      </c>
      <c r="C280" s="43">
        <v>46.43</v>
      </c>
      <c r="D280" s="43">
        <v>42.78</v>
      </c>
    </row>
    <row r="281" spans="1:4">
      <c r="A281" s="20">
        <v>44166</v>
      </c>
      <c r="B281" s="43">
        <v>40.42</v>
      </c>
      <c r="C281" s="43">
        <v>46.73</v>
      </c>
      <c r="D281" s="43">
        <v>43.82</v>
      </c>
    </row>
    <row r="282" spans="1:4">
      <c r="A282" s="20">
        <v>44167</v>
      </c>
      <c r="B282" s="43">
        <v>40.46</v>
      </c>
      <c r="C282" s="43">
        <v>46.69</v>
      </c>
      <c r="D282" s="43">
        <v>43.75</v>
      </c>
    </row>
    <row r="283" spans="1:4">
      <c r="A283" s="20">
        <v>44168</v>
      </c>
      <c r="B283" s="43">
        <v>40.61</v>
      </c>
      <c r="C283" s="43">
        <v>47.46</v>
      </c>
      <c r="D283" s="43">
        <v>44.34</v>
      </c>
    </row>
    <row r="284" spans="1:4">
      <c r="A284" s="20">
        <v>44169</v>
      </c>
      <c r="B284" s="43">
        <v>40.57</v>
      </c>
      <c r="C284" s="43">
        <v>48.35</v>
      </c>
      <c r="D284" s="43">
        <v>44.2</v>
      </c>
    </row>
    <row r="285" spans="1:4">
      <c r="A285" s="20">
        <v>44172</v>
      </c>
      <c r="B285" s="43">
        <v>40.72</v>
      </c>
      <c r="C285" s="43">
        <v>47.77</v>
      </c>
      <c r="D285" s="43">
        <v>44.96</v>
      </c>
    </row>
    <row r="286" spans="1:4">
      <c r="A286" s="20">
        <v>44173</v>
      </c>
      <c r="B286" s="43">
        <v>40.880000000000003</v>
      </c>
      <c r="C286" s="43">
        <v>47.79</v>
      </c>
      <c r="D286" s="43">
        <v>46.06</v>
      </c>
    </row>
    <row r="287" spans="1:4">
      <c r="A287" s="20">
        <v>44174</v>
      </c>
      <c r="B287" s="43">
        <v>41.25</v>
      </c>
      <c r="C287" s="43">
        <v>48.31</v>
      </c>
      <c r="D287" s="43">
        <v>47.86</v>
      </c>
    </row>
    <row r="288" spans="1:4">
      <c r="A288" s="20">
        <v>44175</v>
      </c>
      <c r="B288" s="43">
        <v>41.37</v>
      </c>
      <c r="C288" s="43">
        <v>48.87</v>
      </c>
      <c r="D288" s="43">
        <v>48.61</v>
      </c>
    </row>
    <row r="289" spans="1:4">
      <c r="A289" s="20">
        <v>44176</v>
      </c>
      <c r="B289" s="43">
        <v>41.36</v>
      </c>
      <c r="C289" s="43">
        <v>49.58</v>
      </c>
      <c r="D289" s="43">
        <v>48.18</v>
      </c>
    </row>
    <row r="290" spans="1:4">
      <c r="A290" s="20">
        <v>44179</v>
      </c>
      <c r="B290" s="43">
        <v>41.35</v>
      </c>
      <c r="C290" s="43">
        <v>49.65</v>
      </c>
      <c r="D290" s="43">
        <v>47.59</v>
      </c>
    </row>
    <row r="291" spans="1:4">
      <c r="A291" s="20">
        <v>44180</v>
      </c>
      <c r="B291" s="43">
        <v>44.61</v>
      </c>
      <c r="C291" s="43">
        <v>49.61</v>
      </c>
      <c r="D291" s="43">
        <v>47.42</v>
      </c>
    </row>
    <row r="292" spans="1:4">
      <c r="A292" s="20">
        <v>44181</v>
      </c>
      <c r="B292" s="43">
        <v>45.3</v>
      </c>
      <c r="C292" s="43">
        <v>50.12</v>
      </c>
      <c r="D292" s="43">
        <v>48.25</v>
      </c>
    </row>
    <row r="293" spans="1:4">
      <c r="A293" s="20">
        <v>44182</v>
      </c>
      <c r="B293" s="43">
        <v>45.62</v>
      </c>
      <c r="C293" s="43">
        <v>50.78</v>
      </c>
      <c r="D293" s="43">
        <v>48.71</v>
      </c>
    </row>
    <row r="294" spans="1:4">
      <c r="A294" s="20">
        <v>44183</v>
      </c>
      <c r="B294" s="43">
        <v>46.16</v>
      </c>
      <c r="C294" s="43">
        <v>50.69</v>
      </c>
      <c r="D294" s="43">
        <v>49.25</v>
      </c>
    </row>
    <row r="295" spans="1:4">
      <c r="A295" s="20">
        <v>44186</v>
      </c>
      <c r="B295" s="43">
        <v>45.76</v>
      </c>
      <c r="C295" s="43">
        <v>49.57</v>
      </c>
      <c r="D295" s="43">
        <v>48.79</v>
      </c>
    </row>
    <row r="296" spans="1:4">
      <c r="A296" s="20">
        <v>44187</v>
      </c>
      <c r="B296" s="43">
        <v>45.64</v>
      </c>
      <c r="C296" s="43">
        <v>49.22</v>
      </c>
      <c r="D296" s="43">
        <v>48.84</v>
      </c>
    </row>
    <row r="297" spans="1:4">
      <c r="A297" s="20">
        <v>44188</v>
      </c>
      <c r="B297" s="43">
        <v>45.58</v>
      </c>
      <c r="C297" s="43">
        <v>49.46</v>
      </c>
      <c r="D297" s="43">
        <v>48.86</v>
      </c>
    </row>
    <row r="298" spans="1:4">
      <c r="A298" s="20">
        <v>44189</v>
      </c>
      <c r="B298" s="43">
        <v>46.44</v>
      </c>
      <c r="C298" s="43">
        <v>50.31</v>
      </c>
      <c r="D298" s="43">
        <v>50.25</v>
      </c>
    </row>
    <row r="299" spans="1:4">
      <c r="A299" s="20">
        <v>44193</v>
      </c>
      <c r="B299" s="43">
        <v>46.3</v>
      </c>
      <c r="C299" s="43">
        <v>50.1</v>
      </c>
      <c r="D299" s="43">
        <v>49.97</v>
      </c>
    </row>
    <row r="300" spans="1:4">
      <c r="A300" s="20">
        <v>44194</v>
      </c>
      <c r="B300" s="43">
        <v>46.54</v>
      </c>
      <c r="C300" s="43">
        <v>50.16</v>
      </c>
      <c r="D300" s="43">
        <v>50.29</v>
      </c>
    </row>
    <row r="301" spans="1:4">
      <c r="A301" s="20">
        <v>44195</v>
      </c>
      <c r="B301" s="43">
        <v>46.89</v>
      </c>
      <c r="C301" s="43">
        <v>50.22</v>
      </c>
      <c r="D301" s="43">
        <v>50.76</v>
      </c>
    </row>
    <row r="302" spans="1:4">
      <c r="A302" s="20">
        <v>44196</v>
      </c>
      <c r="B302" s="43">
        <v>46.99</v>
      </c>
      <c r="C302" s="43">
        <v>50.24</v>
      </c>
      <c r="D302" s="43">
        <v>51.08</v>
      </c>
    </row>
    <row r="303" spans="1:4">
      <c r="A303" s="20">
        <v>44200</v>
      </c>
      <c r="B303" s="43">
        <v>47.24</v>
      </c>
      <c r="C303" s="43">
        <v>51.35</v>
      </c>
      <c r="D303" s="43">
        <v>51.5</v>
      </c>
    </row>
    <row r="304" spans="1:4">
      <c r="A304" s="20">
        <v>44201</v>
      </c>
      <c r="B304" s="43">
        <v>47.53</v>
      </c>
      <c r="C304" s="43">
        <v>50.75</v>
      </c>
      <c r="D304" s="43">
        <v>52.26</v>
      </c>
    </row>
    <row r="305" spans="1:4">
      <c r="A305" s="20">
        <v>44202</v>
      </c>
      <c r="B305" s="43">
        <v>47.06</v>
      </c>
      <c r="C305" s="43">
        <v>53.29</v>
      </c>
      <c r="D305" s="43">
        <v>50.91</v>
      </c>
    </row>
    <row r="306" spans="1:4">
      <c r="A306" s="20">
        <v>44203</v>
      </c>
      <c r="B306" s="43">
        <v>46.76</v>
      </c>
      <c r="C306" s="43">
        <v>53.84</v>
      </c>
      <c r="D306" s="43">
        <v>50.08</v>
      </c>
    </row>
    <row r="307" spans="1:4">
      <c r="A307" s="20">
        <v>44204</v>
      </c>
      <c r="B307" s="43">
        <v>47.06</v>
      </c>
      <c r="C307" s="43">
        <v>54.39</v>
      </c>
      <c r="D307" s="43">
        <v>51.2</v>
      </c>
    </row>
    <row r="308" spans="1:4">
      <c r="A308" s="20">
        <v>44207</v>
      </c>
      <c r="B308" s="43">
        <v>47.09</v>
      </c>
      <c r="C308" s="43">
        <v>54.76</v>
      </c>
      <c r="D308" s="43">
        <v>51.29</v>
      </c>
    </row>
    <row r="309" spans="1:4">
      <c r="A309" s="20">
        <v>44208</v>
      </c>
      <c r="B309" s="43">
        <v>46.97</v>
      </c>
      <c r="C309" s="43">
        <v>55.41</v>
      </c>
      <c r="D309" s="43">
        <v>50.86</v>
      </c>
    </row>
    <row r="310" spans="1:4">
      <c r="A310" s="20">
        <v>44209</v>
      </c>
      <c r="B310" s="43">
        <v>47.03</v>
      </c>
      <c r="C310" s="43">
        <v>55.81</v>
      </c>
      <c r="D310" s="43">
        <v>51.09</v>
      </c>
    </row>
    <row r="311" spans="1:4">
      <c r="A311" s="20">
        <v>44210</v>
      </c>
      <c r="B311" s="43">
        <v>47.06</v>
      </c>
      <c r="C311" s="43">
        <v>55.19</v>
      </c>
      <c r="D311" s="43">
        <v>51.34</v>
      </c>
    </row>
    <row r="312" spans="1:4">
      <c r="A312" s="20">
        <v>44211</v>
      </c>
      <c r="B312" s="43">
        <v>47.07</v>
      </c>
      <c r="C312" s="43">
        <v>54.68</v>
      </c>
      <c r="D312" s="43">
        <v>51.8</v>
      </c>
    </row>
    <row r="313" spans="1:4">
      <c r="A313" s="20">
        <v>44214</v>
      </c>
      <c r="B313" s="43">
        <v>47.67</v>
      </c>
      <c r="C313" s="43">
        <v>53.92</v>
      </c>
      <c r="D313" s="43">
        <v>51.09</v>
      </c>
    </row>
    <row r="314" spans="1:4">
      <c r="A314" s="20">
        <v>44215</v>
      </c>
      <c r="B314" s="43">
        <v>49.84</v>
      </c>
      <c r="C314" s="43">
        <v>54.85</v>
      </c>
      <c r="D314" s="43">
        <v>53.6</v>
      </c>
    </row>
    <row r="315" spans="1:4">
      <c r="A315" s="20">
        <v>44216</v>
      </c>
      <c r="B315" s="43">
        <v>50.46</v>
      </c>
      <c r="C315" s="43">
        <v>55.75</v>
      </c>
      <c r="D315" s="43">
        <v>54.3</v>
      </c>
    </row>
    <row r="316" spans="1:4">
      <c r="A316" s="20">
        <v>44217</v>
      </c>
      <c r="B316" s="43">
        <v>50.62</v>
      </c>
      <c r="C316" s="43">
        <v>55.14</v>
      </c>
      <c r="D316" s="43">
        <v>54.38</v>
      </c>
    </row>
    <row r="317" spans="1:4">
      <c r="A317" s="20">
        <v>44218</v>
      </c>
      <c r="B317" s="43">
        <v>51.72</v>
      </c>
      <c r="C317" s="43">
        <v>54.69</v>
      </c>
      <c r="D317" s="43">
        <v>55.99</v>
      </c>
    </row>
    <row r="318" spans="1:4">
      <c r="A318" s="20">
        <v>44221</v>
      </c>
      <c r="B318" s="43">
        <v>51.73</v>
      </c>
      <c r="C318" s="43">
        <v>54.85</v>
      </c>
      <c r="D318" s="43">
        <v>55.66</v>
      </c>
    </row>
    <row r="319" spans="1:4">
      <c r="A319" s="20">
        <v>44222</v>
      </c>
      <c r="B319" s="43">
        <v>52.39</v>
      </c>
      <c r="C319" s="43">
        <v>54.87</v>
      </c>
      <c r="D319" s="43">
        <v>56.58</v>
      </c>
    </row>
    <row r="320" spans="1:4">
      <c r="A320" s="20">
        <v>44223</v>
      </c>
      <c r="B320" s="43">
        <v>52.21</v>
      </c>
      <c r="C320" s="43">
        <v>55.31</v>
      </c>
      <c r="D320" s="43">
        <v>56.06</v>
      </c>
    </row>
    <row r="321" spans="1:5">
      <c r="A321" s="20">
        <v>44224</v>
      </c>
      <c r="B321" s="43">
        <v>52.59</v>
      </c>
      <c r="C321" s="43">
        <v>54.36</v>
      </c>
      <c r="D321" s="43">
        <v>56.42</v>
      </c>
    </row>
    <row r="322" spans="1:5">
      <c r="A322" s="20">
        <v>44225</v>
      </c>
      <c r="B322" s="43">
        <v>51.96</v>
      </c>
      <c r="C322" s="43">
        <v>54.41</v>
      </c>
      <c r="D322" s="43">
        <v>55.1</v>
      </c>
    </row>
    <row r="323" spans="1:5">
      <c r="A323" s="20">
        <v>44228</v>
      </c>
      <c r="B323" s="43">
        <v>52.23</v>
      </c>
      <c r="C323" s="43">
        <v>55.14</v>
      </c>
      <c r="D323" s="43">
        <v>55.9</v>
      </c>
      <c r="E323" s="43">
        <v>45.13</v>
      </c>
    </row>
    <row r="324" spans="1:5">
      <c r="A324" s="20">
        <v>44229</v>
      </c>
      <c r="B324" s="43">
        <v>52.37</v>
      </c>
      <c r="C324" s="43">
        <v>56.82</v>
      </c>
      <c r="D324" s="43">
        <v>56.08</v>
      </c>
    </row>
    <row r="325" spans="1:5">
      <c r="A325" s="20">
        <v>44230</v>
      </c>
      <c r="B325" s="43">
        <v>52.3</v>
      </c>
      <c r="C325" s="43">
        <v>57.74</v>
      </c>
      <c r="D325" s="43">
        <v>56.1</v>
      </c>
    </row>
    <row r="326" spans="1:5">
      <c r="A326" s="20">
        <v>44231</v>
      </c>
      <c r="B326" s="43">
        <v>52.03</v>
      </c>
      <c r="C326" s="43">
        <v>58.26</v>
      </c>
      <c r="D326" s="43">
        <v>55.41</v>
      </c>
    </row>
    <row r="327" spans="1:5">
      <c r="A327" s="20">
        <v>44232</v>
      </c>
      <c r="B327" s="43">
        <v>52.16</v>
      </c>
      <c r="C327" s="43">
        <v>58.94</v>
      </c>
      <c r="D327" s="43">
        <v>55.88</v>
      </c>
    </row>
    <row r="328" spans="1:5">
      <c r="A328" s="20">
        <v>44235</v>
      </c>
      <c r="B328" s="43">
        <v>52.13</v>
      </c>
      <c r="C328" s="43">
        <v>59.59</v>
      </c>
      <c r="D328" s="43">
        <v>55.91</v>
      </c>
    </row>
    <row r="329" spans="1:5">
      <c r="A329" s="20">
        <v>44236</v>
      </c>
      <c r="B329" s="43">
        <v>52.16</v>
      </c>
      <c r="C329" s="43">
        <v>60.3</v>
      </c>
      <c r="D329" s="43">
        <v>55.81</v>
      </c>
    </row>
    <row r="330" spans="1:5">
      <c r="A330" s="20">
        <v>44237</v>
      </c>
      <c r="B330" s="43">
        <v>52.11</v>
      </c>
      <c r="C330" s="43">
        <v>60.47</v>
      </c>
      <c r="D330" s="43">
        <v>55.53</v>
      </c>
    </row>
    <row r="331" spans="1:5">
      <c r="A331" s="20">
        <v>44238</v>
      </c>
      <c r="B331" s="43">
        <v>52.1</v>
      </c>
      <c r="C331" s="43">
        <v>60.55</v>
      </c>
      <c r="D331" s="43">
        <v>55.88</v>
      </c>
    </row>
    <row r="332" spans="1:5">
      <c r="A332" s="20">
        <v>44239</v>
      </c>
      <c r="B332" s="43">
        <v>53.52</v>
      </c>
      <c r="C332" s="43">
        <v>60.79</v>
      </c>
      <c r="D332" s="43">
        <v>56.35</v>
      </c>
    </row>
    <row r="333" spans="1:5">
      <c r="A333" s="20">
        <v>44242</v>
      </c>
      <c r="B333" s="43">
        <v>54.67</v>
      </c>
      <c r="C333" s="43">
        <v>62.61</v>
      </c>
      <c r="D333" s="43">
        <v>57.46</v>
      </c>
    </row>
    <row r="334" spans="1:5">
      <c r="A334" s="20">
        <v>44243</v>
      </c>
      <c r="B334" s="43">
        <v>55.5</v>
      </c>
      <c r="C334" s="43">
        <v>62.49</v>
      </c>
      <c r="D334" s="43">
        <v>58.46</v>
      </c>
    </row>
    <row r="335" spans="1:5">
      <c r="A335" s="20">
        <v>44244</v>
      </c>
      <c r="B335" s="43">
        <v>55.95</v>
      </c>
      <c r="C335" s="43">
        <v>63.06</v>
      </c>
      <c r="D335" s="43">
        <v>58.84</v>
      </c>
    </row>
    <row r="336" spans="1:5">
      <c r="A336" s="20">
        <v>44245</v>
      </c>
      <c r="B336" s="43">
        <v>56.44</v>
      </c>
      <c r="C336" s="43">
        <v>63.44</v>
      </c>
      <c r="D336" s="43">
        <v>59.34</v>
      </c>
    </row>
    <row r="337" spans="1:5">
      <c r="A337" s="20">
        <v>44246</v>
      </c>
      <c r="B337" s="43">
        <v>57.27</v>
      </c>
      <c r="C337" s="43">
        <v>61.32</v>
      </c>
      <c r="D337" s="43">
        <v>60.56</v>
      </c>
    </row>
    <row r="338" spans="1:5">
      <c r="A338" s="20">
        <v>44249</v>
      </c>
      <c r="B338" s="43">
        <v>57.54</v>
      </c>
      <c r="C338" s="43">
        <v>62.01</v>
      </c>
      <c r="D338" s="43">
        <v>61.09</v>
      </c>
    </row>
    <row r="339" spans="1:5">
      <c r="A339" s="20">
        <v>44250</v>
      </c>
      <c r="B339" s="43">
        <v>57.74</v>
      </c>
      <c r="C339" s="43">
        <v>63.73</v>
      </c>
      <c r="D339" s="43">
        <v>61.47</v>
      </c>
    </row>
    <row r="340" spans="1:5">
      <c r="A340" s="20">
        <v>44251</v>
      </c>
      <c r="B340" s="43">
        <v>57.49</v>
      </c>
      <c r="C340" s="43">
        <v>64</v>
      </c>
      <c r="D340" s="43">
        <v>61.14</v>
      </c>
    </row>
    <row r="341" spans="1:5">
      <c r="A341" s="20">
        <v>44252</v>
      </c>
      <c r="B341" s="43">
        <v>58.14</v>
      </c>
      <c r="C341" s="43">
        <v>65.42</v>
      </c>
      <c r="D341" s="43">
        <v>62.43</v>
      </c>
    </row>
    <row r="342" spans="1:5">
      <c r="A342" s="20">
        <v>44253</v>
      </c>
      <c r="B342" s="43">
        <v>58.44</v>
      </c>
      <c r="C342" s="43">
        <v>64.37</v>
      </c>
      <c r="D342" s="43">
        <v>63.35</v>
      </c>
    </row>
    <row r="343" spans="1:5">
      <c r="A343" s="20">
        <v>44256</v>
      </c>
      <c r="B343" s="43">
        <v>58.9</v>
      </c>
      <c r="C343" s="43">
        <v>64.209999999999994</v>
      </c>
      <c r="D343" s="43">
        <v>64.34</v>
      </c>
      <c r="E343" s="43">
        <v>50.94</v>
      </c>
    </row>
    <row r="344" spans="1:5">
      <c r="A344" s="20">
        <v>44257</v>
      </c>
      <c r="B344" s="43">
        <v>58.67</v>
      </c>
      <c r="C344" s="43">
        <v>61.94</v>
      </c>
      <c r="D344" s="43">
        <v>63.93</v>
      </c>
    </row>
    <row r="345" spans="1:5">
      <c r="A345" s="20">
        <v>44258</v>
      </c>
      <c r="B345" s="43">
        <v>58.26</v>
      </c>
      <c r="C345" s="43">
        <v>62.12</v>
      </c>
      <c r="D345" s="43">
        <v>62.91</v>
      </c>
    </row>
    <row r="346" spans="1:5">
      <c r="A346" s="20">
        <v>44259</v>
      </c>
      <c r="B346" s="43">
        <v>58.9</v>
      </c>
      <c r="C346" s="43">
        <v>64.23</v>
      </c>
      <c r="D346" s="43">
        <v>65.239999999999995</v>
      </c>
    </row>
    <row r="347" spans="1:5">
      <c r="A347" s="20">
        <v>44260</v>
      </c>
      <c r="B347" s="43">
        <v>58.89</v>
      </c>
      <c r="C347" s="43">
        <v>67.03</v>
      </c>
      <c r="D347" s="43">
        <v>65.37</v>
      </c>
    </row>
    <row r="348" spans="1:5">
      <c r="A348" s="20">
        <v>44263</v>
      </c>
      <c r="B348" s="43">
        <v>59.14</v>
      </c>
      <c r="C348" s="43">
        <v>68.17</v>
      </c>
      <c r="D348" s="43">
        <v>67.040000000000006</v>
      </c>
    </row>
    <row r="349" spans="1:5">
      <c r="A349" s="20">
        <v>44264</v>
      </c>
      <c r="B349" s="43">
        <v>59.17</v>
      </c>
      <c r="C349" s="43">
        <v>66.38</v>
      </c>
      <c r="D349" s="43">
        <v>66.88</v>
      </c>
    </row>
    <row r="350" spans="1:5">
      <c r="A350" s="20">
        <v>44265</v>
      </c>
      <c r="B350" s="43">
        <v>59.06</v>
      </c>
      <c r="C350" s="43">
        <v>65.599999999999994</v>
      </c>
      <c r="D350" s="43">
        <v>66.13</v>
      </c>
    </row>
    <row r="351" spans="1:5">
      <c r="A351" s="20">
        <v>44266</v>
      </c>
      <c r="B351" s="43">
        <v>60.57</v>
      </c>
      <c r="C351" s="43">
        <v>67.39</v>
      </c>
      <c r="D351" s="43">
        <v>63.69</v>
      </c>
    </row>
    <row r="352" spans="1:5">
      <c r="A352" s="20">
        <v>44267</v>
      </c>
      <c r="B352" s="43">
        <v>59.73</v>
      </c>
      <c r="C352" s="43">
        <v>68.14</v>
      </c>
      <c r="D352" s="43">
        <v>62.7</v>
      </c>
    </row>
    <row r="353" spans="1:5">
      <c r="A353" s="20">
        <v>44270</v>
      </c>
      <c r="B353" s="43">
        <v>61.13</v>
      </c>
      <c r="C353" s="43">
        <v>68.180000000000007</v>
      </c>
      <c r="D353" s="43">
        <v>64.069999999999993</v>
      </c>
    </row>
    <row r="354" spans="1:5">
      <c r="A354" s="20">
        <v>44271</v>
      </c>
      <c r="B354" s="43">
        <v>63.34</v>
      </c>
      <c r="C354" s="43">
        <v>66.89</v>
      </c>
      <c r="D354" s="43">
        <v>66.739999999999995</v>
      </c>
    </row>
    <row r="355" spans="1:5">
      <c r="A355" s="20">
        <v>44272</v>
      </c>
      <c r="B355" s="43">
        <v>65.22</v>
      </c>
      <c r="C355" s="43">
        <v>66.760000000000005</v>
      </c>
      <c r="D355" s="43">
        <v>69.36</v>
      </c>
    </row>
    <row r="356" spans="1:5">
      <c r="A356" s="20">
        <v>44273</v>
      </c>
      <c r="B356" s="43">
        <v>64.42</v>
      </c>
      <c r="C356" s="43">
        <v>64.790000000000006</v>
      </c>
      <c r="D356" s="43">
        <v>68.239999999999995</v>
      </c>
    </row>
    <row r="357" spans="1:5">
      <c r="A357" s="20">
        <v>44274</v>
      </c>
      <c r="B357" s="43">
        <v>63.68</v>
      </c>
      <c r="C357" s="43">
        <v>62.47</v>
      </c>
      <c r="D357" s="43">
        <v>67.52</v>
      </c>
    </row>
    <row r="358" spans="1:5">
      <c r="A358" s="20">
        <v>44277</v>
      </c>
      <c r="B358" s="43">
        <v>63.98</v>
      </c>
      <c r="C358" s="43">
        <v>63.22</v>
      </c>
      <c r="D358" s="43">
        <v>67.900000000000006</v>
      </c>
    </row>
    <row r="359" spans="1:5">
      <c r="A359" s="20">
        <v>44278</v>
      </c>
      <c r="B359" s="43">
        <v>65.010000000000005</v>
      </c>
      <c r="C359" s="43">
        <v>62.27</v>
      </c>
      <c r="D359" s="43">
        <v>69.63</v>
      </c>
    </row>
    <row r="360" spans="1:5">
      <c r="A360" s="20">
        <v>44279</v>
      </c>
      <c r="B360" s="43">
        <v>64.78</v>
      </c>
      <c r="C360" s="43">
        <v>61.61</v>
      </c>
      <c r="D360" s="43">
        <v>69.22</v>
      </c>
    </row>
    <row r="361" spans="1:5">
      <c r="A361" s="20">
        <v>44280</v>
      </c>
      <c r="B361" s="43">
        <v>64.66</v>
      </c>
      <c r="C361" s="43">
        <v>61.63</v>
      </c>
      <c r="D361" s="43">
        <v>68.88</v>
      </c>
    </row>
    <row r="362" spans="1:5">
      <c r="A362" s="20">
        <v>44281</v>
      </c>
      <c r="B362" s="43">
        <v>64.349999999999994</v>
      </c>
      <c r="C362" s="43">
        <v>62.56</v>
      </c>
      <c r="D362" s="43">
        <v>68.39</v>
      </c>
    </row>
    <row r="363" spans="1:5">
      <c r="A363" s="20">
        <v>44284</v>
      </c>
      <c r="B363" s="43">
        <v>64.25</v>
      </c>
      <c r="C363" s="43">
        <v>62.86</v>
      </c>
      <c r="D363" s="43">
        <v>68</v>
      </c>
    </row>
    <row r="364" spans="1:5">
      <c r="A364" s="20">
        <v>44285</v>
      </c>
      <c r="B364" s="43">
        <v>62.26</v>
      </c>
      <c r="C364" s="43">
        <v>63.37</v>
      </c>
      <c r="D364" s="43">
        <v>63.28</v>
      </c>
    </row>
    <row r="365" spans="1:5">
      <c r="A365" s="20">
        <v>44286</v>
      </c>
      <c r="B365" s="43">
        <v>62.8</v>
      </c>
      <c r="C365" s="43">
        <v>63.07</v>
      </c>
      <c r="D365" s="43">
        <v>64.53</v>
      </c>
    </row>
    <row r="366" spans="1:5">
      <c r="A366" s="20">
        <v>44287</v>
      </c>
      <c r="B366" s="43">
        <v>62.84</v>
      </c>
      <c r="C366" s="43">
        <v>61.75</v>
      </c>
      <c r="D366" s="43">
        <v>64.62</v>
      </c>
      <c r="E366" s="43">
        <v>50.51</v>
      </c>
    </row>
    <row r="367" spans="1:5">
      <c r="A367" s="20">
        <v>44291</v>
      </c>
      <c r="B367" s="43">
        <v>61.69</v>
      </c>
      <c r="C367" s="43">
        <v>61.68</v>
      </c>
      <c r="D367" s="43">
        <v>60.79</v>
      </c>
    </row>
    <row r="368" spans="1:5">
      <c r="A368" s="20">
        <v>44292</v>
      </c>
      <c r="B368" s="43">
        <v>62.58</v>
      </c>
      <c r="C368" s="43">
        <v>61.31</v>
      </c>
      <c r="D368" s="43">
        <v>64.41</v>
      </c>
    </row>
    <row r="369" spans="1:4">
      <c r="A369" s="20">
        <v>44293</v>
      </c>
      <c r="B369" s="43">
        <v>62.01</v>
      </c>
      <c r="C369" s="43">
        <v>60.67</v>
      </c>
      <c r="D369" s="43">
        <v>61.95</v>
      </c>
    </row>
    <row r="370" spans="1:4">
      <c r="A370" s="20">
        <v>44294</v>
      </c>
      <c r="B370" s="43">
        <v>62.43</v>
      </c>
      <c r="C370" s="43">
        <v>61.2</v>
      </c>
      <c r="D370" s="43">
        <v>64.569999999999993</v>
      </c>
    </row>
    <row r="371" spans="1:4">
      <c r="A371" s="20">
        <v>44295</v>
      </c>
      <c r="B371" s="43">
        <v>62.51</v>
      </c>
      <c r="C371" s="43">
        <v>61.12</v>
      </c>
      <c r="D371" s="43">
        <v>64.98</v>
      </c>
    </row>
    <row r="372" spans="1:4">
      <c r="A372" s="20">
        <v>44298</v>
      </c>
      <c r="B372" s="43">
        <v>62.42</v>
      </c>
      <c r="C372" s="43">
        <v>61.44</v>
      </c>
      <c r="D372" s="43">
        <v>64.14</v>
      </c>
    </row>
    <row r="373" spans="1:4">
      <c r="A373" s="20">
        <v>44299</v>
      </c>
      <c r="B373" s="43">
        <v>62.36</v>
      </c>
      <c r="C373" s="43">
        <v>61.85</v>
      </c>
      <c r="D373" s="43">
        <v>63.54</v>
      </c>
    </row>
    <row r="374" spans="1:4">
      <c r="A374" s="20">
        <v>44300</v>
      </c>
      <c r="B374" s="43">
        <v>61.46</v>
      </c>
      <c r="C374" s="43">
        <v>63.39</v>
      </c>
      <c r="D374" s="43">
        <v>64.86</v>
      </c>
    </row>
    <row r="375" spans="1:4">
      <c r="A375" s="20">
        <v>44301</v>
      </c>
      <c r="B375" s="43">
        <v>58.79</v>
      </c>
      <c r="C375" s="43">
        <v>64.48</v>
      </c>
      <c r="D375" s="43">
        <v>62.15</v>
      </c>
    </row>
    <row r="376" spans="1:4">
      <c r="A376" s="20">
        <v>44302</v>
      </c>
      <c r="B376" s="43">
        <v>59.41</v>
      </c>
      <c r="C376" s="43">
        <v>65.209999999999994</v>
      </c>
      <c r="D376" s="43">
        <v>62.74</v>
      </c>
    </row>
    <row r="377" spans="1:4">
      <c r="A377" s="20">
        <v>44305</v>
      </c>
      <c r="B377" s="43">
        <v>59.79</v>
      </c>
      <c r="C377" s="43">
        <v>65.099999999999994</v>
      </c>
      <c r="D377" s="43">
        <v>63.16</v>
      </c>
    </row>
    <row r="378" spans="1:4">
      <c r="A378" s="20">
        <v>44306</v>
      </c>
      <c r="B378" s="43">
        <v>59.65</v>
      </c>
      <c r="C378" s="43">
        <v>65.36</v>
      </c>
      <c r="D378" s="43">
        <v>63.2</v>
      </c>
    </row>
    <row r="379" spans="1:4">
      <c r="A379" s="20">
        <v>44307</v>
      </c>
      <c r="B379" s="43">
        <v>59.44</v>
      </c>
      <c r="C379" s="43">
        <v>64.02</v>
      </c>
      <c r="D379" s="43">
        <v>62.95</v>
      </c>
    </row>
    <row r="380" spans="1:4">
      <c r="A380" s="20">
        <v>44308</v>
      </c>
      <c r="B380" s="43">
        <v>59.72</v>
      </c>
      <c r="C380" s="43">
        <v>63.06</v>
      </c>
      <c r="D380" s="43">
        <v>63.28</v>
      </c>
    </row>
    <row r="381" spans="1:4">
      <c r="A381" s="20">
        <v>44309</v>
      </c>
      <c r="B381" s="43">
        <v>60.04</v>
      </c>
      <c r="C381" s="43">
        <v>63.63</v>
      </c>
      <c r="D381" s="43">
        <v>63.67</v>
      </c>
    </row>
    <row r="382" spans="1:4">
      <c r="A382" s="20">
        <v>44312</v>
      </c>
      <c r="B382" s="43">
        <v>61.88</v>
      </c>
      <c r="C382" s="43">
        <v>63.22</v>
      </c>
      <c r="D382" s="43">
        <v>66.58</v>
      </c>
    </row>
    <row r="383" spans="1:4">
      <c r="A383" s="20">
        <v>44313</v>
      </c>
      <c r="B383" s="43">
        <v>62.05</v>
      </c>
      <c r="C383" s="43">
        <v>63.91</v>
      </c>
      <c r="D383" s="43">
        <v>66.94</v>
      </c>
    </row>
    <row r="384" spans="1:4">
      <c r="A384" s="20">
        <v>44314</v>
      </c>
      <c r="B384" s="43">
        <v>61.88</v>
      </c>
      <c r="C384" s="43">
        <v>64.53</v>
      </c>
      <c r="D384" s="43">
        <v>66.77</v>
      </c>
    </row>
    <row r="385" spans="1:5">
      <c r="A385" s="20">
        <v>44315</v>
      </c>
      <c r="B385" s="43">
        <v>62</v>
      </c>
      <c r="C385" s="43">
        <v>65.709999999999994</v>
      </c>
      <c r="D385" s="43">
        <v>67.05</v>
      </c>
    </row>
    <row r="386" spans="1:5">
      <c r="A386" s="20">
        <v>44316</v>
      </c>
      <c r="B386" s="43">
        <v>61.66</v>
      </c>
      <c r="C386" s="43">
        <v>65.42</v>
      </c>
      <c r="D386" s="43">
        <v>66.569999999999993</v>
      </c>
    </row>
    <row r="387" spans="1:5">
      <c r="A387" s="20">
        <v>44319</v>
      </c>
      <c r="B387" s="43">
        <v>61.16</v>
      </c>
      <c r="C387" s="43">
        <v>65.09</v>
      </c>
      <c r="D387" s="43">
        <v>65.319999999999993</v>
      </c>
      <c r="E387" s="43">
        <v>54.78</v>
      </c>
    </row>
    <row r="388" spans="1:5">
      <c r="A388" s="20">
        <v>44320</v>
      </c>
      <c r="B388" s="43">
        <v>61.19</v>
      </c>
      <c r="C388" s="43">
        <v>66.67</v>
      </c>
      <c r="D388" s="43">
        <v>65.400000000000006</v>
      </c>
    </row>
    <row r="389" spans="1:5">
      <c r="A389" s="20">
        <v>44321</v>
      </c>
      <c r="B389" s="43">
        <v>61.39</v>
      </c>
      <c r="C389" s="43">
        <v>68.2</v>
      </c>
      <c r="D389" s="43">
        <v>66.11</v>
      </c>
    </row>
    <row r="390" spans="1:5">
      <c r="A390" s="20">
        <v>44322</v>
      </c>
      <c r="B390" s="43">
        <v>61.33</v>
      </c>
      <c r="C390" s="43">
        <v>67.489999999999995</v>
      </c>
      <c r="D390" s="43">
        <v>65.650000000000006</v>
      </c>
    </row>
    <row r="391" spans="1:5">
      <c r="A391" s="20">
        <v>44323</v>
      </c>
      <c r="B391" s="43">
        <v>61.53</v>
      </c>
      <c r="C391" s="43">
        <v>66.569999999999993</v>
      </c>
      <c r="D391" s="43">
        <v>66.42</v>
      </c>
    </row>
    <row r="392" spans="1:5">
      <c r="A392" s="20">
        <v>44326</v>
      </c>
      <c r="B392" s="43">
        <v>61.66</v>
      </c>
      <c r="C392" s="43">
        <v>67.099999999999994</v>
      </c>
      <c r="D392" s="43">
        <v>67.27</v>
      </c>
    </row>
    <row r="393" spans="1:5">
      <c r="A393" s="20">
        <v>44327</v>
      </c>
      <c r="B393" s="43">
        <v>61.77</v>
      </c>
      <c r="C393" s="43">
        <v>66.39</v>
      </c>
      <c r="D393" s="43">
        <v>68.56</v>
      </c>
    </row>
    <row r="394" spans="1:5">
      <c r="A394" s="20">
        <v>44328</v>
      </c>
      <c r="B394" s="43">
        <v>61.7</v>
      </c>
      <c r="C394" s="43">
        <v>67.459999999999994</v>
      </c>
      <c r="D394" s="43">
        <v>67.25</v>
      </c>
    </row>
    <row r="395" spans="1:5">
      <c r="A395" s="20">
        <v>44329</v>
      </c>
      <c r="B395" s="43">
        <v>64.47</v>
      </c>
      <c r="C395" s="43">
        <v>66.78</v>
      </c>
      <c r="D395" s="43">
        <v>67.56</v>
      </c>
    </row>
    <row r="396" spans="1:5">
      <c r="A396" s="20">
        <v>44330</v>
      </c>
      <c r="B396" s="43">
        <v>65.61</v>
      </c>
      <c r="C396" s="43">
        <v>66.16</v>
      </c>
      <c r="D396" s="43">
        <v>68.88</v>
      </c>
    </row>
    <row r="397" spans="1:5">
      <c r="A397" s="20">
        <v>44333</v>
      </c>
      <c r="B397" s="43">
        <v>65.56</v>
      </c>
      <c r="C397" s="43">
        <v>67.52</v>
      </c>
      <c r="D397" s="43">
        <v>68.959999999999994</v>
      </c>
    </row>
    <row r="398" spans="1:5">
      <c r="A398" s="20">
        <v>44334</v>
      </c>
      <c r="B398" s="43">
        <v>64.78</v>
      </c>
      <c r="C398" s="43">
        <v>68.39</v>
      </c>
      <c r="D398" s="43">
        <v>68.09</v>
      </c>
    </row>
    <row r="399" spans="1:5">
      <c r="A399" s="20">
        <v>44335</v>
      </c>
      <c r="B399" s="43">
        <v>64.94</v>
      </c>
      <c r="C399" s="43">
        <v>65.95</v>
      </c>
      <c r="D399" s="43">
        <v>68.28</v>
      </c>
    </row>
    <row r="400" spans="1:5">
      <c r="A400" s="20">
        <v>44336</v>
      </c>
      <c r="B400" s="43">
        <v>64.959999999999994</v>
      </c>
      <c r="C400" s="43">
        <v>65.290000000000006</v>
      </c>
      <c r="D400" s="43">
        <v>68.319999999999993</v>
      </c>
    </row>
    <row r="401" spans="1:5">
      <c r="A401" s="20">
        <v>44337</v>
      </c>
      <c r="B401" s="43">
        <v>65.22</v>
      </c>
      <c r="C401" s="43">
        <v>64.180000000000007</v>
      </c>
      <c r="D401" s="43">
        <v>68.55</v>
      </c>
    </row>
    <row r="402" spans="1:5">
      <c r="A402" s="20">
        <v>44340</v>
      </c>
      <c r="B402" s="43">
        <v>65.739999999999995</v>
      </c>
      <c r="C402" s="43">
        <v>66.930000000000007</v>
      </c>
      <c r="D402" s="43">
        <v>69.319999999999993</v>
      </c>
    </row>
    <row r="403" spans="1:5">
      <c r="A403" s="20">
        <v>44341</v>
      </c>
      <c r="B403" s="43">
        <v>64.38</v>
      </c>
      <c r="C403" s="43">
        <v>67.41</v>
      </c>
      <c r="D403" s="43">
        <v>67.05</v>
      </c>
    </row>
    <row r="404" spans="1:5">
      <c r="A404" s="20">
        <v>44342</v>
      </c>
      <c r="B404" s="43">
        <v>65.23</v>
      </c>
      <c r="C404" s="43">
        <v>67.47</v>
      </c>
      <c r="D404" s="43">
        <v>68.709999999999994</v>
      </c>
    </row>
    <row r="405" spans="1:5">
      <c r="A405" s="20">
        <v>44343</v>
      </c>
      <c r="B405" s="43">
        <v>65.680000000000007</v>
      </c>
      <c r="C405" s="43">
        <v>67.319999999999993</v>
      </c>
      <c r="D405" s="43">
        <v>69.459999999999994</v>
      </c>
    </row>
    <row r="406" spans="1:5">
      <c r="A406" s="20">
        <v>44344</v>
      </c>
      <c r="B406" s="43">
        <v>65.33</v>
      </c>
      <c r="C406" s="43">
        <v>68.2</v>
      </c>
      <c r="D406" s="43">
        <v>68.709999999999994</v>
      </c>
    </row>
    <row r="407" spans="1:5">
      <c r="A407" s="20">
        <v>44347</v>
      </c>
      <c r="B407" s="43">
        <v>64.47</v>
      </c>
      <c r="C407" s="43">
        <v>68.53</v>
      </c>
      <c r="D407" s="43">
        <v>66.66</v>
      </c>
    </row>
    <row r="408" spans="1:5">
      <c r="A408" s="20">
        <v>44348</v>
      </c>
      <c r="B408" s="43">
        <v>63.99</v>
      </c>
      <c r="C408" s="43">
        <v>69.03</v>
      </c>
      <c r="D408" s="43">
        <v>65.11</v>
      </c>
      <c r="E408" s="43">
        <v>58.46</v>
      </c>
    </row>
    <row r="409" spans="1:5">
      <c r="A409" s="20">
        <v>44349</v>
      </c>
      <c r="B409" s="43">
        <v>64.48</v>
      </c>
      <c r="C409" s="43">
        <v>69.39</v>
      </c>
      <c r="D409" s="43">
        <v>66.44</v>
      </c>
    </row>
    <row r="410" spans="1:5">
      <c r="A410" s="20">
        <v>44350</v>
      </c>
      <c r="B410" s="43">
        <v>65.09</v>
      </c>
      <c r="C410" s="43">
        <v>69.91</v>
      </c>
      <c r="D410" s="43">
        <v>68.459999999999994</v>
      </c>
    </row>
    <row r="411" spans="1:5">
      <c r="A411" s="20">
        <v>44351</v>
      </c>
      <c r="B411" s="43">
        <v>65.099999999999994</v>
      </c>
      <c r="C411" s="43">
        <v>70.23</v>
      </c>
      <c r="D411" s="43">
        <v>68.650000000000006</v>
      </c>
    </row>
    <row r="412" spans="1:5">
      <c r="A412" s="20">
        <v>44354</v>
      </c>
      <c r="B412" s="43">
        <v>65.12</v>
      </c>
      <c r="C412" s="43">
        <v>70.150000000000006</v>
      </c>
      <c r="D412" s="43">
        <v>68.87</v>
      </c>
    </row>
    <row r="413" spans="1:5">
      <c r="A413" s="20">
        <v>44355</v>
      </c>
      <c r="B413" s="43">
        <v>65.180000000000007</v>
      </c>
      <c r="C413" s="43">
        <v>69.83</v>
      </c>
      <c r="D413" s="43">
        <v>69.459999999999994</v>
      </c>
    </row>
    <row r="414" spans="1:5">
      <c r="A414" s="20">
        <v>44356</v>
      </c>
      <c r="B414" s="43">
        <v>65.16</v>
      </c>
      <c r="C414" s="43">
        <v>71.209999999999994</v>
      </c>
      <c r="D414" s="43">
        <v>69.63</v>
      </c>
    </row>
    <row r="415" spans="1:5">
      <c r="A415" s="20">
        <v>44357</v>
      </c>
      <c r="B415" s="43">
        <v>67.67</v>
      </c>
      <c r="C415" s="43">
        <v>70.900000000000006</v>
      </c>
      <c r="D415" s="43">
        <v>70.25</v>
      </c>
    </row>
    <row r="416" spans="1:5">
      <c r="A416" s="20">
        <v>44358</v>
      </c>
      <c r="B416" s="43">
        <v>68.73</v>
      </c>
      <c r="C416" s="43">
        <v>71.31</v>
      </c>
      <c r="D416" s="43">
        <v>71.349999999999994</v>
      </c>
    </row>
    <row r="417" spans="1:5">
      <c r="A417" s="20">
        <v>44361</v>
      </c>
      <c r="B417" s="43">
        <v>68.7</v>
      </c>
      <c r="C417" s="43">
        <v>71.989999999999995</v>
      </c>
      <c r="D417" s="43">
        <v>71.31</v>
      </c>
    </row>
    <row r="418" spans="1:5">
      <c r="A418" s="20">
        <v>44362</v>
      </c>
      <c r="B418" s="43">
        <v>69.400000000000006</v>
      </c>
      <c r="C418" s="43">
        <v>72.05</v>
      </c>
      <c r="D418" s="43">
        <v>71.89</v>
      </c>
    </row>
    <row r="419" spans="1:5">
      <c r="A419" s="20">
        <v>44363</v>
      </c>
      <c r="B419" s="43">
        <v>69.09</v>
      </c>
      <c r="C419" s="43">
        <v>73.16</v>
      </c>
      <c r="D419" s="43">
        <v>71.489999999999995</v>
      </c>
    </row>
    <row r="420" spans="1:5">
      <c r="A420" s="20">
        <v>44364</v>
      </c>
      <c r="B420" s="43">
        <v>69.73</v>
      </c>
      <c r="C420" s="43">
        <v>72.290000000000006</v>
      </c>
      <c r="D420" s="43">
        <v>72.22</v>
      </c>
    </row>
    <row r="421" spans="1:5">
      <c r="A421" s="20">
        <v>44365</v>
      </c>
      <c r="B421" s="43">
        <v>69.66</v>
      </c>
      <c r="C421" s="43">
        <v>71.56</v>
      </c>
      <c r="D421" s="43">
        <v>72.03</v>
      </c>
    </row>
    <row r="422" spans="1:5">
      <c r="A422" s="20">
        <v>44368</v>
      </c>
      <c r="B422" s="43">
        <v>69.88</v>
      </c>
      <c r="C422" s="43">
        <v>72.45</v>
      </c>
      <c r="D422" s="43">
        <v>72.52</v>
      </c>
    </row>
    <row r="423" spans="1:5">
      <c r="A423" s="20">
        <v>44369</v>
      </c>
      <c r="B423" s="43">
        <v>70.25</v>
      </c>
      <c r="C423" s="43">
        <v>73.13</v>
      </c>
      <c r="D423" s="43">
        <v>72.69</v>
      </c>
    </row>
    <row r="424" spans="1:5">
      <c r="A424" s="20">
        <v>44370</v>
      </c>
      <c r="B424" s="43">
        <v>70.239999999999995</v>
      </c>
      <c r="C424" s="43">
        <v>74.010000000000005</v>
      </c>
      <c r="D424" s="43">
        <v>72.86</v>
      </c>
    </row>
    <row r="425" spans="1:5">
      <c r="A425" s="20">
        <v>44371</v>
      </c>
      <c r="B425" s="43">
        <v>70.92</v>
      </c>
      <c r="C425" s="43">
        <v>74.09</v>
      </c>
      <c r="D425" s="43">
        <v>73.989999999999995</v>
      </c>
    </row>
    <row r="426" spans="1:5">
      <c r="A426" s="20">
        <v>44372</v>
      </c>
      <c r="B426" s="43">
        <v>70.95</v>
      </c>
      <c r="C426" s="43">
        <v>74.19</v>
      </c>
      <c r="D426" s="43">
        <v>74.39</v>
      </c>
    </row>
    <row r="427" spans="1:5">
      <c r="A427" s="20">
        <v>44375</v>
      </c>
      <c r="B427" s="43">
        <v>70.430000000000007</v>
      </c>
      <c r="C427" s="43">
        <v>73.84</v>
      </c>
      <c r="D427" s="43">
        <v>73.08</v>
      </c>
    </row>
    <row r="428" spans="1:5">
      <c r="A428" s="20">
        <v>44376</v>
      </c>
      <c r="B428" s="43">
        <v>70.650000000000006</v>
      </c>
      <c r="C428" s="43">
        <v>73.34</v>
      </c>
      <c r="D428" s="43">
        <v>73.510000000000005</v>
      </c>
    </row>
    <row r="429" spans="1:5">
      <c r="A429" s="20">
        <v>44377</v>
      </c>
      <c r="B429" s="43">
        <v>71.33</v>
      </c>
      <c r="C429" s="43">
        <v>73.599999999999994</v>
      </c>
      <c r="D429" s="43">
        <v>74.900000000000006</v>
      </c>
    </row>
    <row r="430" spans="1:5">
      <c r="A430" s="20">
        <v>44378</v>
      </c>
      <c r="B430" s="43">
        <v>71.23</v>
      </c>
      <c r="C430" s="43">
        <v>74.87</v>
      </c>
      <c r="D430" s="43">
        <v>74.81</v>
      </c>
      <c r="E430" s="43">
        <v>58.46</v>
      </c>
    </row>
    <row r="431" spans="1:5">
      <c r="A431" s="20">
        <v>44379</v>
      </c>
      <c r="B431" s="43">
        <v>71.290000000000006</v>
      </c>
      <c r="C431" s="43">
        <v>75.209999999999994</v>
      </c>
      <c r="D431" s="43">
        <v>75.19</v>
      </c>
      <c r="E431" s="43">
        <v>0</v>
      </c>
    </row>
    <row r="432" spans="1:5">
      <c r="A432" s="20">
        <v>44382</v>
      </c>
      <c r="B432" s="43">
        <v>71.34</v>
      </c>
      <c r="C432" s="43">
        <v>75.709999999999994</v>
      </c>
      <c r="D432" s="43">
        <v>75.56</v>
      </c>
      <c r="E432" s="43">
        <v>0</v>
      </c>
    </row>
    <row r="433" spans="1:5">
      <c r="A433" s="20">
        <v>44383</v>
      </c>
      <c r="B433" s="43">
        <v>71.48</v>
      </c>
      <c r="C433" s="43">
        <v>75.94</v>
      </c>
      <c r="D433" s="43">
        <v>76.180000000000007</v>
      </c>
      <c r="E433" s="43">
        <v>0</v>
      </c>
    </row>
    <row r="434" spans="1:5">
      <c r="A434" s="20">
        <v>44384</v>
      </c>
      <c r="B434" s="43">
        <v>71.319999999999993</v>
      </c>
      <c r="C434" s="43">
        <v>73.58</v>
      </c>
      <c r="D434" s="43">
        <v>74.680000000000007</v>
      </c>
      <c r="E434" s="43">
        <v>0</v>
      </c>
    </row>
    <row r="435" spans="1:5">
      <c r="A435" s="20">
        <v>44385</v>
      </c>
      <c r="B435" s="43">
        <v>71.33</v>
      </c>
      <c r="C435" s="43">
        <v>71.97</v>
      </c>
      <c r="D435" s="43">
        <v>74.760000000000005</v>
      </c>
      <c r="E435" s="43">
        <v>0</v>
      </c>
    </row>
    <row r="436" spans="1:5">
      <c r="A436" s="20">
        <v>44386</v>
      </c>
      <c r="B436" s="43">
        <v>71.349999999999994</v>
      </c>
      <c r="C436" s="43">
        <v>74.180000000000007</v>
      </c>
      <c r="D436" s="43">
        <v>75.13</v>
      </c>
      <c r="E436" s="43">
        <v>0</v>
      </c>
    </row>
    <row r="437" spans="1:5">
      <c r="A437" s="20">
        <v>44389</v>
      </c>
      <c r="B437" s="43">
        <v>74.89</v>
      </c>
      <c r="C437" s="43">
        <v>74.33</v>
      </c>
      <c r="D437" s="43">
        <v>75.84</v>
      </c>
      <c r="E437" s="43">
        <v>0</v>
      </c>
    </row>
    <row r="438" spans="1:5">
      <c r="A438" s="20">
        <v>44390</v>
      </c>
      <c r="B438" s="43">
        <v>74.86</v>
      </c>
      <c r="C438" s="43">
        <v>75.13</v>
      </c>
      <c r="D438" s="43">
        <v>76.17</v>
      </c>
      <c r="E438" s="43">
        <v>0</v>
      </c>
    </row>
    <row r="439" spans="1:5">
      <c r="A439" s="20">
        <v>44391</v>
      </c>
      <c r="B439" s="43">
        <v>73.239999999999995</v>
      </c>
      <c r="C439" s="43">
        <v>75.290000000000006</v>
      </c>
      <c r="D439" s="43">
        <v>74.53</v>
      </c>
      <c r="E439" s="43">
        <v>0</v>
      </c>
    </row>
    <row r="440" spans="1:5">
      <c r="A440" s="20">
        <v>44392</v>
      </c>
      <c r="B440" s="43">
        <v>72.27</v>
      </c>
      <c r="C440" s="43">
        <v>73.150000000000006</v>
      </c>
      <c r="D440" s="43">
        <v>73.430000000000007</v>
      </c>
      <c r="E440" s="43">
        <v>0</v>
      </c>
    </row>
    <row r="441" spans="1:5">
      <c r="A441" s="20">
        <v>44393</v>
      </c>
      <c r="B441" s="43">
        <v>72.87</v>
      </c>
      <c r="C441" s="43">
        <v>72.84</v>
      </c>
      <c r="D441" s="43">
        <v>74.12</v>
      </c>
      <c r="E441" s="43">
        <v>0</v>
      </c>
    </row>
    <row r="442" spans="1:5">
      <c r="A442" s="20">
        <v>44396</v>
      </c>
      <c r="B442" s="43">
        <v>74.09</v>
      </c>
      <c r="C442" s="43">
        <v>70.540000000000006</v>
      </c>
      <c r="D442" s="43">
        <v>75.55</v>
      </c>
      <c r="E442" s="43">
        <v>0</v>
      </c>
    </row>
    <row r="443" spans="1:5">
      <c r="A443" s="20">
        <v>44397</v>
      </c>
      <c r="B443" s="43">
        <v>73.790000000000006</v>
      </c>
      <c r="C443" s="43">
        <v>70.5</v>
      </c>
      <c r="D443" s="43">
        <v>75.16</v>
      </c>
      <c r="E443" s="43">
        <v>0</v>
      </c>
    </row>
    <row r="444" spans="1:5">
      <c r="A444" s="20">
        <v>44398</v>
      </c>
      <c r="B444" s="43">
        <v>74.599999999999994</v>
      </c>
      <c r="C444" s="43">
        <v>69.930000000000007</v>
      </c>
      <c r="D444" s="43">
        <v>76.489999999999995</v>
      </c>
      <c r="E444" s="43">
        <v>0</v>
      </c>
    </row>
    <row r="445" spans="1:5">
      <c r="A445" s="20">
        <v>44399</v>
      </c>
      <c r="B445" s="43">
        <v>73.31</v>
      </c>
      <c r="C445" s="43">
        <v>72.09</v>
      </c>
      <c r="D445" s="43">
        <v>74.760000000000005</v>
      </c>
      <c r="E445" s="43">
        <v>0</v>
      </c>
    </row>
    <row r="446" spans="1:5">
      <c r="A446" s="20">
        <v>44400</v>
      </c>
      <c r="B446" s="43">
        <v>72.55</v>
      </c>
      <c r="C446" s="43">
        <v>73.03</v>
      </c>
      <c r="D446" s="43">
        <v>73.47</v>
      </c>
      <c r="E446" s="43">
        <v>0</v>
      </c>
    </row>
    <row r="447" spans="1:5">
      <c r="A447" s="20">
        <v>44403</v>
      </c>
      <c r="B447" s="43">
        <v>72.64</v>
      </c>
      <c r="C447" s="43">
        <v>72.680000000000007</v>
      </c>
      <c r="D447" s="43">
        <v>73.59</v>
      </c>
      <c r="E447" s="43">
        <v>0</v>
      </c>
    </row>
    <row r="448" spans="1:5">
      <c r="A448" s="20">
        <v>44404</v>
      </c>
      <c r="B448" s="43">
        <v>70.14</v>
      </c>
      <c r="C448" s="43">
        <v>73.62</v>
      </c>
      <c r="D448" s="43">
        <v>68.62</v>
      </c>
      <c r="E448" s="43">
        <v>0</v>
      </c>
    </row>
    <row r="449" spans="1:5">
      <c r="A449" s="20">
        <v>44405</v>
      </c>
      <c r="B449" s="43">
        <v>70.52</v>
      </c>
      <c r="C449" s="43">
        <v>73.569999999999993</v>
      </c>
      <c r="D449" s="43">
        <v>69.349999999999994</v>
      </c>
      <c r="E449" s="43">
        <v>0</v>
      </c>
    </row>
    <row r="450" spans="1:5">
      <c r="A450" s="20">
        <v>44406</v>
      </c>
      <c r="B450" s="43">
        <v>71.7</v>
      </c>
      <c r="C450" s="43">
        <v>74.42</v>
      </c>
      <c r="D450" s="43">
        <v>72.23</v>
      </c>
      <c r="E450" s="43">
        <v>0</v>
      </c>
    </row>
    <row r="451" spans="1:5">
      <c r="A451" s="20">
        <v>44407</v>
      </c>
      <c r="B451" s="43">
        <v>72.23</v>
      </c>
      <c r="C451" s="43">
        <v>74.98</v>
      </c>
      <c r="D451" s="43">
        <v>73.790000000000006</v>
      </c>
      <c r="E451" s="43">
        <v>0</v>
      </c>
    </row>
    <row r="452" spans="1:5">
      <c r="A452" s="20">
        <v>44410</v>
      </c>
      <c r="B452" s="43">
        <v>72.28</v>
      </c>
      <c r="C452" s="43">
        <v>73.89</v>
      </c>
      <c r="D452" s="43">
        <v>74.099999999999994</v>
      </c>
      <c r="E452" s="43">
        <v>54.47</v>
      </c>
    </row>
    <row r="453" spans="1:5">
      <c r="A453" s="20">
        <v>44411</v>
      </c>
      <c r="B453" s="43">
        <v>72.239999999999995</v>
      </c>
      <c r="C453" s="43">
        <v>72.709999999999994</v>
      </c>
      <c r="D453" s="43">
        <v>74.5</v>
      </c>
      <c r="E453" s="43">
        <v>0</v>
      </c>
    </row>
    <row r="454" spans="1:5">
      <c r="A454" s="20">
        <v>44412</v>
      </c>
      <c r="B454" s="43">
        <v>72.19</v>
      </c>
      <c r="C454" s="43">
        <v>71.83</v>
      </c>
      <c r="D454" s="43">
        <v>74.48</v>
      </c>
      <c r="E454" s="43">
        <v>0</v>
      </c>
    </row>
    <row r="455" spans="1:5">
      <c r="A455" s="20">
        <v>44413</v>
      </c>
      <c r="B455" s="43">
        <v>72.3</v>
      </c>
      <c r="C455" s="43">
        <v>70.34</v>
      </c>
      <c r="D455" s="43">
        <v>74.739999999999995</v>
      </c>
      <c r="E455" s="43">
        <v>0</v>
      </c>
    </row>
    <row r="456" spans="1:5">
      <c r="A456" s="20">
        <v>44414</v>
      </c>
      <c r="B456" s="43">
        <v>72.41</v>
      </c>
      <c r="C456" s="43">
        <v>71.3</v>
      </c>
      <c r="D456" s="43">
        <v>76.05</v>
      </c>
      <c r="E456" s="43">
        <v>0</v>
      </c>
    </row>
    <row r="457" spans="1:5">
      <c r="A457" s="20">
        <v>44417</v>
      </c>
      <c r="B457" s="43">
        <v>72.430000000000007</v>
      </c>
      <c r="C457" s="43">
        <v>70.66</v>
      </c>
      <c r="D457" s="43">
        <v>76.33</v>
      </c>
      <c r="E457" s="43">
        <v>0</v>
      </c>
    </row>
    <row r="458" spans="1:5">
      <c r="A458" s="20">
        <v>44418</v>
      </c>
      <c r="B458" s="43">
        <v>71.05</v>
      </c>
      <c r="C458" s="43">
        <v>70.13</v>
      </c>
      <c r="D458" s="43">
        <v>72.89</v>
      </c>
      <c r="E458" s="43">
        <v>0</v>
      </c>
    </row>
    <row r="459" spans="1:5">
      <c r="A459" s="20">
        <v>44419</v>
      </c>
      <c r="B459" s="43">
        <v>70.42</v>
      </c>
      <c r="C459" s="43">
        <v>70.52</v>
      </c>
      <c r="D459" s="43">
        <v>72.41</v>
      </c>
      <c r="E459" s="43">
        <v>0</v>
      </c>
    </row>
    <row r="460" spans="1:5">
      <c r="A460" s="20">
        <v>44420</v>
      </c>
      <c r="B460" s="43">
        <v>68.290000000000006</v>
      </c>
      <c r="C460" s="43">
        <v>71.319999999999993</v>
      </c>
      <c r="D460" s="43">
        <v>70.38</v>
      </c>
      <c r="E460" s="43">
        <v>0</v>
      </c>
    </row>
    <row r="461" spans="1:5">
      <c r="A461" s="20">
        <v>44421</v>
      </c>
      <c r="B461" s="43">
        <v>69.099999999999994</v>
      </c>
      <c r="C461" s="43">
        <v>70.900000000000006</v>
      </c>
      <c r="D461" s="43">
        <v>71.290000000000006</v>
      </c>
      <c r="E461" s="43">
        <v>0</v>
      </c>
    </row>
    <row r="462" spans="1:5">
      <c r="A462" s="20">
        <v>44424</v>
      </c>
      <c r="B462" s="43">
        <v>68.489999999999995</v>
      </c>
      <c r="C462" s="43">
        <v>69.650000000000006</v>
      </c>
      <c r="D462" s="43">
        <v>70.7</v>
      </c>
      <c r="E462" s="43">
        <v>0</v>
      </c>
    </row>
    <row r="463" spans="1:5">
      <c r="A463" s="20">
        <v>44425</v>
      </c>
      <c r="B463" s="43">
        <v>67.099999999999994</v>
      </c>
      <c r="C463" s="43">
        <v>69.400000000000006</v>
      </c>
      <c r="D463" s="43">
        <v>69.040000000000006</v>
      </c>
      <c r="E463" s="43">
        <v>0</v>
      </c>
    </row>
    <row r="464" spans="1:5">
      <c r="A464" s="20">
        <v>44426</v>
      </c>
      <c r="B464" s="43">
        <v>68.400000000000006</v>
      </c>
      <c r="C464" s="43">
        <v>69.319999999999993</v>
      </c>
      <c r="D464" s="43">
        <v>70.63</v>
      </c>
      <c r="E464" s="43">
        <v>0</v>
      </c>
    </row>
    <row r="465" spans="1:5">
      <c r="A465" s="20">
        <v>44427</v>
      </c>
      <c r="B465" s="43">
        <v>69.06</v>
      </c>
      <c r="C465" s="43">
        <v>66.08</v>
      </c>
      <c r="D465" s="43">
        <v>71.44</v>
      </c>
      <c r="E465" s="43">
        <v>0</v>
      </c>
    </row>
    <row r="466" spans="1:5">
      <c r="A466" s="20">
        <v>44428</v>
      </c>
      <c r="B466" s="43">
        <v>68.97</v>
      </c>
      <c r="C466" s="43">
        <v>66.13</v>
      </c>
      <c r="D466" s="43">
        <v>71.31</v>
      </c>
      <c r="E466" s="43">
        <v>0</v>
      </c>
    </row>
    <row r="467" spans="1:5">
      <c r="A467" s="20">
        <v>44431</v>
      </c>
      <c r="B467" s="43">
        <v>68.569999999999993</v>
      </c>
      <c r="C467" s="43">
        <v>67.33</v>
      </c>
      <c r="D467" s="43">
        <v>70.59</v>
      </c>
      <c r="E467" s="43">
        <v>0</v>
      </c>
    </row>
    <row r="468" spans="1:5">
      <c r="A468" s="20">
        <v>44432</v>
      </c>
      <c r="B468" s="43">
        <v>67.94</v>
      </c>
      <c r="C468" s="43">
        <v>69.709999999999994</v>
      </c>
      <c r="D468" s="43">
        <v>69.510000000000005</v>
      </c>
      <c r="E468" s="43">
        <v>0</v>
      </c>
    </row>
    <row r="469" spans="1:5">
      <c r="A469" s="20">
        <v>44433</v>
      </c>
      <c r="B469" s="43">
        <v>67.59</v>
      </c>
      <c r="C469" s="43">
        <v>70.59</v>
      </c>
      <c r="D469" s="43">
        <v>69.03</v>
      </c>
      <c r="E469" s="43">
        <v>0</v>
      </c>
    </row>
    <row r="470" spans="1:5">
      <c r="A470" s="20">
        <v>44434</v>
      </c>
      <c r="B470" s="43">
        <v>67.069999999999993</v>
      </c>
      <c r="C470" s="43">
        <v>70.75</v>
      </c>
      <c r="D470" s="43">
        <v>68.23</v>
      </c>
      <c r="E470" s="43">
        <v>0</v>
      </c>
    </row>
    <row r="471" spans="1:5">
      <c r="A471" s="20">
        <v>44435</v>
      </c>
      <c r="B471" s="43">
        <v>66.37</v>
      </c>
      <c r="C471" s="43">
        <v>71.48</v>
      </c>
      <c r="D471" s="43">
        <v>66.45</v>
      </c>
      <c r="E471" s="43">
        <v>0</v>
      </c>
    </row>
    <row r="472" spans="1:5">
      <c r="A472" s="20">
        <v>44438</v>
      </c>
      <c r="B472" s="43">
        <v>65.87</v>
      </c>
      <c r="C472" s="43">
        <v>71.88</v>
      </c>
      <c r="D472" s="43">
        <v>65.180000000000007</v>
      </c>
      <c r="E472" s="43">
        <v>0</v>
      </c>
    </row>
    <row r="473" spans="1:5">
      <c r="A473" s="20">
        <v>44439</v>
      </c>
      <c r="B473" s="43">
        <v>66.989999999999995</v>
      </c>
      <c r="C473" s="43">
        <v>71.430000000000007</v>
      </c>
      <c r="D473" s="43">
        <v>68.75</v>
      </c>
      <c r="E473" s="43">
        <v>0</v>
      </c>
    </row>
    <row r="474" spans="1:5">
      <c r="A474" s="20">
        <v>44440</v>
      </c>
      <c r="B474" s="43">
        <v>67.510000000000005</v>
      </c>
      <c r="C474" s="43">
        <v>71.25</v>
      </c>
      <c r="D474" s="43">
        <v>71.05</v>
      </c>
      <c r="E474" s="43">
        <v>58.02</v>
      </c>
    </row>
    <row r="475" spans="1:5">
      <c r="A475" s="20">
        <v>44441</v>
      </c>
      <c r="B475" s="43">
        <v>67.69</v>
      </c>
      <c r="C475" s="43">
        <v>71.63</v>
      </c>
      <c r="D475" s="43">
        <v>72.25</v>
      </c>
      <c r="E475" s="43">
        <v>0</v>
      </c>
    </row>
    <row r="476" spans="1:5">
      <c r="A476" s="20">
        <v>44442</v>
      </c>
      <c r="B476" s="43">
        <v>67.52</v>
      </c>
      <c r="C476" s="43">
        <v>72.56</v>
      </c>
      <c r="D476" s="43">
        <v>71.069999999999993</v>
      </c>
      <c r="E476" s="43">
        <v>0</v>
      </c>
    </row>
    <row r="477" spans="1:5">
      <c r="A477" s="20">
        <v>44445</v>
      </c>
      <c r="B477" s="43">
        <v>67.7</v>
      </c>
      <c r="C477" s="43">
        <v>71.290000000000006</v>
      </c>
      <c r="D477" s="43">
        <v>72.7</v>
      </c>
      <c r="E477" s="43">
        <v>0</v>
      </c>
    </row>
    <row r="478" spans="1:5">
      <c r="A478" s="20">
        <v>44446</v>
      </c>
      <c r="B478" s="43">
        <v>67.739999999999995</v>
      </c>
      <c r="C478" s="43">
        <v>71.34</v>
      </c>
      <c r="D478" s="43">
        <v>73.41</v>
      </c>
      <c r="E478" s="43">
        <v>0</v>
      </c>
    </row>
    <row r="479" spans="1:5">
      <c r="A479" s="20">
        <v>44447</v>
      </c>
      <c r="B479" s="43">
        <v>67.709999999999994</v>
      </c>
      <c r="C479" s="43">
        <v>71.17</v>
      </c>
      <c r="D479" s="43">
        <v>72.989999999999995</v>
      </c>
      <c r="E479" s="43">
        <v>0</v>
      </c>
    </row>
    <row r="480" spans="1:5">
      <c r="A480" s="20">
        <v>44448</v>
      </c>
      <c r="B480" s="43">
        <v>68.5</v>
      </c>
      <c r="C480" s="43">
        <v>71.819999999999993</v>
      </c>
      <c r="D480" s="43">
        <v>71.59</v>
      </c>
      <c r="E480" s="43">
        <v>0</v>
      </c>
    </row>
    <row r="481" spans="1:5">
      <c r="A481" s="20">
        <v>44449</v>
      </c>
      <c r="B481" s="43">
        <v>69.84</v>
      </c>
      <c r="C481" s="43">
        <v>71.98</v>
      </c>
      <c r="D481" s="43">
        <v>73.03</v>
      </c>
      <c r="E481" s="43">
        <v>0</v>
      </c>
    </row>
    <row r="482" spans="1:5">
      <c r="A482" s="20">
        <v>44452</v>
      </c>
      <c r="B482" s="43">
        <v>69.22</v>
      </c>
      <c r="C482" s="43">
        <v>72.77</v>
      </c>
      <c r="D482" s="43">
        <v>72.61</v>
      </c>
      <c r="E482" s="43">
        <v>0</v>
      </c>
    </row>
    <row r="483" spans="1:5">
      <c r="A483" s="20">
        <v>44453</v>
      </c>
      <c r="B483" s="43">
        <v>68.41</v>
      </c>
      <c r="C483" s="43">
        <v>73.290000000000006</v>
      </c>
      <c r="D483" s="43">
        <v>71.69</v>
      </c>
      <c r="E483" s="43">
        <v>0</v>
      </c>
    </row>
    <row r="484" spans="1:5">
      <c r="A484" s="20">
        <v>44454</v>
      </c>
      <c r="B484" s="43">
        <v>69.17</v>
      </c>
      <c r="C484" s="43">
        <v>73.78</v>
      </c>
      <c r="D484" s="43">
        <v>72.599999999999994</v>
      </c>
      <c r="E484" s="43">
        <v>0</v>
      </c>
    </row>
    <row r="485" spans="1:5">
      <c r="A485" s="20">
        <v>44455</v>
      </c>
      <c r="B485" s="43">
        <v>68.3</v>
      </c>
      <c r="C485" s="43">
        <v>74.17</v>
      </c>
      <c r="D485" s="43">
        <v>71.45</v>
      </c>
      <c r="E485" s="43">
        <v>0</v>
      </c>
    </row>
    <row r="486" spans="1:5">
      <c r="A486" s="20">
        <v>44456</v>
      </c>
      <c r="B486" s="43">
        <v>69.41</v>
      </c>
      <c r="C486" s="43">
        <v>74.14</v>
      </c>
      <c r="D486" s="43">
        <v>72.92</v>
      </c>
      <c r="E486" s="43">
        <v>0</v>
      </c>
    </row>
    <row r="487" spans="1:5">
      <c r="A487" s="20">
        <v>44459</v>
      </c>
      <c r="B487" s="43">
        <v>69.900000000000006</v>
      </c>
      <c r="C487" s="43">
        <v>73.47</v>
      </c>
      <c r="D487" s="43">
        <v>73.510000000000005</v>
      </c>
      <c r="E487" s="43">
        <v>0</v>
      </c>
    </row>
    <row r="488" spans="1:5">
      <c r="A488" s="20">
        <v>44460</v>
      </c>
      <c r="B488" s="43">
        <v>69.91</v>
      </c>
      <c r="C488" s="43">
        <v>73.680000000000007</v>
      </c>
      <c r="D488" s="43">
        <v>73.599999999999994</v>
      </c>
      <c r="E488" s="43">
        <v>0</v>
      </c>
    </row>
    <row r="489" spans="1:5">
      <c r="A489" s="20">
        <v>44461</v>
      </c>
      <c r="B489" s="43">
        <v>71.13</v>
      </c>
      <c r="C489" s="43">
        <v>74.459999999999994</v>
      </c>
      <c r="D489" s="43">
        <v>75.459999999999994</v>
      </c>
      <c r="E489" s="43">
        <v>0</v>
      </c>
    </row>
    <row r="490" spans="1:5">
      <c r="A490" s="20">
        <v>44462</v>
      </c>
      <c r="B490" s="43">
        <v>71.14</v>
      </c>
      <c r="C490" s="43">
        <v>75.44</v>
      </c>
      <c r="D490" s="43">
        <v>75.67</v>
      </c>
      <c r="E490" s="43">
        <v>0</v>
      </c>
    </row>
    <row r="491" spans="1:5">
      <c r="A491" s="20">
        <v>44463</v>
      </c>
      <c r="B491" s="43">
        <v>70.86</v>
      </c>
      <c r="C491" s="43">
        <v>76.209999999999994</v>
      </c>
      <c r="D491" s="43">
        <v>75.34</v>
      </c>
      <c r="E491" s="43">
        <v>0</v>
      </c>
    </row>
    <row r="492" spans="1:5">
      <c r="A492" s="20">
        <v>44466</v>
      </c>
      <c r="B492" s="43">
        <v>70.14</v>
      </c>
      <c r="C492" s="43">
        <v>77.73</v>
      </c>
      <c r="D492" s="43">
        <v>73.92</v>
      </c>
      <c r="E492" s="43">
        <v>0</v>
      </c>
    </row>
    <row r="493" spans="1:5">
      <c r="A493" s="20">
        <v>44467</v>
      </c>
      <c r="B493" s="43">
        <v>70.27</v>
      </c>
      <c r="C493" s="43">
        <v>78.37</v>
      </c>
      <c r="D493" s="43">
        <v>74.36</v>
      </c>
      <c r="E493" s="43">
        <v>0</v>
      </c>
    </row>
    <row r="494" spans="1:5">
      <c r="A494" s="20">
        <v>44468</v>
      </c>
      <c r="B494" s="43">
        <v>70.849999999999994</v>
      </c>
      <c r="C494" s="43">
        <v>77.13</v>
      </c>
      <c r="D494" s="43">
        <v>76.19</v>
      </c>
      <c r="E494" s="43">
        <v>0</v>
      </c>
    </row>
    <row r="495" spans="1:5">
      <c r="A495" s="20">
        <v>44469</v>
      </c>
      <c r="B495" s="43">
        <v>71.16</v>
      </c>
      <c r="C495" s="43">
        <v>77.72</v>
      </c>
      <c r="D495" s="43">
        <v>77.25</v>
      </c>
      <c r="E495" s="43">
        <v>0</v>
      </c>
    </row>
    <row r="496" spans="1:5">
      <c r="A496" s="20">
        <v>44470</v>
      </c>
      <c r="B496" s="43">
        <v>71.319999999999993</v>
      </c>
      <c r="C496" s="43">
        <v>76.36</v>
      </c>
      <c r="D496" s="43">
        <v>78.09</v>
      </c>
      <c r="E496" s="43">
        <v>69.3</v>
      </c>
    </row>
    <row r="497" spans="1:5">
      <c r="A497" s="20">
        <v>44473</v>
      </c>
      <c r="B497" s="43">
        <v>71.599999999999994</v>
      </c>
      <c r="C497" s="43">
        <v>78.260000000000005</v>
      </c>
      <c r="D497" s="43">
        <v>79.53</v>
      </c>
      <c r="E497" s="43">
        <v>0</v>
      </c>
    </row>
    <row r="498" spans="1:5">
      <c r="A498" s="20">
        <v>44474</v>
      </c>
      <c r="B498" s="43">
        <v>71.58</v>
      </c>
      <c r="C498" s="43">
        <v>80.44</v>
      </c>
      <c r="D498" s="43">
        <v>79.09</v>
      </c>
      <c r="E498" s="43">
        <v>0</v>
      </c>
    </row>
    <row r="499" spans="1:5">
      <c r="A499" s="20">
        <v>44475</v>
      </c>
      <c r="B499" s="43">
        <v>71.540000000000006</v>
      </c>
      <c r="C499" s="43">
        <v>80.63</v>
      </c>
      <c r="D499" s="43">
        <v>78.64</v>
      </c>
      <c r="E499" s="43">
        <v>0</v>
      </c>
    </row>
    <row r="500" spans="1:5">
      <c r="A500" s="20">
        <v>44476</v>
      </c>
      <c r="B500" s="43">
        <v>71.13</v>
      </c>
      <c r="C500" s="43">
        <v>78.58</v>
      </c>
      <c r="D500" s="43">
        <v>78.52</v>
      </c>
      <c r="E500" s="43">
        <v>0</v>
      </c>
    </row>
    <row r="501" spans="1:5">
      <c r="A501" s="20">
        <v>44477</v>
      </c>
      <c r="B501" s="43">
        <v>75.78</v>
      </c>
      <c r="C501" s="43">
        <v>81.540000000000006</v>
      </c>
      <c r="D501" s="43">
        <v>79.28</v>
      </c>
      <c r="E501" s="43">
        <v>0</v>
      </c>
    </row>
    <row r="502" spans="1:5">
      <c r="A502" s="20">
        <v>44480</v>
      </c>
      <c r="B502" s="43">
        <v>77.44</v>
      </c>
      <c r="C502" s="43">
        <v>82.53</v>
      </c>
      <c r="D502" s="43">
        <v>81.260000000000005</v>
      </c>
      <c r="E502" s="43">
        <v>0</v>
      </c>
    </row>
    <row r="503" spans="1:5">
      <c r="A503" s="20">
        <v>44481</v>
      </c>
      <c r="B503" s="43">
        <v>78.599999999999994</v>
      </c>
      <c r="C503" s="43">
        <v>82.37</v>
      </c>
      <c r="D503" s="43">
        <v>82.56</v>
      </c>
      <c r="E503" s="43">
        <v>0</v>
      </c>
    </row>
    <row r="504" spans="1:5">
      <c r="A504" s="20">
        <v>44482</v>
      </c>
      <c r="B504" s="43">
        <v>77.31</v>
      </c>
      <c r="C504" s="43">
        <v>81.790000000000006</v>
      </c>
      <c r="D504" s="43">
        <v>81.08</v>
      </c>
      <c r="E504" s="43">
        <v>0</v>
      </c>
    </row>
    <row r="505" spans="1:5">
      <c r="A505" s="20">
        <v>44483</v>
      </c>
      <c r="B505" s="43">
        <v>78.03</v>
      </c>
      <c r="C505" s="43">
        <v>82.5</v>
      </c>
      <c r="D505" s="43">
        <v>81.95</v>
      </c>
      <c r="E505" s="43">
        <v>0</v>
      </c>
    </row>
    <row r="506" spans="1:5">
      <c r="A506" s="20">
        <v>44484</v>
      </c>
      <c r="B506" s="43">
        <v>78.739999999999995</v>
      </c>
      <c r="C506" s="43">
        <v>83.54</v>
      </c>
      <c r="D506" s="43">
        <v>82.39</v>
      </c>
      <c r="E506" s="43">
        <v>0</v>
      </c>
    </row>
    <row r="507" spans="1:5">
      <c r="A507" s="20">
        <v>44487</v>
      </c>
      <c r="B507" s="43">
        <v>79.58</v>
      </c>
      <c r="C507" s="43">
        <v>84.04</v>
      </c>
      <c r="D507" s="43">
        <v>83.65</v>
      </c>
      <c r="E507" s="43">
        <v>0</v>
      </c>
    </row>
    <row r="508" spans="1:5">
      <c r="A508" s="20">
        <v>44488</v>
      </c>
      <c r="B508" s="43">
        <v>79.62</v>
      </c>
      <c r="C508" s="43">
        <v>83.48</v>
      </c>
      <c r="D508" s="43">
        <v>83.42</v>
      </c>
      <c r="E508" s="43">
        <v>0</v>
      </c>
    </row>
    <row r="509" spans="1:5">
      <c r="A509" s="20">
        <v>44489</v>
      </c>
      <c r="B509" s="43">
        <v>79.53</v>
      </c>
      <c r="C509" s="43">
        <v>83.3</v>
      </c>
      <c r="D509" s="43">
        <v>83.18</v>
      </c>
      <c r="E509" s="43">
        <v>0</v>
      </c>
    </row>
    <row r="510" spans="1:5">
      <c r="A510" s="20">
        <v>44490</v>
      </c>
      <c r="B510" s="43">
        <v>80.05</v>
      </c>
      <c r="C510" s="43">
        <v>83.36</v>
      </c>
      <c r="D510" s="43">
        <v>84</v>
      </c>
      <c r="E510" s="43">
        <v>0</v>
      </c>
    </row>
    <row r="511" spans="1:5">
      <c r="A511" s="20">
        <v>44491</v>
      </c>
      <c r="B511" s="43">
        <v>80.55</v>
      </c>
      <c r="C511" s="43">
        <v>83.4</v>
      </c>
      <c r="D511" s="43">
        <v>84.86</v>
      </c>
      <c r="E511" s="43">
        <v>0</v>
      </c>
    </row>
    <row r="512" spans="1:5">
      <c r="A512" s="20">
        <v>44494</v>
      </c>
      <c r="B512" s="43">
        <v>80.56</v>
      </c>
      <c r="C512" s="43">
        <v>84.66</v>
      </c>
      <c r="D512" s="43">
        <v>84.33</v>
      </c>
      <c r="E512" s="43">
        <v>0</v>
      </c>
    </row>
    <row r="513" spans="1:5">
      <c r="A513" s="20">
        <v>44495</v>
      </c>
      <c r="B513" s="43">
        <v>80.86</v>
      </c>
      <c r="C513" s="43">
        <v>84.52</v>
      </c>
      <c r="D513" s="43">
        <v>85.08</v>
      </c>
      <c r="E513" s="43">
        <v>0</v>
      </c>
    </row>
    <row r="514" spans="1:5">
      <c r="A514" s="20">
        <v>44496</v>
      </c>
      <c r="B514" s="43">
        <v>81.23</v>
      </c>
      <c r="C514" s="43">
        <v>83.72</v>
      </c>
      <c r="D514" s="43">
        <v>85.82</v>
      </c>
      <c r="E514" s="43">
        <v>0</v>
      </c>
    </row>
    <row r="515" spans="1:5">
      <c r="A515" s="20">
        <v>44497</v>
      </c>
      <c r="B515" s="43">
        <v>80.930000000000007</v>
      </c>
      <c r="C515" s="43">
        <v>82.41</v>
      </c>
      <c r="D515" s="43">
        <v>84.61</v>
      </c>
      <c r="E515" s="43">
        <v>0</v>
      </c>
    </row>
    <row r="516" spans="1:5">
      <c r="A516" s="20">
        <v>44498</v>
      </c>
      <c r="B516" s="43">
        <v>81.290000000000006</v>
      </c>
      <c r="C516" s="43">
        <v>82.87</v>
      </c>
      <c r="D516" s="43">
        <v>85.53</v>
      </c>
      <c r="E516" s="43">
        <v>0</v>
      </c>
    </row>
    <row r="517" spans="1:5">
      <c r="A517" s="20">
        <v>44501</v>
      </c>
      <c r="B517" s="43">
        <v>72.17</v>
      </c>
      <c r="C517" s="43">
        <v>82.55</v>
      </c>
      <c r="D517" s="43">
        <v>85.99</v>
      </c>
      <c r="E517" s="43">
        <v>65.25</v>
      </c>
    </row>
    <row r="518" spans="1:5">
      <c r="A518" s="20">
        <v>44502</v>
      </c>
      <c r="B518" s="43">
        <v>81.459999999999994</v>
      </c>
      <c r="C518" s="43">
        <v>83.43</v>
      </c>
      <c r="D518" s="43">
        <v>86.4</v>
      </c>
      <c r="E518" s="43">
        <v>0</v>
      </c>
    </row>
    <row r="519" spans="1:5">
      <c r="A519" s="20">
        <v>44503</v>
      </c>
      <c r="B519" s="43">
        <v>81.17</v>
      </c>
      <c r="C519" s="43">
        <v>81.64</v>
      </c>
      <c r="D519" s="43">
        <v>84.58</v>
      </c>
      <c r="E519" s="43">
        <v>0</v>
      </c>
    </row>
    <row r="520" spans="1:5">
      <c r="A520" s="20">
        <v>44504</v>
      </c>
      <c r="B520" s="43">
        <v>81.19</v>
      </c>
      <c r="C520" s="43">
        <v>81.48</v>
      </c>
      <c r="D520" s="43">
        <v>84.32</v>
      </c>
      <c r="E520" s="43">
        <v>0</v>
      </c>
    </row>
    <row r="521" spans="1:5">
      <c r="A521" s="20">
        <v>44505</v>
      </c>
      <c r="B521" s="43">
        <v>81.22</v>
      </c>
      <c r="C521" s="43">
        <v>80.16</v>
      </c>
      <c r="D521" s="43">
        <v>84.38</v>
      </c>
      <c r="E521" s="43">
        <v>0</v>
      </c>
    </row>
    <row r="522" spans="1:5">
      <c r="A522" s="20">
        <v>44508</v>
      </c>
      <c r="B522" s="43">
        <v>83.59</v>
      </c>
      <c r="C522" s="43">
        <v>82.39</v>
      </c>
      <c r="D522" s="43">
        <v>84.71</v>
      </c>
      <c r="E522" s="43">
        <v>0</v>
      </c>
    </row>
    <row r="523" spans="1:5">
      <c r="A523" s="20">
        <v>44509</v>
      </c>
      <c r="B523" s="43">
        <v>83.5</v>
      </c>
      <c r="C523" s="43">
        <v>82.7</v>
      </c>
      <c r="D523" s="43">
        <v>84.72</v>
      </c>
      <c r="E523" s="43">
        <v>0</v>
      </c>
    </row>
    <row r="524" spans="1:5">
      <c r="A524" s="20">
        <v>44510</v>
      </c>
      <c r="B524" s="43">
        <v>80.790000000000006</v>
      </c>
      <c r="C524" s="43">
        <v>83.75</v>
      </c>
      <c r="D524" s="43">
        <v>81.99</v>
      </c>
      <c r="E524" s="43">
        <v>0</v>
      </c>
    </row>
    <row r="525" spans="1:5">
      <c r="A525" s="20">
        <v>44511</v>
      </c>
      <c r="B525" s="43">
        <v>79.08</v>
      </c>
      <c r="C525" s="43">
        <v>81.99</v>
      </c>
      <c r="D525" s="43">
        <v>80.540000000000006</v>
      </c>
      <c r="E525" s="43">
        <v>0</v>
      </c>
    </row>
    <row r="526" spans="1:5">
      <c r="A526" s="20">
        <v>44512</v>
      </c>
      <c r="B526" s="43">
        <v>81.069999999999993</v>
      </c>
      <c r="C526" s="43">
        <v>81.7</v>
      </c>
      <c r="D526" s="43">
        <v>82.74</v>
      </c>
      <c r="E526" s="43">
        <v>0</v>
      </c>
    </row>
    <row r="527" spans="1:5">
      <c r="A527" s="20">
        <v>44515</v>
      </c>
      <c r="B527" s="43">
        <v>81.55</v>
      </c>
      <c r="C527" s="43">
        <v>80.900000000000006</v>
      </c>
      <c r="D527" s="43">
        <v>83.43</v>
      </c>
      <c r="E527" s="43">
        <v>0</v>
      </c>
    </row>
    <row r="528" spans="1:5">
      <c r="A528" s="20">
        <v>44516</v>
      </c>
      <c r="B528" s="43">
        <v>83.03</v>
      </c>
      <c r="C528" s="43">
        <v>82.01</v>
      </c>
      <c r="D528" s="43">
        <v>84.78</v>
      </c>
      <c r="E528" s="43">
        <v>0</v>
      </c>
    </row>
    <row r="529" spans="1:5">
      <c r="A529" s="20">
        <v>44517</v>
      </c>
      <c r="B529" s="43">
        <v>81.239999999999995</v>
      </c>
      <c r="C529" s="43">
        <v>81.099999999999994</v>
      </c>
      <c r="D529" s="43">
        <v>82.64</v>
      </c>
      <c r="E529" s="43">
        <v>0</v>
      </c>
    </row>
    <row r="530" spans="1:5">
      <c r="A530" s="20">
        <v>44518</v>
      </c>
      <c r="B530" s="43">
        <v>81.430000000000007</v>
      </c>
      <c r="C530" s="43">
        <v>79.37</v>
      </c>
      <c r="D530" s="43">
        <v>82.87</v>
      </c>
      <c r="E530" s="43">
        <v>0</v>
      </c>
    </row>
    <row r="531" spans="1:5">
      <c r="A531" s="20">
        <v>44519</v>
      </c>
      <c r="B531" s="43">
        <v>80.989999999999995</v>
      </c>
      <c r="C531" s="43">
        <v>80.319999999999993</v>
      </c>
      <c r="D531" s="43">
        <v>82.17</v>
      </c>
      <c r="E531" s="43">
        <v>0</v>
      </c>
    </row>
    <row r="532" spans="1:5">
      <c r="A532" s="20">
        <v>44522</v>
      </c>
      <c r="B532" s="43">
        <v>81.03</v>
      </c>
      <c r="C532" s="43">
        <v>78.900000000000006</v>
      </c>
      <c r="D532" s="43">
        <v>82.05</v>
      </c>
      <c r="E532" s="43">
        <v>0</v>
      </c>
    </row>
    <row r="533" spans="1:5">
      <c r="A533" s="20">
        <v>44523</v>
      </c>
      <c r="B533" s="43">
        <v>81</v>
      </c>
      <c r="C533" s="43">
        <v>79.400000000000006</v>
      </c>
      <c r="D533" s="43">
        <v>82.43</v>
      </c>
      <c r="E533" s="43">
        <v>0</v>
      </c>
    </row>
    <row r="534" spans="1:5">
      <c r="A534" s="20">
        <v>44524</v>
      </c>
      <c r="B534" s="43">
        <v>80.03</v>
      </c>
      <c r="C534" s="43">
        <v>81.75</v>
      </c>
      <c r="D534" s="43">
        <v>80.28</v>
      </c>
      <c r="E534" s="43">
        <v>0</v>
      </c>
    </row>
    <row r="535" spans="1:5">
      <c r="A535" s="20">
        <v>44525</v>
      </c>
      <c r="B535" s="43">
        <v>80.34</v>
      </c>
      <c r="C535" s="43">
        <v>81.31</v>
      </c>
      <c r="D535" s="43">
        <v>81.239999999999995</v>
      </c>
      <c r="E535" s="43">
        <v>0</v>
      </c>
    </row>
    <row r="536" spans="1:5">
      <c r="A536" s="20">
        <v>44526</v>
      </c>
      <c r="B536" s="43">
        <v>79.5</v>
      </c>
      <c r="C536" s="43">
        <v>76.09</v>
      </c>
      <c r="D536" s="43">
        <v>78.89</v>
      </c>
      <c r="E536" s="43">
        <v>0</v>
      </c>
    </row>
    <row r="537" spans="1:5">
      <c r="A537" s="20">
        <v>44529</v>
      </c>
      <c r="B537" s="43">
        <v>79.73</v>
      </c>
      <c r="C537" s="43">
        <v>74.2</v>
      </c>
      <c r="D537" s="43">
        <v>79.7</v>
      </c>
      <c r="E537" s="43">
        <v>0</v>
      </c>
    </row>
    <row r="538" spans="1:5">
      <c r="A538" s="20">
        <v>44530</v>
      </c>
      <c r="B538" s="43">
        <v>80.150000000000006</v>
      </c>
      <c r="C538" s="43">
        <v>71.010000000000005</v>
      </c>
      <c r="D538" s="43">
        <v>82.31</v>
      </c>
      <c r="E538" s="43">
        <v>0</v>
      </c>
    </row>
    <row r="539" spans="1:5">
      <c r="A539" s="20">
        <v>44531</v>
      </c>
      <c r="B539" s="43">
        <v>80.12</v>
      </c>
      <c r="C539" s="43">
        <v>71.67</v>
      </c>
      <c r="D539" s="43">
        <v>82.25</v>
      </c>
      <c r="E539" s="43">
        <v>53.1</v>
      </c>
    </row>
    <row r="540" spans="1:5">
      <c r="A540" s="20">
        <v>44532</v>
      </c>
      <c r="B540" s="43">
        <v>78.66</v>
      </c>
      <c r="C540" s="43">
        <v>70.069999999999993</v>
      </c>
      <c r="D540" s="43">
        <v>72.72</v>
      </c>
      <c r="E540" s="43">
        <v>0</v>
      </c>
    </row>
    <row r="541" spans="1:5">
      <c r="A541" s="20">
        <v>44533</v>
      </c>
      <c r="B541" s="43">
        <v>78.83</v>
      </c>
      <c r="C541" s="43">
        <v>71.650000000000006</v>
      </c>
      <c r="D541" s="43">
        <v>73.44</v>
      </c>
      <c r="E541" s="43">
        <v>0</v>
      </c>
    </row>
    <row r="542" spans="1:5">
      <c r="A542" s="20">
        <v>44536</v>
      </c>
      <c r="B542" s="43">
        <v>78.650000000000006</v>
      </c>
      <c r="C542" s="43">
        <v>71.45</v>
      </c>
      <c r="D542" s="43">
        <v>70.569999999999993</v>
      </c>
      <c r="E542" s="43">
        <v>0</v>
      </c>
    </row>
    <row r="543" spans="1:5">
      <c r="A543" s="20">
        <v>44537</v>
      </c>
      <c r="B543" s="43">
        <v>65.5</v>
      </c>
      <c r="C543" s="43">
        <v>74.650000000000006</v>
      </c>
      <c r="D543" s="43">
        <v>68.87</v>
      </c>
      <c r="E543" s="43">
        <v>0</v>
      </c>
    </row>
    <row r="544" spans="1:5">
      <c r="A544" s="20">
        <v>44538</v>
      </c>
      <c r="B544" s="43">
        <v>66.37</v>
      </c>
      <c r="C544" s="43">
        <v>75.13</v>
      </c>
      <c r="D544" s="43">
        <v>69.67</v>
      </c>
      <c r="E544" s="43">
        <v>0</v>
      </c>
    </row>
    <row r="545" spans="1:5">
      <c r="A545" s="20">
        <v>44539</v>
      </c>
      <c r="B545" s="43">
        <v>66.180000000000007</v>
      </c>
      <c r="C545" s="43">
        <v>75.41</v>
      </c>
      <c r="D545" s="43">
        <v>69.88</v>
      </c>
      <c r="E545" s="43">
        <v>0</v>
      </c>
    </row>
    <row r="546" spans="1:5">
      <c r="A546" s="20">
        <v>44540</v>
      </c>
      <c r="B546" s="43">
        <v>68.959999999999994</v>
      </c>
      <c r="C546" s="43">
        <v>74.069999999999993</v>
      </c>
      <c r="D546" s="43">
        <v>73.08</v>
      </c>
      <c r="E546" s="43">
        <v>0</v>
      </c>
    </row>
    <row r="547" spans="1:5">
      <c r="A547" s="20">
        <v>44543</v>
      </c>
      <c r="B547" s="43">
        <v>71.05</v>
      </c>
      <c r="C547" s="43">
        <v>75.040000000000006</v>
      </c>
      <c r="D547" s="43">
        <v>75.44</v>
      </c>
      <c r="E547" s="43">
        <v>0</v>
      </c>
    </row>
    <row r="548" spans="1:5">
      <c r="A548" s="20">
        <v>44544</v>
      </c>
      <c r="B548" s="43">
        <v>71.3</v>
      </c>
      <c r="C548" s="43">
        <v>74.28</v>
      </c>
      <c r="D548" s="43">
        <v>75.819999999999993</v>
      </c>
      <c r="E548" s="43">
        <v>0</v>
      </c>
    </row>
    <row r="549" spans="1:5">
      <c r="A549" s="20">
        <v>44545</v>
      </c>
      <c r="B549" s="43">
        <v>70.28</v>
      </c>
      <c r="C549" s="43">
        <v>73.12</v>
      </c>
      <c r="D549" s="43">
        <v>74.42</v>
      </c>
      <c r="E549" s="43">
        <v>0</v>
      </c>
    </row>
    <row r="550" spans="1:5">
      <c r="A550" s="20">
        <v>44546</v>
      </c>
      <c r="B550" s="43">
        <v>70.760000000000005</v>
      </c>
      <c r="C550" s="43">
        <v>74.66</v>
      </c>
      <c r="D550" s="43">
        <v>75.150000000000006</v>
      </c>
      <c r="E550" s="43">
        <v>0</v>
      </c>
    </row>
    <row r="551" spans="1:5">
      <c r="A551" s="20">
        <v>44547</v>
      </c>
      <c r="B551" s="43">
        <v>70.5</v>
      </c>
      <c r="C551" s="43">
        <v>74.23</v>
      </c>
      <c r="D551" s="43">
        <v>74.39</v>
      </c>
      <c r="E551" s="43">
        <v>0</v>
      </c>
    </row>
    <row r="552" spans="1:5">
      <c r="A552" s="20">
        <v>44550</v>
      </c>
      <c r="B552" s="43">
        <v>70.180000000000007</v>
      </c>
      <c r="C552" s="43">
        <v>70.94</v>
      </c>
      <c r="D552" s="43">
        <v>73.7</v>
      </c>
      <c r="E552" s="43">
        <v>0</v>
      </c>
    </row>
    <row r="553" spans="1:5">
      <c r="A553" s="20">
        <v>44551</v>
      </c>
      <c r="B553" s="43">
        <v>70.260000000000005</v>
      </c>
      <c r="C553" s="43">
        <v>72.180000000000007</v>
      </c>
      <c r="D553" s="43">
        <v>73.88</v>
      </c>
      <c r="E553" s="43">
        <v>0</v>
      </c>
    </row>
    <row r="554" spans="1:5">
      <c r="A554" s="20">
        <v>44552</v>
      </c>
      <c r="B554" s="43">
        <v>71</v>
      </c>
      <c r="C554" s="43">
        <v>73.989999999999995</v>
      </c>
      <c r="D554" s="43">
        <v>75.02</v>
      </c>
      <c r="E554" s="43">
        <v>0</v>
      </c>
    </row>
    <row r="555" spans="1:5">
      <c r="A555" s="20">
        <v>44553</v>
      </c>
      <c r="B555" s="43">
        <v>70.349999999999994</v>
      </c>
      <c r="C555" s="43">
        <v>75.16</v>
      </c>
      <c r="D555" s="43">
        <v>73.52</v>
      </c>
      <c r="E555" s="43">
        <v>0</v>
      </c>
    </row>
    <row r="556" spans="1:5">
      <c r="A556" s="20">
        <v>44554</v>
      </c>
      <c r="B556" s="43">
        <v>69.459999999999994</v>
      </c>
      <c r="C556" s="43">
        <v>75.5</v>
      </c>
      <c r="D556" s="43">
        <v>71.52</v>
      </c>
      <c r="E556" s="43">
        <v>0</v>
      </c>
    </row>
    <row r="557" spans="1:5">
      <c r="A557" s="20">
        <v>44557</v>
      </c>
      <c r="B557" s="43">
        <v>70.37</v>
      </c>
      <c r="C557" s="43">
        <v>75.63</v>
      </c>
      <c r="D557" s="43">
        <v>73.98</v>
      </c>
      <c r="E557" s="43">
        <v>0</v>
      </c>
    </row>
    <row r="558" spans="1:5">
      <c r="A558" s="20">
        <v>44558</v>
      </c>
      <c r="B558" s="43">
        <v>70.89</v>
      </c>
      <c r="C558" s="43">
        <v>77.39</v>
      </c>
      <c r="D558" s="43">
        <v>75.290000000000006</v>
      </c>
      <c r="E558" s="43">
        <v>0</v>
      </c>
    </row>
    <row r="559" spans="1:5">
      <c r="A559" s="20">
        <v>44559</v>
      </c>
      <c r="B559" s="43">
        <v>71.17</v>
      </c>
      <c r="C559" s="43">
        <v>78.17</v>
      </c>
      <c r="D559" s="43">
        <v>76.849999999999994</v>
      </c>
      <c r="E559" s="43">
        <v>0</v>
      </c>
    </row>
    <row r="560" spans="1:5">
      <c r="A560" s="20">
        <v>44560</v>
      </c>
      <c r="B560" s="43">
        <v>71.58</v>
      </c>
      <c r="C560" s="43">
        <v>78.33</v>
      </c>
      <c r="D560" s="43">
        <v>78.599999999999994</v>
      </c>
      <c r="E560" s="43">
        <v>0</v>
      </c>
    </row>
    <row r="561" spans="1:5">
      <c r="A561" s="20">
        <v>44561</v>
      </c>
      <c r="B561" s="43">
        <v>71.650000000000006</v>
      </c>
      <c r="C561" s="43">
        <v>77.97</v>
      </c>
      <c r="D561" s="43">
        <v>78.94</v>
      </c>
      <c r="E561" s="43">
        <v>0</v>
      </c>
    </row>
    <row r="562" spans="1:5">
      <c r="A562" s="20">
        <v>44564</v>
      </c>
      <c r="B562" s="43">
        <v>71.73</v>
      </c>
      <c r="C562" s="43">
        <v>77.86</v>
      </c>
      <c r="D562" s="43">
        <v>79.23</v>
      </c>
      <c r="E562" s="43">
        <v>65.25</v>
      </c>
    </row>
    <row r="563" spans="1:5">
      <c r="A563" s="20">
        <v>44565</v>
      </c>
      <c r="B563" s="43">
        <v>71.77</v>
      </c>
      <c r="C563" s="43">
        <v>78.78</v>
      </c>
      <c r="D563" s="43">
        <v>79.319999999999993</v>
      </c>
      <c r="E563" s="43">
        <v>0</v>
      </c>
    </row>
    <row r="564" spans="1:5">
      <c r="A564" s="20">
        <v>44566</v>
      </c>
      <c r="B564" s="43">
        <v>71.69</v>
      </c>
      <c r="C564" s="43">
        <v>79.92</v>
      </c>
      <c r="D564" s="43">
        <v>77.78</v>
      </c>
      <c r="E564" s="43">
        <v>0</v>
      </c>
    </row>
    <row r="565" spans="1:5">
      <c r="A565" s="20">
        <v>44567</v>
      </c>
      <c r="B565" s="43">
        <v>76</v>
      </c>
      <c r="C565" s="43">
        <v>80.650000000000006</v>
      </c>
      <c r="D565" s="43">
        <v>78.98</v>
      </c>
      <c r="E565" s="43">
        <v>0</v>
      </c>
    </row>
    <row r="566" spans="1:5">
      <c r="A566" s="20">
        <v>44568</v>
      </c>
      <c r="B566" s="43">
        <v>76.86</v>
      </c>
      <c r="C566" s="43">
        <v>82</v>
      </c>
      <c r="D566" s="43">
        <v>80</v>
      </c>
      <c r="E566" s="43">
        <v>0</v>
      </c>
    </row>
    <row r="567" spans="1:5">
      <c r="A567" s="20">
        <v>44571</v>
      </c>
      <c r="B567" s="43">
        <v>77.59</v>
      </c>
      <c r="C567" s="43">
        <v>81.599999999999994</v>
      </c>
      <c r="D567" s="43">
        <v>80.8</v>
      </c>
      <c r="E567" s="43">
        <v>0</v>
      </c>
    </row>
    <row r="568" spans="1:5">
      <c r="A568" s="20">
        <v>44572</v>
      </c>
      <c r="B568" s="43">
        <v>78.88</v>
      </c>
      <c r="C568" s="43">
        <v>81.97</v>
      </c>
      <c r="D568" s="43">
        <v>81.99</v>
      </c>
      <c r="E568" s="43">
        <v>0</v>
      </c>
    </row>
    <row r="569" spans="1:5">
      <c r="A569" s="20">
        <v>44573</v>
      </c>
      <c r="B569" s="43">
        <v>78.48</v>
      </c>
      <c r="C569" s="43">
        <v>84.19</v>
      </c>
      <c r="D569" s="43">
        <v>81.75</v>
      </c>
      <c r="E569" s="43">
        <v>0</v>
      </c>
    </row>
    <row r="570" spans="1:5">
      <c r="A570" s="20">
        <v>44574</v>
      </c>
      <c r="B570" s="43">
        <v>77.95</v>
      </c>
      <c r="C570" s="43">
        <v>84.56</v>
      </c>
      <c r="D570" s="43">
        <v>80.87</v>
      </c>
      <c r="E570" s="43">
        <v>0</v>
      </c>
    </row>
    <row r="571" spans="1:5">
      <c r="A571" s="20">
        <v>44575</v>
      </c>
      <c r="B571" s="43">
        <v>80.040000000000006</v>
      </c>
      <c r="C571" s="43">
        <v>85.3</v>
      </c>
      <c r="D571" s="43">
        <v>83.72</v>
      </c>
      <c r="E571" s="43">
        <v>0</v>
      </c>
    </row>
    <row r="572" spans="1:5">
      <c r="A572" s="20">
        <v>44578</v>
      </c>
      <c r="B572" s="43">
        <v>80.94</v>
      </c>
      <c r="C572" s="43">
        <v>86.38</v>
      </c>
      <c r="D572" s="43">
        <v>84.67</v>
      </c>
      <c r="E572" s="43">
        <v>0</v>
      </c>
    </row>
    <row r="573" spans="1:5">
      <c r="A573" s="20">
        <v>44579</v>
      </c>
      <c r="B573" s="43">
        <v>80.67</v>
      </c>
      <c r="C573" s="43">
        <v>87.93</v>
      </c>
      <c r="D573" s="43">
        <v>84.47</v>
      </c>
      <c r="E573" s="43">
        <v>0</v>
      </c>
    </row>
    <row r="574" spans="1:5">
      <c r="A574" s="20">
        <v>44580</v>
      </c>
      <c r="B574" s="43">
        <v>81.59</v>
      </c>
      <c r="C574" s="43">
        <v>88.33</v>
      </c>
      <c r="D574" s="43">
        <v>86.06</v>
      </c>
      <c r="E574" s="43">
        <v>0</v>
      </c>
    </row>
    <row r="575" spans="1:5">
      <c r="A575" s="20">
        <v>44581</v>
      </c>
      <c r="B575" s="43">
        <v>82.37</v>
      </c>
      <c r="C575" s="43">
        <v>88.39</v>
      </c>
      <c r="D575" s="43">
        <v>87.51</v>
      </c>
      <c r="E575" s="43">
        <v>0</v>
      </c>
    </row>
    <row r="576" spans="1:5">
      <c r="A576" s="20">
        <v>44582</v>
      </c>
      <c r="B576" s="43">
        <v>82.86</v>
      </c>
      <c r="C576" s="43">
        <v>87.3</v>
      </c>
      <c r="D576" s="43">
        <v>88.44</v>
      </c>
      <c r="E576" s="43">
        <v>0</v>
      </c>
    </row>
    <row r="577" spans="1:5">
      <c r="A577" s="20">
        <v>44585</v>
      </c>
      <c r="B577" s="43">
        <v>82.77</v>
      </c>
      <c r="C577" s="43">
        <v>87.83</v>
      </c>
      <c r="D577" s="43">
        <v>88.38</v>
      </c>
      <c r="E577" s="43">
        <v>0</v>
      </c>
    </row>
    <row r="578" spans="1:5">
      <c r="A578" s="20">
        <v>44586</v>
      </c>
      <c r="B578" s="43">
        <v>82.63</v>
      </c>
      <c r="C578" s="43">
        <v>87.19</v>
      </c>
      <c r="D578" s="43">
        <v>87.89</v>
      </c>
      <c r="E578" s="43">
        <v>0</v>
      </c>
    </row>
    <row r="579" spans="1:5">
      <c r="A579" s="20">
        <v>44587</v>
      </c>
      <c r="B579" s="43">
        <v>82.08</v>
      </c>
      <c r="C579" s="43">
        <v>89.18</v>
      </c>
      <c r="D579" s="43">
        <v>86.27</v>
      </c>
      <c r="E579" s="43">
        <v>0</v>
      </c>
    </row>
    <row r="580" spans="1:5">
      <c r="A580" s="20">
        <v>44588</v>
      </c>
      <c r="B580" s="43">
        <v>82.65</v>
      </c>
      <c r="C580" s="43">
        <v>90.04</v>
      </c>
      <c r="D580" s="43">
        <v>88.2</v>
      </c>
      <c r="E580" s="43">
        <v>0</v>
      </c>
    </row>
    <row r="581" spans="1:5">
      <c r="A581" s="20">
        <v>44589</v>
      </c>
      <c r="B581" s="43">
        <v>83</v>
      </c>
      <c r="C581" s="43">
        <v>89.97</v>
      </c>
      <c r="D581" s="43">
        <v>89.96</v>
      </c>
      <c r="E581" s="43">
        <v>0</v>
      </c>
    </row>
    <row r="582" spans="1:5">
      <c r="A582" s="20">
        <v>44592</v>
      </c>
      <c r="B582" s="43">
        <v>82.89</v>
      </c>
      <c r="C582" s="43">
        <v>90.73</v>
      </c>
      <c r="D582" s="43">
        <v>89.34</v>
      </c>
      <c r="E582" s="43">
        <v>0</v>
      </c>
    </row>
    <row r="583" spans="1:5">
      <c r="A583" s="20">
        <v>44593</v>
      </c>
      <c r="B583" s="43">
        <v>82.91</v>
      </c>
      <c r="C583" s="43">
        <v>90.22</v>
      </c>
      <c r="D583" s="43">
        <v>90.03</v>
      </c>
      <c r="E583" s="43">
        <v>0</v>
      </c>
    </row>
    <row r="584" spans="1:5">
      <c r="A584" s="20">
        <v>44594</v>
      </c>
      <c r="B584" s="43">
        <v>82.98</v>
      </c>
      <c r="C584" s="43">
        <v>89.94</v>
      </c>
      <c r="D584" s="43">
        <v>91.21</v>
      </c>
      <c r="E584" s="43">
        <v>0</v>
      </c>
    </row>
    <row r="585" spans="1:5">
      <c r="A585" s="20">
        <v>44595</v>
      </c>
      <c r="B585" s="43">
        <v>87.83</v>
      </c>
      <c r="C585" s="43">
        <v>89.73</v>
      </c>
      <c r="D585" s="43">
        <v>89.16</v>
      </c>
      <c r="E585" s="43">
        <v>79.099999999999994</v>
      </c>
    </row>
    <row r="586" spans="1:5">
      <c r="A586" s="20">
        <v>44596</v>
      </c>
      <c r="B586" s="43">
        <v>87.93</v>
      </c>
      <c r="C586" s="43">
        <v>92.59</v>
      </c>
      <c r="D586" s="43">
        <v>89.47</v>
      </c>
      <c r="E586" s="43">
        <v>0</v>
      </c>
    </row>
    <row r="587" spans="1:5">
      <c r="A587" s="20">
        <v>44599</v>
      </c>
      <c r="B587" s="43">
        <v>89.67</v>
      </c>
      <c r="C587" s="43">
        <v>93.18</v>
      </c>
      <c r="D587" s="43">
        <v>91.11</v>
      </c>
      <c r="E587" s="43">
        <v>0</v>
      </c>
    </row>
    <row r="588" spans="1:5">
      <c r="A588" s="20">
        <v>44600</v>
      </c>
      <c r="B588" s="43">
        <v>91.36</v>
      </c>
      <c r="C588" s="43">
        <v>91.92</v>
      </c>
      <c r="D588" s="43">
        <v>93.27</v>
      </c>
      <c r="E588" s="43">
        <v>0</v>
      </c>
    </row>
    <row r="589" spans="1:5">
      <c r="A589" s="20">
        <v>44601</v>
      </c>
      <c r="B589" s="43">
        <v>90.67</v>
      </c>
      <c r="C589" s="43">
        <v>91.59</v>
      </c>
      <c r="D589" s="43">
        <v>92.69</v>
      </c>
      <c r="E589" s="43">
        <v>0</v>
      </c>
    </row>
    <row r="590" spans="1:5">
      <c r="A590" s="20">
        <v>44602</v>
      </c>
      <c r="B590" s="43">
        <v>89.24</v>
      </c>
      <c r="C590" s="43">
        <v>92.62</v>
      </c>
      <c r="D590" s="43">
        <v>90.78</v>
      </c>
      <c r="E590" s="43">
        <v>0</v>
      </c>
    </row>
    <row r="591" spans="1:5">
      <c r="A591" s="20">
        <v>44603</v>
      </c>
      <c r="B591" s="43">
        <v>89.51</v>
      </c>
      <c r="C591" s="43">
        <v>92.61</v>
      </c>
      <c r="D591" s="43">
        <v>91.55</v>
      </c>
      <c r="E591" s="43">
        <v>0</v>
      </c>
    </row>
    <row r="592" spans="1:5">
      <c r="A592" s="20">
        <v>44606</v>
      </c>
      <c r="B592" s="43">
        <v>89.61</v>
      </c>
      <c r="C592" s="43">
        <v>94.92</v>
      </c>
      <c r="D592" s="43">
        <v>91.41</v>
      </c>
      <c r="E592" s="43">
        <v>0</v>
      </c>
    </row>
    <row r="593" spans="1:5">
      <c r="A593" s="20">
        <v>44607</v>
      </c>
      <c r="B593" s="43">
        <v>91.4</v>
      </c>
      <c r="C593" s="43">
        <v>94.48</v>
      </c>
      <c r="D593" s="43">
        <v>94.44</v>
      </c>
      <c r="E593" s="43">
        <v>0</v>
      </c>
    </row>
    <row r="594" spans="1:5">
      <c r="A594" s="20">
        <v>44608</v>
      </c>
      <c r="B594" s="43">
        <v>92.59</v>
      </c>
      <c r="C594" s="43">
        <v>95.07</v>
      </c>
      <c r="D594" s="43">
        <v>96.48</v>
      </c>
      <c r="E594" s="43">
        <v>0</v>
      </c>
    </row>
    <row r="595" spans="1:5">
      <c r="A595" s="20">
        <v>44609</v>
      </c>
      <c r="B595" s="43">
        <v>91</v>
      </c>
      <c r="C595" s="43">
        <v>93.78</v>
      </c>
      <c r="D595" s="43">
        <v>93.28</v>
      </c>
      <c r="E595" s="43">
        <v>0</v>
      </c>
    </row>
    <row r="596" spans="1:5">
      <c r="A596" s="20">
        <v>44610</v>
      </c>
      <c r="B596" s="43">
        <v>91.68</v>
      </c>
      <c r="C596" s="43">
        <v>92.55</v>
      </c>
      <c r="D596" s="43">
        <v>94.81</v>
      </c>
      <c r="E596" s="43">
        <v>0</v>
      </c>
    </row>
    <row r="597" spans="1:5">
      <c r="A597" s="20">
        <v>44613</v>
      </c>
      <c r="B597" s="43">
        <v>91</v>
      </c>
      <c r="C597" s="43">
        <v>94.04</v>
      </c>
      <c r="D597" s="43">
        <v>92.97</v>
      </c>
      <c r="E597" s="43">
        <v>0</v>
      </c>
    </row>
    <row r="598" spans="1:5">
      <c r="A598" s="20">
        <v>44614</v>
      </c>
      <c r="B598" s="43">
        <v>90.96</v>
      </c>
      <c r="C598" s="43">
        <v>97.68</v>
      </c>
      <c r="D598" s="43">
        <v>93.54</v>
      </c>
      <c r="E598" s="43">
        <v>0</v>
      </c>
    </row>
    <row r="599" spans="1:5">
      <c r="A599" s="20">
        <v>44615</v>
      </c>
      <c r="B599" s="43">
        <v>91.39</v>
      </c>
      <c r="C599" s="43">
        <v>95.84</v>
      </c>
      <c r="D599" s="43">
        <v>96.84</v>
      </c>
      <c r="E599" s="43">
        <v>0</v>
      </c>
    </row>
    <row r="600" spans="1:5">
      <c r="A600" s="20">
        <v>44616</v>
      </c>
      <c r="B600" s="43">
        <v>91.43</v>
      </c>
      <c r="C600" s="43">
        <v>100.95</v>
      </c>
      <c r="D600" s="43">
        <v>97.13</v>
      </c>
      <c r="E600" s="43">
        <v>0</v>
      </c>
    </row>
    <row r="601" spans="1:5">
      <c r="A601" s="20">
        <v>44617</v>
      </c>
      <c r="B601" s="43">
        <v>91.54</v>
      </c>
      <c r="C601" s="43">
        <v>96.41</v>
      </c>
      <c r="D601" s="43">
        <v>99.08</v>
      </c>
      <c r="E601" s="43">
        <v>0</v>
      </c>
    </row>
    <row r="602" spans="1:5">
      <c r="A602" s="20">
        <v>44620</v>
      </c>
      <c r="B602" s="43">
        <v>91.41</v>
      </c>
      <c r="C602" s="43">
        <v>98.96</v>
      </c>
      <c r="D602" s="43">
        <v>97.93</v>
      </c>
      <c r="E602" s="43">
        <v>0</v>
      </c>
    </row>
    <row r="603" spans="1:5">
      <c r="A603" s="20">
        <v>44621</v>
      </c>
      <c r="B603" s="43">
        <v>91.63</v>
      </c>
      <c r="C603" s="43">
        <v>103.7</v>
      </c>
      <c r="D603" s="43">
        <v>100.99</v>
      </c>
      <c r="E603" s="43">
        <v>0</v>
      </c>
    </row>
    <row r="604" spans="1:5">
      <c r="A604" s="20">
        <v>44622</v>
      </c>
      <c r="B604" s="43">
        <v>102.44</v>
      </c>
      <c r="C604" s="43">
        <v>112.01</v>
      </c>
      <c r="D604" s="43">
        <v>104.97</v>
      </c>
      <c r="E604" s="43">
        <v>94.57</v>
      </c>
    </row>
    <row r="605" spans="1:5">
      <c r="A605" s="20">
        <v>44623</v>
      </c>
      <c r="B605" s="43">
        <v>109.21</v>
      </c>
      <c r="C605" s="43">
        <v>116.87</v>
      </c>
      <c r="D605" s="43">
        <v>112.93</v>
      </c>
      <c r="E605" s="43">
        <v>0</v>
      </c>
    </row>
    <row r="606" spans="1:5">
      <c r="A606" s="20">
        <v>44624</v>
      </c>
      <c r="B606" s="43">
        <v>106.68</v>
      </c>
      <c r="C606" s="43">
        <v>112.96</v>
      </c>
      <c r="D606" s="43">
        <v>110.46</v>
      </c>
      <c r="E606" s="43">
        <v>0</v>
      </c>
    </row>
    <row r="607" spans="1:5">
      <c r="A607" s="20">
        <v>44627</v>
      </c>
      <c r="B607" s="43">
        <v>113.49</v>
      </c>
      <c r="C607" s="43">
        <v>126.32</v>
      </c>
      <c r="D607" s="43">
        <v>118.11</v>
      </c>
      <c r="E607" s="43">
        <v>0</v>
      </c>
    </row>
    <row r="608" spans="1:5">
      <c r="A608" s="20">
        <v>44628</v>
      </c>
      <c r="B608" s="43">
        <v>116.55</v>
      </c>
      <c r="C608" s="43">
        <v>127.74</v>
      </c>
      <c r="D608" s="43">
        <v>123.21</v>
      </c>
      <c r="E608" s="43">
        <v>0</v>
      </c>
    </row>
    <row r="609" spans="1:5">
      <c r="A609" s="20">
        <v>44629</v>
      </c>
      <c r="B609" s="43">
        <v>119.78</v>
      </c>
      <c r="C609" s="43">
        <v>128.27000000000001</v>
      </c>
      <c r="D609" s="43">
        <v>127.98</v>
      </c>
      <c r="E609" s="43">
        <v>0</v>
      </c>
    </row>
    <row r="610" spans="1:5">
      <c r="A610" s="20">
        <v>44630</v>
      </c>
      <c r="B610" s="43">
        <v>108.82</v>
      </c>
      <c r="C610" s="43">
        <v>117.04</v>
      </c>
      <c r="D610" s="43">
        <v>111.14</v>
      </c>
      <c r="E610" s="43">
        <v>0</v>
      </c>
    </row>
    <row r="611" spans="1:5">
      <c r="A611" s="20">
        <v>44631</v>
      </c>
      <c r="B611" s="43">
        <v>107.14</v>
      </c>
      <c r="C611" s="43">
        <v>113.1</v>
      </c>
      <c r="D611" s="43">
        <v>109.33</v>
      </c>
      <c r="E611" s="43">
        <v>0</v>
      </c>
    </row>
    <row r="612" spans="1:5">
      <c r="A612" s="20">
        <v>44634</v>
      </c>
      <c r="B612" s="43">
        <v>109.3</v>
      </c>
      <c r="C612" s="43">
        <v>110.48</v>
      </c>
      <c r="D612" s="43">
        <v>112.67</v>
      </c>
      <c r="E612" s="43">
        <v>0</v>
      </c>
    </row>
    <row r="613" spans="1:5">
      <c r="A613" s="20">
        <v>44635</v>
      </c>
      <c r="B613" s="43">
        <v>105.82</v>
      </c>
      <c r="C613" s="43">
        <v>102.67</v>
      </c>
      <c r="D613" s="43">
        <v>106.9</v>
      </c>
      <c r="E613" s="43">
        <v>0</v>
      </c>
    </row>
    <row r="614" spans="1:5">
      <c r="A614" s="20">
        <v>44636</v>
      </c>
      <c r="B614" s="43">
        <v>102.16</v>
      </c>
      <c r="C614" s="43">
        <v>103.87</v>
      </c>
      <c r="D614" s="43">
        <v>99.91</v>
      </c>
      <c r="E614" s="43">
        <v>0</v>
      </c>
    </row>
    <row r="615" spans="1:5">
      <c r="A615" s="20">
        <v>44637</v>
      </c>
      <c r="B615" s="43">
        <v>101.49</v>
      </c>
      <c r="C615" s="43">
        <v>104.77</v>
      </c>
      <c r="D615" s="43">
        <v>98.02</v>
      </c>
      <c r="E615" s="43">
        <v>0</v>
      </c>
    </row>
    <row r="616" spans="1:5">
      <c r="A616" s="20">
        <v>44638</v>
      </c>
      <c r="B616" s="43">
        <v>105.32</v>
      </c>
      <c r="C616" s="43">
        <v>108.93</v>
      </c>
      <c r="D616" s="43">
        <v>106.64</v>
      </c>
      <c r="E616" s="43">
        <v>0</v>
      </c>
    </row>
    <row r="617" spans="1:5">
      <c r="A617" s="20">
        <v>44641</v>
      </c>
      <c r="B617" s="43">
        <v>105.99</v>
      </c>
      <c r="C617" s="43">
        <v>113.65</v>
      </c>
      <c r="D617" s="43">
        <v>107.93</v>
      </c>
      <c r="E617" s="43">
        <v>0</v>
      </c>
    </row>
    <row r="618" spans="1:5">
      <c r="A618" s="20">
        <v>44642</v>
      </c>
      <c r="B618" s="43">
        <v>108.73</v>
      </c>
      <c r="C618" s="43">
        <v>114.44</v>
      </c>
      <c r="D618" s="43">
        <v>115.62</v>
      </c>
      <c r="E618" s="43">
        <v>0</v>
      </c>
    </row>
    <row r="619" spans="1:5">
      <c r="A619" s="20">
        <v>44643</v>
      </c>
      <c r="B619" s="43">
        <v>108.5</v>
      </c>
      <c r="C619" s="43">
        <v>116.79</v>
      </c>
      <c r="D619" s="43">
        <v>115.48</v>
      </c>
      <c r="E619" s="43">
        <v>0</v>
      </c>
    </row>
    <row r="620" spans="1:5">
      <c r="A620" s="20">
        <v>44644</v>
      </c>
      <c r="B620" s="43">
        <v>110.22</v>
      </c>
      <c r="C620" s="43">
        <v>118.72</v>
      </c>
      <c r="D620" s="43">
        <v>121.6</v>
      </c>
      <c r="E620" s="43">
        <v>0</v>
      </c>
    </row>
    <row r="621" spans="1:5">
      <c r="A621" s="20">
        <v>44645</v>
      </c>
      <c r="B621" s="43">
        <v>109.54</v>
      </c>
      <c r="C621" s="43">
        <v>115.99</v>
      </c>
      <c r="D621" s="43">
        <v>119.03</v>
      </c>
      <c r="E621" s="43">
        <v>0</v>
      </c>
    </row>
    <row r="622" spans="1:5">
      <c r="A622" s="20">
        <v>44648</v>
      </c>
      <c r="B622" s="43">
        <v>109.88</v>
      </c>
      <c r="C622" s="43">
        <v>113.39</v>
      </c>
      <c r="D622" s="43">
        <v>120.65</v>
      </c>
      <c r="E622" s="43">
        <v>0</v>
      </c>
    </row>
    <row r="623" spans="1:5">
      <c r="A623" s="20">
        <v>44649</v>
      </c>
      <c r="B623" s="43">
        <v>108.5</v>
      </c>
      <c r="C623" s="43">
        <v>110.05</v>
      </c>
      <c r="D623" s="43">
        <v>112.48</v>
      </c>
      <c r="E623" s="43">
        <v>0</v>
      </c>
    </row>
    <row r="624" spans="1:5">
      <c r="A624" s="20">
        <v>44650</v>
      </c>
      <c r="B624" s="43">
        <v>108.28</v>
      </c>
      <c r="C624" s="43">
        <v>110.46</v>
      </c>
      <c r="D624" s="43">
        <v>110.23</v>
      </c>
      <c r="E624" s="43">
        <v>0</v>
      </c>
    </row>
    <row r="625" spans="1:5">
      <c r="A625" s="20">
        <v>44651</v>
      </c>
      <c r="B625" s="43">
        <v>108.59</v>
      </c>
      <c r="C625" s="43">
        <v>107.74</v>
      </c>
      <c r="D625" s="43">
        <v>113.45</v>
      </c>
      <c r="E625" s="43">
        <v>0</v>
      </c>
    </row>
    <row r="626" spans="1:5">
      <c r="A626" s="20">
        <v>44652</v>
      </c>
      <c r="B626" s="43">
        <v>108.26</v>
      </c>
      <c r="C626" s="43">
        <v>104.93</v>
      </c>
      <c r="D626" s="43">
        <v>107.91</v>
      </c>
      <c r="E626" s="43">
        <v>0</v>
      </c>
    </row>
    <row r="627" spans="1:5">
      <c r="A627" s="20">
        <v>44655</v>
      </c>
      <c r="B627" s="43">
        <v>98.79</v>
      </c>
      <c r="C627" s="43">
        <v>106.26</v>
      </c>
      <c r="D627" s="43">
        <v>104.39</v>
      </c>
      <c r="E627" s="43">
        <v>89.06</v>
      </c>
    </row>
    <row r="628" spans="1:5">
      <c r="A628" s="20">
        <v>44656</v>
      </c>
      <c r="B628" s="43">
        <v>102.58</v>
      </c>
      <c r="C628" s="43">
        <v>108.08</v>
      </c>
      <c r="D628" s="43">
        <v>107.53</v>
      </c>
      <c r="E628" s="43">
        <v>0</v>
      </c>
    </row>
    <row r="629" spans="1:5">
      <c r="A629" s="20">
        <v>44657</v>
      </c>
      <c r="B629" s="43">
        <v>101.44</v>
      </c>
      <c r="C629" s="43">
        <v>106.17</v>
      </c>
      <c r="D629" s="43">
        <v>106.64</v>
      </c>
      <c r="E629" s="43">
        <v>0</v>
      </c>
    </row>
    <row r="630" spans="1:5">
      <c r="A630" s="20">
        <v>44658</v>
      </c>
      <c r="B630" s="43">
        <v>96.73</v>
      </c>
      <c r="C630" s="43">
        <v>100.16</v>
      </c>
      <c r="D630" s="43">
        <v>101.07</v>
      </c>
      <c r="E630" s="43">
        <v>0</v>
      </c>
    </row>
    <row r="631" spans="1:5">
      <c r="A631" s="20">
        <v>44659</v>
      </c>
      <c r="B631" s="43">
        <v>96.68</v>
      </c>
      <c r="C631" s="43">
        <v>101.06</v>
      </c>
      <c r="D631" s="43">
        <v>100.58</v>
      </c>
      <c r="E631" s="43">
        <v>0</v>
      </c>
    </row>
    <row r="632" spans="1:5">
      <c r="A632" s="20">
        <v>44662</v>
      </c>
      <c r="B632" s="43">
        <v>98.35</v>
      </c>
      <c r="C632" s="43">
        <v>100.08</v>
      </c>
      <c r="D632" s="43">
        <v>102.78</v>
      </c>
      <c r="E632" s="43">
        <v>0</v>
      </c>
    </row>
    <row r="633" spans="1:5">
      <c r="A633" s="20">
        <v>44663</v>
      </c>
      <c r="B633" s="43">
        <v>95.63</v>
      </c>
      <c r="C633" s="43">
        <v>102.41</v>
      </c>
      <c r="D633" s="43">
        <v>98.48</v>
      </c>
      <c r="E633" s="43">
        <v>0</v>
      </c>
    </row>
    <row r="634" spans="1:5">
      <c r="A634" s="20">
        <v>44664</v>
      </c>
      <c r="B634" s="43">
        <v>99.7</v>
      </c>
      <c r="C634" s="43">
        <v>106.07</v>
      </c>
      <c r="D634" s="43">
        <v>104.64</v>
      </c>
      <c r="E634" s="43">
        <v>0</v>
      </c>
    </row>
    <row r="635" spans="1:5">
      <c r="A635" s="20">
        <v>44665</v>
      </c>
      <c r="B635" s="43">
        <v>101.89</v>
      </c>
      <c r="C635" s="43">
        <v>108.52</v>
      </c>
      <c r="D635" s="43">
        <v>108.78</v>
      </c>
      <c r="E635" s="43">
        <v>0</v>
      </c>
    </row>
    <row r="636" spans="1:5">
      <c r="A636" s="20">
        <v>44669</v>
      </c>
      <c r="B636" s="43">
        <v>103.33</v>
      </c>
      <c r="C636" s="43">
        <v>110.54</v>
      </c>
      <c r="D636" s="43">
        <v>111.7</v>
      </c>
      <c r="E636" s="43">
        <v>0</v>
      </c>
    </row>
    <row r="637" spans="1:5">
      <c r="A637" s="20">
        <v>44670</v>
      </c>
      <c r="B637" s="43">
        <v>103.95</v>
      </c>
      <c r="C637" s="43">
        <v>110.52</v>
      </c>
      <c r="D637" s="43">
        <v>113.16</v>
      </c>
      <c r="E637" s="43">
        <v>0</v>
      </c>
    </row>
    <row r="638" spans="1:5">
      <c r="A638" s="20">
        <v>44671</v>
      </c>
      <c r="B638" s="43">
        <v>101.44</v>
      </c>
      <c r="C638" s="43">
        <v>107.97</v>
      </c>
      <c r="D638" s="43">
        <v>107.25</v>
      </c>
      <c r="E638" s="43">
        <v>0</v>
      </c>
    </row>
    <row r="639" spans="1:5">
      <c r="A639" s="20">
        <v>44672</v>
      </c>
      <c r="B639" s="43">
        <v>101.5</v>
      </c>
      <c r="C639" s="43">
        <v>108.81</v>
      </c>
      <c r="D639" s="43">
        <v>106.8</v>
      </c>
      <c r="E639" s="43">
        <v>0</v>
      </c>
    </row>
    <row r="640" spans="1:5">
      <c r="A640" s="20">
        <v>44673</v>
      </c>
      <c r="B640" s="43">
        <v>102.06</v>
      </c>
      <c r="C640" s="43">
        <v>107.66</v>
      </c>
      <c r="D640" s="43">
        <v>108.33</v>
      </c>
      <c r="E640" s="43">
        <v>0</v>
      </c>
    </row>
    <row r="641" spans="1:5">
      <c r="A641" s="20">
        <v>44676</v>
      </c>
      <c r="B641" s="43">
        <v>101.54</v>
      </c>
      <c r="C641" s="43">
        <v>101.93</v>
      </c>
      <c r="D641" s="43">
        <v>106.65</v>
      </c>
      <c r="E641" s="43">
        <v>0</v>
      </c>
    </row>
    <row r="642" spans="1:5">
      <c r="A642" s="20">
        <v>44677</v>
      </c>
      <c r="B642" s="43">
        <v>100.66</v>
      </c>
      <c r="C642" s="43">
        <v>102.94</v>
      </c>
      <c r="D642" s="43">
        <v>102.32</v>
      </c>
      <c r="E642" s="43">
        <v>0</v>
      </c>
    </row>
    <row r="643" spans="1:5">
      <c r="A643" s="20">
        <v>44678</v>
      </c>
      <c r="B643" s="43">
        <v>101.29</v>
      </c>
      <c r="C643" s="43">
        <v>105.33</v>
      </c>
      <c r="D643" s="43">
        <v>104.99</v>
      </c>
      <c r="E643" s="43">
        <v>0</v>
      </c>
    </row>
    <row r="644" spans="1:5">
      <c r="A644" s="20">
        <v>44679</v>
      </c>
      <c r="B644" s="43">
        <v>101.34</v>
      </c>
      <c r="C644" s="43">
        <v>105.3</v>
      </c>
      <c r="D644" s="43">
        <v>105.32</v>
      </c>
      <c r="E644" s="43">
        <v>0</v>
      </c>
    </row>
    <row r="645" spans="1:5">
      <c r="A645" s="20">
        <v>44680</v>
      </c>
      <c r="B645" s="43">
        <v>101.67</v>
      </c>
      <c r="C645" s="43">
        <v>107.99</v>
      </c>
      <c r="D645" s="43">
        <v>107.59</v>
      </c>
      <c r="E645" s="43">
        <v>0</v>
      </c>
    </row>
    <row r="646" spans="1:5">
      <c r="A646" s="20">
        <v>44683</v>
      </c>
      <c r="B646" s="43">
        <v>101.64</v>
      </c>
      <c r="C646" s="43">
        <v>110.09</v>
      </c>
      <c r="D646" s="43">
        <v>109.34</v>
      </c>
      <c r="E646" s="43">
        <v>0</v>
      </c>
    </row>
    <row r="647" spans="1:5">
      <c r="A647" s="20">
        <v>44684</v>
      </c>
      <c r="B647" s="43">
        <v>104.67</v>
      </c>
      <c r="C647" s="43">
        <v>109.7</v>
      </c>
      <c r="D647" s="43">
        <v>107.58</v>
      </c>
      <c r="E647" s="43">
        <v>0</v>
      </c>
    </row>
    <row r="648" spans="1:5">
      <c r="A648" s="20">
        <v>44685</v>
      </c>
      <c r="B648" s="43">
        <v>102.11</v>
      </c>
      <c r="C648" s="43">
        <v>110.73</v>
      </c>
      <c r="D648" s="43">
        <v>104.97</v>
      </c>
      <c r="E648" s="43">
        <v>0</v>
      </c>
    </row>
    <row r="649" spans="1:5">
      <c r="A649" s="20">
        <v>44686</v>
      </c>
      <c r="B649" s="43">
        <v>106.97</v>
      </c>
      <c r="C649" s="43">
        <v>112.94</v>
      </c>
      <c r="D649" s="43">
        <v>110.14</v>
      </c>
      <c r="E649" s="43">
        <v>0</v>
      </c>
    </row>
    <row r="650" spans="1:5">
      <c r="A650" s="20">
        <v>44687</v>
      </c>
      <c r="B650" s="43">
        <v>107.38</v>
      </c>
      <c r="C650" s="43">
        <v>114.27</v>
      </c>
      <c r="D650" s="43">
        <v>110.9</v>
      </c>
      <c r="E650" s="43">
        <v>0</v>
      </c>
    </row>
    <row r="651" spans="1:5">
      <c r="A651" s="20">
        <v>44690</v>
      </c>
      <c r="B651" s="43">
        <v>108.62</v>
      </c>
      <c r="C651" s="43">
        <v>112.38</v>
      </c>
      <c r="D651" s="43">
        <v>112.39</v>
      </c>
      <c r="E651" s="43">
        <v>0</v>
      </c>
    </row>
    <row r="652" spans="1:5">
      <c r="A652" s="20">
        <v>44691</v>
      </c>
      <c r="B652" s="43">
        <v>103.57</v>
      </c>
      <c r="C652" s="43">
        <v>108.08</v>
      </c>
      <c r="D652" s="43">
        <v>105.94</v>
      </c>
      <c r="E652" s="43">
        <v>0</v>
      </c>
    </row>
    <row r="653" spans="1:5">
      <c r="A653" s="20">
        <v>44692</v>
      </c>
      <c r="B653" s="43">
        <v>101.19</v>
      </c>
      <c r="C653" s="43">
        <v>108.92</v>
      </c>
      <c r="D653" s="43">
        <v>102.46</v>
      </c>
      <c r="E653" s="43">
        <v>0</v>
      </c>
    </row>
    <row r="654" spans="1:5">
      <c r="A654" s="20">
        <v>44693</v>
      </c>
      <c r="B654" s="43">
        <v>105.05</v>
      </c>
      <c r="C654" s="43">
        <v>109.2</v>
      </c>
      <c r="D654" s="43">
        <v>107.51</v>
      </c>
      <c r="E654" s="43">
        <v>0</v>
      </c>
    </row>
    <row r="655" spans="1:5">
      <c r="A655" s="20">
        <v>44694</v>
      </c>
      <c r="B655" s="43">
        <v>105.3</v>
      </c>
      <c r="C655" s="43">
        <v>112.27</v>
      </c>
      <c r="D655" s="43">
        <v>107.45</v>
      </c>
      <c r="E655" s="43">
        <v>0</v>
      </c>
    </row>
    <row r="656" spans="1:5">
      <c r="A656" s="20">
        <v>44697</v>
      </c>
      <c r="B656" s="43">
        <v>107.75</v>
      </c>
      <c r="C656" s="43">
        <v>112.98</v>
      </c>
      <c r="D656" s="43">
        <v>111.55</v>
      </c>
      <c r="E656" s="43">
        <v>0</v>
      </c>
    </row>
    <row r="657" spans="1:5">
      <c r="A657" s="20">
        <v>44698</v>
      </c>
      <c r="B657" s="43">
        <v>109.55</v>
      </c>
      <c r="C657" s="43">
        <v>117.1</v>
      </c>
      <c r="D657" s="43">
        <v>114.24</v>
      </c>
      <c r="E657" s="43">
        <v>0</v>
      </c>
    </row>
    <row r="658" spans="1:5">
      <c r="A658" s="20">
        <v>44699</v>
      </c>
      <c r="B658" s="43">
        <v>108.58</v>
      </c>
      <c r="C658" s="43">
        <v>114.84</v>
      </c>
      <c r="D658" s="43">
        <v>111.93</v>
      </c>
      <c r="E658" s="43">
        <v>0</v>
      </c>
    </row>
    <row r="659" spans="1:5">
      <c r="A659" s="20">
        <v>44700</v>
      </c>
      <c r="B659" s="43">
        <v>107.44</v>
      </c>
      <c r="C659" s="43">
        <v>111.94</v>
      </c>
      <c r="D659" s="43">
        <v>109.11</v>
      </c>
      <c r="E659" s="43">
        <v>0</v>
      </c>
    </row>
    <row r="660" spans="1:5">
      <c r="A660" s="20">
        <v>44701</v>
      </c>
      <c r="B660" s="43">
        <v>108.5</v>
      </c>
      <c r="C660" s="43">
        <v>114.69</v>
      </c>
      <c r="D660" s="43">
        <v>112.04</v>
      </c>
      <c r="E660" s="43">
        <v>0</v>
      </c>
    </row>
    <row r="661" spans="1:5">
      <c r="A661" s="20">
        <v>44704</v>
      </c>
      <c r="B661" s="43">
        <v>108.66</v>
      </c>
      <c r="C661" s="43">
        <v>115.95</v>
      </c>
      <c r="D661" s="43">
        <v>112.55</v>
      </c>
      <c r="E661" s="43">
        <v>0</v>
      </c>
    </row>
    <row r="662" spans="1:5">
      <c r="A662" s="20">
        <v>44705</v>
      </c>
      <c r="B662" s="43">
        <v>108.67</v>
      </c>
      <c r="C662" s="43">
        <v>114.96</v>
      </c>
      <c r="D662" s="43">
        <v>113.42</v>
      </c>
      <c r="E662" s="43">
        <v>0</v>
      </c>
    </row>
    <row r="663" spans="1:5">
      <c r="A663" s="20">
        <v>44706</v>
      </c>
      <c r="B663" s="43">
        <v>108.54</v>
      </c>
      <c r="C663" s="43">
        <v>115.83</v>
      </c>
      <c r="D663" s="43">
        <v>113.56</v>
      </c>
      <c r="E663" s="43">
        <v>0</v>
      </c>
    </row>
    <row r="664" spans="1:5">
      <c r="A664" s="20">
        <v>44707</v>
      </c>
      <c r="B664" s="43">
        <v>108.65</v>
      </c>
      <c r="C664" s="43">
        <v>116.5</v>
      </c>
      <c r="D664" s="43">
        <v>114.03</v>
      </c>
      <c r="E664" s="43">
        <v>0</v>
      </c>
    </row>
    <row r="665" spans="1:5">
      <c r="A665" s="20">
        <v>44708</v>
      </c>
      <c r="B665" s="43">
        <v>109.19</v>
      </c>
      <c r="C665" s="43">
        <v>118.84</v>
      </c>
      <c r="D665" s="43">
        <v>117.4</v>
      </c>
      <c r="E665" s="43">
        <v>0</v>
      </c>
    </row>
    <row r="666" spans="1:5">
      <c r="A666" s="20">
        <v>44711</v>
      </c>
      <c r="B666" s="43">
        <v>109.28</v>
      </c>
      <c r="C666" s="43">
        <v>120.01</v>
      </c>
      <c r="D666" s="43">
        <v>119.43</v>
      </c>
      <c r="E666" s="43">
        <v>100.97</v>
      </c>
    </row>
    <row r="667" spans="1:5">
      <c r="A667" s="20">
        <v>44712</v>
      </c>
      <c r="B667" s="43">
        <v>109.26</v>
      </c>
      <c r="C667" s="43">
        <v>122.94</v>
      </c>
      <c r="D667" s="43">
        <v>122.84</v>
      </c>
      <c r="E667" s="43">
        <v>100.57</v>
      </c>
    </row>
    <row r="668" spans="1:5">
      <c r="A668" s="20">
        <v>44713</v>
      </c>
      <c r="B668" s="43">
        <v>114.41</v>
      </c>
      <c r="C668" s="43">
        <v>117.07</v>
      </c>
      <c r="D668" s="43">
        <v>116.29</v>
      </c>
      <c r="E668" s="43">
        <v>101.16</v>
      </c>
    </row>
    <row r="669" spans="1:5">
      <c r="A669" s="20">
        <v>44714</v>
      </c>
      <c r="B669" s="43">
        <v>115.94</v>
      </c>
      <c r="C669" s="43">
        <v>114.62</v>
      </c>
      <c r="D669" s="43">
        <v>117.61</v>
      </c>
      <c r="E669" s="43">
        <v>102.77</v>
      </c>
    </row>
    <row r="670" spans="1:5">
      <c r="A670" s="20">
        <v>44715</v>
      </c>
      <c r="B670" s="43">
        <v>117.72</v>
      </c>
      <c r="C670" s="43">
        <v>117.15</v>
      </c>
      <c r="D670" s="43">
        <v>119.72</v>
      </c>
      <c r="E670" s="43">
        <v>104.77</v>
      </c>
    </row>
    <row r="671" spans="1:5">
      <c r="A671" s="20">
        <v>44718</v>
      </c>
      <c r="B671" s="43">
        <v>117.47</v>
      </c>
      <c r="C671" s="43">
        <v>119.85</v>
      </c>
      <c r="D671" s="43">
        <v>119.51</v>
      </c>
      <c r="E671" s="43">
        <v>104.4</v>
      </c>
    </row>
    <row r="672" spans="1:5">
      <c r="A672" s="20">
        <v>44719</v>
      </c>
      <c r="B672" s="43">
        <v>118.25</v>
      </c>
      <c r="C672" s="43">
        <v>120.16</v>
      </c>
      <c r="D672" s="43">
        <v>120.57</v>
      </c>
      <c r="E672" s="43">
        <v>105.31</v>
      </c>
    </row>
    <row r="673" spans="1:5">
      <c r="A673" s="20">
        <v>44720</v>
      </c>
      <c r="B673" s="43">
        <v>120.3</v>
      </c>
      <c r="C673" s="43">
        <v>121.54</v>
      </c>
      <c r="D673" s="43">
        <v>123.58</v>
      </c>
      <c r="E673" s="43">
        <v>108.01</v>
      </c>
    </row>
    <row r="674" spans="1:5">
      <c r="A674" s="20">
        <v>44721</v>
      </c>
      <c r="B674" s="43">
        <v>119.84</v>
      </c>
      <c r="C674" s="43">
        <v>123.21</v>
      </c>
      <c r="D674" s="43">
        <v>123.07</v>
      </c>
      <c r="E674" s="43">
        <v>107.41</v>
      </c>
    </row>
    <row r="675" spans="1:5">
      <c r="A675" s="20">
        <v>44722</v>
      </c>
      <c r="B675" s="43">
        <v>119.24</v>
      </c>
      <c r="C675" s="43">
        <v>123.19</v>
      </c>
      <c r="D675" s="43">
        <v>122.01</v>
      </c>
      <c r="E675" s="43">
        <v>106.57</v>
      </c>
    </row>
    <row r="676" spans="1:5">
      <c r="A676" s="20">
        <v>44725</v>
      </c>
      <c r="B676" s="43">
        <v>119.36</v>
      </c>
      <c r="C676" s="43">
        <v>120.66</v>
      </c>
      <c r="D676" s="43">
        <v>122.27</v>
      </c>
      <c r="E676" s="43">
        <v>106.83</v>
      </c>
    </row>
    <row r="677" spans="1:5">
      <c r="A677" s="20">
        <v>44726</v>
      </c>
      <c r="B677" s="43">
        <v>118.22</v>
      </c>
      <c r="C677" s="43">
        <v>123.73</v>
      </c>
      <c r="D677" s="43">
        <v>121.17</v>
      </c>
      <c r="E677" s="43">
        <v>104.83</v>
      </c>
    </row>
    <row r="678" spans="1:5">
      <c r="A678" s="20">
        <v>44727</v>
      </c>
      <c r="B678" s="43">
        <v>116.47</v>
      </c>
      <c r="C678" s="43">
        <v>121.07</v>
      </c>
      <c r="D678" s="43">
        <v>118.51</v>
      </c>
      <c r="E678" s="43">
        <v>101.21</v>
      </c>
    </row>
    <row r="679" spans="1:5">
      <c r="A679" s="20">
        <v>44728</v>
      </c>
      <c r="B679" s="43">
        <v>117.52</v>
      </c>
      <c r="C679" s="43">
        <v>119.24</v>
      </c>
      <c r="D679" s="43">
        <v>119.81</v>
      </c>
      <c r="E679" s="43">
        <v>97.66</v>
      </c>
    </row>
    <row r="680" spans="1:5">
      <c r="A680" s="20">
        <v>44729</v>
      </c>
      <c r="B680" s="43">
        <v>114.33</v>
      </c>
      <c r="C680" s="43">
        <v>118.97</v>
      </c>
      <c r="D680" s="43">
        <v>113.12</v>
      </c>
      <c r="E680" s="43">
        <v>96</v>
      </c>
    </row>
    <row r="681" spans="1:5">
      <c r="A681" s="20">
        <v>44733</v>
      </c>
      <c r="B681" s="43">
        <v>114.9</v>
      </c>
      <c r="C681" s="43">
        <v>115.97</v>
      </c>
      <c r="D681" s="43">
        <v>114.65</v>
      </c>
      <c r="E681" s="43">
        <v>95.42</v>
      </c>
    </row>
    <row r="682" spans="1:5">
      <c r="A682" s="20">
        <v>44734</v>
      </c>
      <c r="B682" s="43">
        <v>113.79</v>
      </c>
      <c r="C682" s="43">
        <v>113.39</v>
      </c>
      <c r="D682" s="43">
        <v>111.74</v>
      </c>
      <c r="E682" s="43">
        <v>92.09</v>
      </c>
    </row>
    <row r="683" spans="1:5">
      <c r="A683" s="20">
        <v>44735</v>
      </c>
      <c r="B683" s="43">
        <v>113.24</v>
      </c>
      <c r="C683" s="43">
        <v>115.07</v>
      </c>
      <c r="D683" s="43">
        <v>110.05</v>
      </c>
      <c r="E683" s="43">
        <v>90.17</v>
      </c>
    </row>
    <row r="684" spans="1:5">
      <c r="A684" s="20">
        <v>44736</v>
      </c>
      <c r="B684" s="43">
        <v>114.03</v>
      </c>
      <c r="C684" s="43">
        <v>111</v>
      </c>
      <c r="D684" s="43">
        <v>113.12</v>
      </c>
      <c r="E684" s="43">
        <v>93.52</v>
      </c>
    </row>
    <row r="685" spans="1:5">
      <c r="A685" s="20">
        <v>44739</v>
      </c>
      <c r="B685" s="43">
        <v>114.41</v>
      </c>
      <c r="C685" s="43">
        <v>114.88</v>
      </c>
      <c r="D685" s="43">
        <v>115.09</v>
      </c>
      <c r="E685" s="43">
        <v>97.66</v>
      </c>
    </row>
  </sheetData>
  <pageMargins left="0.7" right="0.7" top="0.75" bottom="0.75" header="0.3" footer="0.3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1DFAC0-AA29-440E-A6F8-CC60EF0F204E}">
  <sheetPr codeName="Sheet2"/>
  <dimension ref="A2:E687"/>
  <sheetViews>
    <sheetView showGridLines="0" topLeftCell="A653" workbookViewId="0">
      <selection activeCell="C3" sqref="C3"/>
    </sheetView>
  </sheetViews>
  <sheetFormatPr defaultRowHeight="15.75"/>
  <cols>
    <col min="1" max="1" width="12.125" bestFit="1" customWidth="1"/>
    <col min="2" max="2" width="13.125" bestFit="1" customWidth="1"/>
    <col min="3" max="3" width="13.125" customWidth="1"/>
    <col min="4" max="4" width="12.375" bestFit="1" customWidth="1"/>
    <col min="5" max="5" width="11.5" style="43" bestFit="1" customWidth="1"/>
    <col min="6" max="6" width="23.75" bestFit="1" customWidth="1"/>
    <col min="7" max="7" width="23.75" customWidth="1"/>
  </cols>
  <sheetData>
    <row r="2" spans="1:5">
      <c r="C2">
        <f>'oil and gas price minmax data'!B2</f>
        <v>12.22</v>
      </c>
    </row>
    <row r="3" spans="1:5">
      <c r="A3" s="1" t="s">
        <v>0</v>
      </c>
      <c r="B3" t="s">
        <v>1</v>
      </c>
      <c r="C3" s="118">
        <f>INDEX(A4:A687,MATCH(C2,B4:B687,0))</f>
        <v>43943</v>
      </c>
      <c r="D3" s="1" t="s">
        <v>0</v>
      </c>
      <c r="E3" s="43" t="s">
        <v>69</v>
      </c>
    </row>
    <row r="4" spans="1:5">
      <c r="A4" s="20">
        <v>43769</v>
      </c>
      <c r="B4" s="43">
        <v>52.66</v>
      </c>
      <c r="C4" s="43"/>
      <c r="D4" s="20">
        <v>43769</v>
      </c>
    </row>
    <row r="5" spans="1:5">
      <c r="A5" s="20">
        <v>43770</v>
      </c>
      <c r="B5" s="43">
        <v>53.32</v>
      </c>
      <c r="C5" s="43"/>
      <c r="D5" s="20">
        <v>43770</v>
      </c>
    </row>
    <row r="6" spans="1:5">
      <c r="A6" s="20">
        <v>43773</v>
      </c>
      <c r="B6" s="43">
        <v>54.09</v>
      </c>
      <c r="C6" s="43"/>
      <c r="D6" s="20">
        <v>43773</v>
      </c>
    </row>
    <row r="7" spans="1:5">
      <c r="A7" s="20">
        <v>43774</v>
      </c>
      <c r="B7" s="43">
        <v>53.41</v>
      </c>
      <c r="C7" s="43"/>
      <c r="D7" s="20">
        <v>43774</v>
      </c>
    </row>
    <row r="8" spans="1:5">
      <c r="A8" s="20">
        <v>43775</v>
      </c>
      <c r="B8" s="43">
        <v>52.97</v>
      </c>
      <c r="C8" s="43"/>
      <c r="D8" s="20">
        <v>43775</v>
      </c>
    </row>
    <row r="9" spans="1:5">
      <c r="A9" s="20">
        <v>43776</v>
      </c>
      <c r="B9" s="43">
        <v>53.26</v>
      </c>
      <c r="C9" s="43"/>
      <c r="D9" s="20">
        <v>43776</v>
      </c>
    </row>
    <row r="10" spans="1:5">
      <c r="A10" s="20">
        <v>43777</v>
      </c>
      <c r="B10" s="43">
        <v>53.54</v>
      </c>
      <c r="C10" s="43"/>
      <c r="D10" s="20">
        <v>43777</v>
      </c>
    </row>
    <row r="11" spans="1:5">
      <c r="A11" s="20">
        <v>43780</v>
      </c>
      <c r="B11" s="43">
        <v>53.47</v>
      </c>
      <c r="C11" s="43"/>
      <c r="D11" s="20">
        <v>43780</v>
      </c>
    </row>
    <row r="12" spans="1:5">
      <c r="A12" s="20">
        <v>43781</v>
      </c>
      <c r="B12" s="43">
        <v>53.32</v>
      </c>
      <c r="C12" s="43"/>
      <c r="D12" s="20">
        <v>43781</v>
      </c>
    </row>
    <row r="13" spans="1:5">
      <c r="A13" s="20">
        <v>43782</v>
      </c>
      <c r="B13" s="43">
        <v>53.65</v>
      </c>
      <c r="C13" s="43"/>
      <c r="D13" s="20">
        <v>43782</v>
      </c>
    </row>
    <row r="14" spans="1:5">
      <c r="A14" s="20">
        <v>43783</v>
      </c>
      <c r="B14" s="43">
        <v>54.11</v>
      </c>
      <c r="C14" s="43"/>
      <c r="D14" s="20">
        <v>43783</v>
      </c>
    </row>
    <row r="15" spans="1:5">
      <c r="A15" s="20">
        <v>43784</v>
      </c>
      <c r="B15" s="43">
        <v>54.18</v>
      </c>
      <c r="C15" s="43"/>
      <c r="D15" s="20">
        <v>43784</v>
      </c>
    </row>
    <row r="16" spans="1:5">
      <c r="A16" s="20">
        <v>43787</v>
      </c>
      <c r="B16" s="43">
        <v>54.27</v>
      </c>
      <c r="C16" s="43"/>
      <c r="D16" s="20">
        <v>43787</v>
      </c>
    </row>
    <row r="17" spans="1:4">
      <c r="A17" s="20">
        <v>43788</v>
      </c>
      <c r="B17" s="43">
        <v>54.12</v>
      </c>
      <c r="C17" s="43"/>
      <c r="D17" s="20">
        <v>43788</v>
      </c>
    </row>
    <row r="18" spans="1:4">
      <c r="A18" s="20">
        <v>43789</v>
      </c>
      <c r="B18" s="43">
        <v>54.09</v>
      </c>
      <c r="C18" s="43"/>
      <c r="D18" s="20">
        <v>43789</v>
      </c>
    </row>
    <row r="19" spans="1:4">
      <c r="A19" s="20">
        <v>43790</v>
      </c>
      <c r="B19" s="43">
        <v>54.04</v>
      </c>
      <c r="C19" s="43"/>
      <c r="D19" s="20">
        <v>43790</v>
      </c>
    </row>
    <row r="20" spans="1:4">
      <c r="A20" s="20">
        <v>43791</v>
      </c>
      <c r="B20" s="43">
        <v>54.01</v>
      </c>
      <c r="C20" s="43"/>
      <c r="D20" s="20">
        <v>43791</v>
      </c>
    </row>
    <row r="21" spans="1:4">
      <c r="A21" s="20">
        <v>43794</v>
      </c>
      <c r="B21" s="43">
        <v>56.22</v>
      </c>
      <c r="C21" s="43"/>
      <c r="D21" s="20">
        <v>43794</v>
      </c>
    </row>
    <row r="22" spans="1:4">
      <c r="A22" s="20">
        <v>43795</v>
      </c>
      <c r="B22" s="43">
        <v>56.54</v>
      </c>
      <c r="C22" s="43"/>
      <c r="D22" s="20">
        <v>43795</v>
      </c>
    </row>
    <row r="23" spans="1:4">
      <c r="A23" s="20">
        <v>43796</v>
      </c>
      <c r="B23" s="43">
        <v>57.16</v>
      </c>
      <c r="C23" s="43"/>
      <c r="D23" s="20">
        <v>43796</v>
      </c>
    </row>
    <row r="24" spans="1:4">
      <c r="A24" s="20">
        <v>43797</v>
      </c>
      <c r="B24" s="43">
        <v>56.41</v>
      </c>
      <c r="C24" s="43"/>
      <c r="D24" s="20">
        <v>43797</v>
      </c>
    </row>
    <row r="25" spans="1:4">
      <c r="A25" s="20">
        <v>43798</v>
      </c>
      <c r="B25" s="43">
        <v>57.04</v>
      </c>
      <c r="C25" s="43"/>
      <c r="D25" s="20">
        <v>43798</v>
      </c>
    </row>
    <row r="26" spans="1:4">
      <c r="A26" s="20">
        <v>43801</v>
      </c>
      <c r="B26" s="43">
        <v>57.11</v>
      </c>
      <c r="C26" s="43"/>
      <c r="D26" s="20">
        <v>43801</v>
      </c>
    </row>
    <row r="27" spans="1:4">
      <c r="A27" s="20">
        <v>43802</v>
      </c>
      <c r="B27" s="43">
        <v>56.85</v>
      </c>
      <c r="C27" s="43"/>
      <c r="D27" s="20">
        <v>43802</v>
      </c>
    </row>
    <row r="28" spans="1:4">
      <c r="A28" s="20">
        <v>43803</v>
      </c>
      <c r="B28" s="43">
        <v>56.81</v>
      </c>
      <c r="C28" s="43"/>
      <c r="D28" s="20">
        <v>43803</v>
      </c>
    </row>
    <row r="29" spans="1:4">
      <c r="A29" s="20">
        <v>43804</v>
      </c>
      <c r="B29" s="43">
        <v>57.01</v>
      </c>
      <c r="C29" s="43"/>
      <c r="D29" s="20">
        <v>43804</v>
      </c>
    </row>
    <row r="30" spans="1:4">
      <c r="A30" s="20">
        <v>43805</v>
      </c>
      <c r="B30" s="43">
        <v>56.83</v>
      </c>
      <c r="C30" s="43"/>
      <c r="D30" s="20">
        <v>43805</v>
      </c>
    </row>
    <row r="31" spans="1:4">
      <c r="A31" s="20">
        <v>43808</v>
      </c>
      <c r="B31" s="43">
        <v>57.31</v>
      </c>
      <c r="C31" s="43"/>
      <c r="D31" s="20">
        <v>43808</v>
      </c>
    </row>
    <row r="32" spans="1:4">
      <c r="A32" s="20">
        <v>43809</v>
      </c>
      <c r="B32" s="43">
        <v>57</v>
      </c>
      <c r="C32" s="43"/>
      <c r="D32" s="20">
        <v>43809</v>
      </c>
    </row>
    <row r="33" spans="1:4">
      <c r="A33" s="20">
        <v>43810</v>
      </c>
      <c r="B33" s="43">
        <v>56.28</v>
      </c>
      <c r="C33" s="43"/>
      <c r="D33" s="20">
        <v>43810</v>
      </c>
    </row>
    <row r="34" spans="1:4">
      <c r="A34" s="20">
        <v>43811</v>
      </c>
      <c r="B34" s="43">
        <v>56.87</v>
      </c>
      <c r="C34" s="43"/>
      <c r="D34" s="20">
        <v>43811</v>
      </c>
    </row>
    <row r="35" spans="1:4">
      <c r="A35" s="20">
        <v>43812</v>
      </c>
      <c r="B35" s="43">
        <v>57.34</v>
      </c>
      <c r="C35" s="43"/>
      <c r="D35" s="20">
        <v>43812</v>
      </c>
    </row>
    <row r="36" spans="1:4">
      <c r="A36" s="20">
        <v>43815</v>
      </c>
      <c r="B36" s="43">
        <v>57.14</v>
      </c>
      <c r="C36" s="43"/>
      <c r="D36" s="20">
        <v>43815</v>
      </c>
    </row>
    <row r="37" spans="1:4">
      <c r="A37" s="20">
        <v>43816</v>
      </c>
      <c r="B37" s="43">
        <v>57.19</v>
      </c>
      <c r="C37" s="43"/>
      <c r="D37" s="20">
        <v>43816</v>
      </c>
    </row>
    <row r="38" spans="1:4">
      <c r="A38" s="20">
        <v>43817</v>
      </c>
      <c r="B38" s="43">
        <v>57.25</v>
      </c>
      <c r="C38" s="43"/>
      <c r="D38" s="20">
        <v>43817</v>
      </c>
    </row>
    <row r="39" spans="1:4">
      <c r="A39" s="20">
        <v>43818</v>
      </c>
      <c r="B39" s="43">
        <v>57.22</v>
      </c>
      <c r="C39" s="43"/>
      <c r="D39" s="20">
        <v>43818</v>
      </c>
    </row>
    <row r="40" spans="1:4">
      <c r="A40" s="20">
        <v>43819</v>
      </c>
      <c r="B40" s="43">
        <v>57.07</v>
      </c>
      <c r="C40" s="43"/>
      <c r="D40" s="20">
        <v>43819</v>
      </c>
    </row>
    <row r="41" spans="1:4">
      <c r="A41" s="20">
        <v>43822</v>
      </c>
      <c r="B41" s="43">
        <v>55.94</v>
      </c>
      <c r="C41" s="43"/>
      <c r="D41" s="20">
        <v>43822</v>
      </c>
    </row>
    <row r="42" spans="1:4">
      <c r="A42" s="20">
        <v>43823</v>
      </c>
      <c r="B42" s="43">
        <v>56.07</v>
      </c>
      <c r="C42" s="43"/>
      <c r="D42" s="20">
        <v>43823</v>
      </c>
    </row>
    <row r="43" spans="1:4">
      <c r="A43" s="20">
        <v>43825</v>
      </c>
      <c r="B43" s="43">
        <v>58.17</v>
      </c>
      <c r="C43" s="43"/>
      <c r="D43" s="20">
        <v>43825</v>
      </c>
    </row>
    <row r="44" spans="1:4">
      <c r="A44" s="20">
        <v>43826</v>
      </c>
      <c r="B44" s="43">
        <v>58.17</v>
      </c>
      <c r="C44" s="43"/>
      <c r="D44" s="20">
        <v>43826</v>
      </c>
    </row>
    <row r="45" spans="1:4">
      <c r="A45" s="20">
        <v>43829</v>
      </c>
      <c r="B45" s="43">
        <v>58.79</v>
      </c>
      <c r="C45" s="43"/>
      <c r="D45" s="20">
        <v>43829</v>
      </c>
    </row>
    <row r="46" spans="1:4">
      <c r="A46" s="20">
        <v>43830</v>
      </c>
      <c r="B46" s="43">
        <v>58.65</v>
      </c>
      <c r="C46" s="43"/>
      <c r="D46" s="20">
        <v>43830</v>
      </c>
    </row>
    <row r="47" spans="1:4">
      <c r="A47" s="20">
        <v>43832</v>
      </c>
      <c r="B47" s="43">
        <v>58.81</v>
      </c>
      <c r="C47" s="43"/>
      <c r="D47" s="20">
        <v>43832</v>
      </c>
    </row>
    <row r="48" spans="1:4">
      <c r="A48" s="20">
        <v>43833</v>
      </c>
      <c r="B48" s="43">
        <v>58.49</v>
      </c>
      <c r="C48" s="43"/>
      <c r="D48" s="20">
        <v>43833</v>
      </c>
    </row>
    <row r="49" spans="1:4">
      <c r="A49" s="20">
        <v>43836</v>
      </c>
      <c r="B49" s="43">
        <v>58.74</v>
      </c>
      <c r="C49" s="43"/>
      <c r="D49" s="20">
        <v>43836</v>
      </c>
    </row>
    <row r="50" spans="1:4">
      <c r="A50" s="20">
        <v>43837</v>
      </c>
      <c r="B50" s="43">
        <v>59.26</v>
      </c>
      <c r="C50" s="43"/>
      <c r="D50" s="20">
        <v>43837</v>
      </c>
    </row>
    <row r="51" spans="1:4">
      <c r="A51" s="20">
        <v>43838</v>
      </c>
      <c r="B51" s="43">
        <v>59.34</v>
      </c>
      <c r="C51" s="43"/>
      <c r="D51" s="20">
        <v>43838</v>
      </c>
    </row>
    <row r="52" spans="1:4">
      <c r="A52" s="20">
        <v>43839</v>
      </c>
      <c r="B52" s="43">
        <v>59.69</v>
      </c>
      <c r="C52" s="43"/>
      <c r="D52" s="20">
        <v>43839</v>
      </c>
    </row>
    <row r="53" spans="1:4">
      <c r="A53" s="20">
        <v>43840</v>
      </c>
      <c r="B53" s="43">
        <v>59.68</v>
      </c>
      <c r="C53" s="43"/>
      <c r="D53" s="20">
        <v>43840</v>
      </c>
    </row>
    <row r="54" spans="1:4">
      <c r="A54" s="20">
        <v>43843</v>
      </c>
      <c r="B54" s="43">
        <v>59.81</v>
      </c>
      <c r="C54" s="43"/>
      <c r="D54" s="20">
        <v>43843</v>
      </c>
    </row>
    <row r="55" spans="1:4">
      <c r="A55" s="20">
        <v>43844</v>
      </c>
      <c r="B55" s="43">
        <v>59.56</v>
      </c>
      <c r="C55" s="43"/>
      <c r="D55" s="20">
        <v>43844</v>
      </c>
    </row>
    <row r="56" spans="1:4">
      <c r="A56" s="20">
        <v>43845</v>
      </c>
      <c r="B56" s="43">
        <v>59.58</v>
      </c>
      <c r="C56" s="43"/>
      <c r="D56" s="20">
        <v>43845</v>
      </c>
    </row>
    <row r="57" spans="1:4">
      <c r="A57" s="20">
        <v>43846</v>
      </c>
      <c r="B57" s="43">
        <v>59.72</v>
      </c>
      <c r="C57" s="43"/>
      <c r="D57" s="20">
        <v>43846</v>
      </c>
    </row>
    <row r="58" spans="1:4">
      <c r="A58" s="20">
        <v>43847</v>
      </c>
      <c r="B58" s="43">
        <v>59.83</v>
      </c>
      <c r="C58" s="43"/>
      <c r="D58" s="20">
        <v>43847</v>
      </c>
    </row>
    <row r="59" spans="1:4">
      <c r="A59" s="20">
        <v>43850</v>
      </c>
      <c r="B59" s="43">
        <v>59.84</v>
      </c>
      <c r="C59" s="43"/>
      <c r="D59" s="20">
        <v>43850</v>
      </c>
    </row>
    <row r="60" spans="1:4">
      <c r="A60" s="20">
        <v>43851</v>
      </c>
      <c r="B60" s="43">
        <v>59.83</v>
      </c>
      <c r="C60" s="43"/>
      <c r="D60" s="20">
        <v>43851</v>
      </c>
    </row>
    <row r="61" spans="1:4">
      <c r="A61" s="20">
        <v>43852</v>
      </c>
      <c r="B61" s="43">
        <v>59.8</v>
      </c>
      <c r="C61" s="43"/>
      <c r="D61" s="20">
        <v>43852</v>
      </c>
    </row>
    <row r="62" spans="1:4">
      <c r="A62" s="20">
        <v>43853</v>
      </c>
      <c r="B62" s="43">
        <v>61.09</v>
      </c>
      <c r="C62" s="43"/>
      <c r="D62" s="20">
        <v>43853</v>
      </c>
    </row>
    <row r="63" spans="1:4">
      <c r="A63" s="20">
        <v>43854</v>
      </c>
      <c r="B63" s="43">
        <v>62.52</v>
      </c>
      <c r="C63" s="43"/>
      <c r="D63" s="20">
        <v>43854</v>
      </c>
    </row>
    <row r="64" spans="1:4">
      <c r="A64" s="20">
        <v>43857</v>
      </c>
      <c r="B64" s="43">
        <v>61.98</v>
      </c>
      <c r="C64" s="43"/>
      <c r="D64" s="20">
        <v>43857</v>
      </c>
    </row>
    <row r="65" spans="1:4">
      <c r="A65" s="20">
        <v>43858</v>
      </c>
      <c r="B65" s="43">
        <v>60.67</v>
      </c>
      <c r="C65" s="43"/>
      <c r="D65" s="20">
        <v>43858</v>
      </c>
    </row>
    <row r="66" spans="1:4">
      <c r="A66" s="20">
        <v>43859</v>
      </c>
      <c r="B66" s="43">
        <v>60.11</v>
      </c>
      <c r="C66" s="43"/>
      <c r="D66" s="20">
        <v>43859</v>
      </c>
    </row>
    <row r="67" spans="1:4">
      <c r="A67" s="20">
        <v>43860</v>
      </c>
      <c r="B67" s="43">
        <v>58.8</v>
      </c>
      <c r="C67" s="43"/>
      <c r="D67" s="20">
        <v>43860</v>
      </c>
    </row>
    <row r="68" spans="1:4">
      <c r="A68" s="20">
        <v>43861</v>
      </c>
      <c r="B68" s="43">
        <v>58.94</v>
      </c>
      <c r="C68" s="43"/>
      <c r="D68" s="20">
        <v>43861</v>
      </c>
    </row>
    <row r="69" spans="1:4">
      <c r="A69" s="20">
        <v>43864</v>
      </c>
      <c r="B69" s="43">
        <v>55.53</v>
      </c>
      <c r="C69" s="43"/>
      <c r="D69" s="20">
        <v>43864</v>
      </c>
    </row>
    <row r="70" spans="1:4">
      <c r="A70" s="20">
        <v>43865</v>
      </c>
      <c r="B70" s="43">
        <v>54.68</v>
      </c>
      <c r="C70" s="43"/>
      <c r="D70" s="20">
        <v>43865</v>
      </c>
    </row>
    <row r="71" spans="1:4">
      <c r="A71" s="20">
        <v>43866</v>
      </c>
      <c r="B71" s="43">
        <v>55.01</v>
      </c>
      <c r="C71" s="43"/>
      <c r="D71" s="20">
        <v>43866</v>
      </c>
    </row>
    <row r="72" spans="1:4">
      <c r="A72" s="20">
        <v>43867</v>
      </c>
      <c r="B72" s="43">
        <v>55.74</v>
      </c>
      <c r="C72" s="43"/>
      <c r="D72" s="20">
        <v>43867</v>
      </c>
    </row>
    <row r="73" spans="1:4">
      <c r="A73" s="20">
        <v>43868</v>
      </c>
      <c r="B73" s="43">
        <v>55.13</v>
      </c>
      <c r="C73" s="43"/>
      <c r="D73" s="20">
        <v>43868</v>
      </c>
    </row>
    <row r="74" spans="1:4">
      <c r="A74" s="20">
        <v>43871</v>
      </c>
      <c r="B74" s="43">
        <v>54.21</v>
      </c>
      <c r="C74" s="43"/>
      <c r="D74" s="20">
        <v>43871</v>
      </c>
    </row>
    <row r="75" spans="1:4">
      <c r="A75" s="20">
        <v>43872</v>
      </c>
      <c r="B75" s="43">
        <v>54.2</v>
      </c>
      <c r="C75" s="43"/>
      <c r="D75" s="20">
        <v>43872</v>
      </c>
    </row>
    <row r="76" spans="1:4">
      <c r="A76" s="20">
        <v>43873</v>
      </c>
      <c r="B76" s="43">
        <v>55.59</v>
      </c>
      <c r="C76" s="43"/>
      <c r="D76" s="20">
        <v>43873</v>
      </c>
    </row>
    <row r="77" spans="1:4">
      <c r="A77" s="20">
        <v>43874</v>
      </c>
      <c r="B77" s="43">
        <v>55.9</v>
      </c>
      <c r="C77" s="43"/>
      <c r="D77" s="20">
        <v>43874</v>
      </c>
    </row>
    <row r="78" spans="1:4">
      <c r="A78" s="20">
        <v>43875</v>
      </c>
      <c r="B78" s="43">
        <v>56.77</v>
      </c>
      <c r="C78" s="43"/>
      <c r="D78" s="20">
        <v>43875</v>
      </c>
    </row>
    <row r="79" spans="1:4">
      <c r="A79" s="20">
        <v>43878</v>
      </c>
      <c r="B79" s="43">
        <v>57.28</v>
      </c>
      <c r="C79" s="43"/>
      <c r="D79" s="20">
        <v>43878</v>
      </c>
    </row>
    <row r="80" spans="1:4">
      <c r="A80" s="20">
        <v>43879</v>
      </c>
      <c r="B80" s="43">
        <v>56.72</v>
      </c>
      <c r="C80" s="43"/>
      <c r="D80" s="20">
        <v>43879</v>
      </c>
    </row>
    <row r="81" spans="1:4">
      <c r="A81" s="20">
        <v>43880</v>
      </c>
      <c r="B81" s="43">
        <v>57.56</v>
      </c>
      <c r="C81" s="43"/>
      <c r="D81" s="20">
        <v>43880</v>
      </c>
    </row>
    <row r="82" spans="1:4">
      <c r="A82" s="20">
        <v>43881</v>
      </c>
      <c r="B82" s="43">
        <v>57.53</v>
      </c>
      <c r="C82" s="43"/>
      <c r="D82" s="20">
        <v>43881</v>
      </c>
    </row>
    <row r="83" spans="1:4">
      <c r="A83" s="20">
        <v>43882</v>
      </c>
      <c r="B83" s="43">
        <v>50.16</v>
      </c>
      <c r="C83" s="43"/>
      <c r="D83" s="20">
        <v>43882</v>
      </c>
    </row>
    <row r="84" spans="1:4">
      <c r="A84" s="20">
        <v>43885</v>
      </c>
      <c r="B84" s="43">
        <v>49.7</v>
      </c>
      <c r="C84" s="43"/>
      <c r="D84" s="20">
        <v>43885</v>
      </c>
    </row>
    <row r="85" spans="1:4">
      <c r="A85" s="20">
        <v>43886</v>
      </c>
      <c r="B85" s="43">
        <v>50.71</v>
      </c>
      <c r="C85" s="43"/>
      <c r="D85" s="20">
        <v>43886</v>
      </c>
    </row>
    <row r="86" spans="1:4">
      <c r="A86" s="20">
        <v>43887</v>
      </c>
      <c r="B86" s="43">
        <v>50.88</v>
      </c>
      <c r="C86" s="43"/>
      <c r="D86" s="20">
        <v>43887</v>
      </c>
    </row>
    <row r="87" spans="1:4">
      <c r="A87" s="20">
        <v>43888</v>
      </c>
      <c r="B87" s="43">
        <v>50.4</v>
      </c>
      <c r="C87" s="43"/>
      <c r="D87" s="20">
        <v>43888</v>
      </c>
    </row>
    <row r="88" spans="1:4">
      <c r="A88" s="20">
        <v>43889</v>
      </c>
      <c r="B88" s="43">
        <v>49.84</v>
      </c>
      <c r="C88" s="43"/>
      <c r="D88" s="20">
        <v>43889</v>
      </c>
    </row>
    <row r="89" spans="1:4">
      <c r="A89" s="20">
        <v>43892</v>
      </c>
      <c r="B89" s="43">
        <v>50.1</v>
      </c>
      <c r="C89" s="43"/>
      <c r="D89" s="20">
        <v>43892</v>
      </c>
    </row>
    <row r="90" spans="1:4">
      <c r="A90" s="20">
        <v>43893</v>
      </c>
      <c r="B90" s="43">
        <v>50.88</v>
      </c>
      <c r="C90" s="43"/>
      <c r="D90" s="20">
        <v>43893</v>
      </c>
    </row>
    <row r="91" spans="1:4">
      <c r="A91" s="20">
        <v>43894</v>
      </c>
      <c r="B91" s="43">
        <v>51.03</v>
      </c>
      <c r="C91" s="43"/>
      <c r="D91" s="20">
        <v>43894</v>
      </c>
    </row>
    <row r="92" spans="1:4">
      <c r="A92" s="20">
        <v>43895</v>
      </c>
      <c r="B92" s="43">
        <v>51.37</v>
      </c>
      <c r="C92" s="43"/>
      <c r="D92" s="20">
        <v>43895</v>
      </c>
    </row>
    <row r="93" spans="1:4">
      <c r="A93" s="20">
        <v>43896</v>
      </c>
      <c r="B93" s="43">
        <v>48.35</v>
      </c>
      <c r="C93" s="43"/>
      <c r="D93" s="20">
        <v>43896</v>
      </c>
    </row>
    <row r="94" spans="1:4">
      <c r="A94" s="20">
        <v>43899</v>
      </c>
      <c r="B94" s="43">
        <v>34.72</v>
      </c>
      <c r="C94" s="43"/>
      <c r="D94" s="20">
        <v>43899</v>
      </c>
    </row>
    <row r="95" spans="1:4">
      <c r="A95" s="20">
        <v>43900</v>
      </c>
      <c r="B95" s="43">
        <v>35.729999999999997</v>
      </c>
      <c r="C95" s="43"/>
      <c r="D95" s="20">
        <v>43900</v>
      </c>
    </row>
    <row r="96" spans="1:4">
      <c r="A96" s="20">
        <v>43901</v>
      </c>
      <c r="B96" s="43">
        <v>35.56</v>
      </c>
      <c r="C96" s="43"/>
      <c r="D96" s="20">
        <v>43901</v>
      </c>
    </row>
    <row r="97" spans="1:4">
      <c r="A97" s="20">
        <v>43902</v>
      </c>
      <c r="B97" s="43">
        <v>33.270000000000003</v>
      </c>
      <c r="C97" s="43"/>
      <c r="D97" s="20">
        <v>43902</v>
      </c>
    </row>
    <row r="98" spans="1:4">
      <c r="A98" s="20">
        <v>43903</v>
      </c>
      <c r="B98" s="43">
        <v>34.14</v>
      </c>
      <c r="C98" s="43"/>
      <c r="D98" s="20">
        <v>43903</v>
      </c>
    </row>
    <row r="99" spans="1:4">
      <c r="A99" s="20">
        <v>43906</v>
      </c>
      <c r="B99" s="43">
        <v>30.63</v>
      </c>
      <c r="C99" s="43"/>
      <c r="D99" s="20">
        <v>43906</v>
      </c>
    </row>
    <row r="100" spans="1:4">
      <c r="A100" s="20">
        <v>43907</v>
      </c>
      <c r="B100" s="43">
        <v>30.36</v>
      </c>
      <c r="C100" s="43"/>
      <c r="D100" s="20">
        <v>43907</v>
      </c>
    </row>
    <row r="101" spans="1:4">
      <c r="A101" s="20">
        <v>43908</v>
      </c>
      <c r="B101" s="43">
        <v>27.31</v>
      </c>
      <c r="C101" s="43"/>
      <c r="D101" s="20">
        <v>43908</v>
      </c>
    </row>
    <row r="102" spans="1:4">
      <c r="A102" s="20">
        <v>43909</v>
      </c>
      <c r="B102" s="43">
        <v>26.73</v>
      </c>
      <c r="C102" s="43"/>
      <c r="D102" s="20">
        <v>43909</v>
      </c>
    </row>
    <row r="103" spans="1:4">
      <c r="A103" s="20">
        <v>43910</v>
      </c>
      <c r="B103" s="43">
        <v>28.57</v>
      </c>
      <c r="C103" s="43"/>
      <c r="D103" s="20">
        <v>43910</v>
      </c>
    </row>
    <row r="104" spans="1:4">
      <c r="A104" s="20">
        <v>43913</v>
      </c>
      <c r="B104" s="43">
        <v>24.72</v>
      </c>
      <c r="C104" s="43"/>
      <c r="D104" s="20">
        <v>43913</v>
      </c>
    </row>
    <row r="105" spans="1:4">
      <c r="A105" s="20">
        <v>43914</v>
      </c>
      <c r="B105" s="43">
        <v>26.53</v>
      </c>
      <c r="C105" s="43"/>
      <c r="D105" s="20">
        <v>43914</v>
      </c>
    </row>
    <row r="106" spans="1:4">
      <c r="A106" s="20">
        <v>43915</v>
      </c>
      <c r="B106" s="43">
        <v>26.94</v>
      </c>
      <c r="C106" s="43"/>
      <c r="D106" s="20">
        <v>43915</v>
      </c>
    </row>
    <row r="107" spans="1:4">
      <c r="A107" s="20">
        <v>43916</v>
      </c>
      <c r="B107" s="43">
        <v>26.04</v>
      </c>
      <c r="C107" s="43"/>
      <c r="D107" s="20">
        <v>43916</v>
      </c>
    </row>
    <row r="108" spans="1:4">
      <c r="A108" s="20">
        <v>43917</v>
      </c>
      <c r="B108" s="43">
        <v>24.26</v>
      </c>
      <c r="C108" s="43"/>
      <c r="D108" s="20">
        <v>43917</v>
      </c>
    </row>
    <row r="109" spans="1:4">
      <c r="A109" s="20">
        <v>43920</v>
      </c>
      <c r="B109" s="43">
        <v>21.66</v>
      </c>
      <c r="C109" s="43"/>
      <c r="D109" s="20">
        <v>43920</v>
      </c>
    </row>
    <row r="110" spans="1:4">
      <c r="A110" s="20">
        <v>43921</v>
      </c>
      <c r="B110" s="43">
        <v>22.61</v>
      </c>
      <c r="C110" s="43"/>
      <c r="D110" s="20">
        <v>43921</v>
      </c>
    </row>
    <row r="111" spans="1:4">
      <c r="A111" s="20">
        <v>43922</v>
      </c>
      <c r="B111" s="43">
        <v>16.850000000000001</v>
      </c>
      <c r="C111" s="43"/>
      <c r="D111" s="20">
        <v>43922</v>
      </c>
    </row>
    <row r="112" spans="1:4">
      <c r="A112" s="20">
        <v>43923</v>
      </c>
      <c r="B112" s="43">
        <v>18.91</v>
      </c>
      <c r="C112" s="43"/>
      <c r="D112" s="20">
        <v>43923</v>
      </c>
    </row>
    <row r="113" spans="1:4">
      <c r="A113" s="20">
        <v>43924</v>
      </c>
      <c r="B113" s="43">
        <v>23.01</v>
      </c>
      <c r="C113" s="43"/>
      <c r="D113" s="20">
        <v>43924</v>
      </c>
    </row>
    <row r="114" spans="1:4">
      <c r="A114" s="20">
        <v>43927</v>
      </c>
      <c r="B114" s="43">
        <v>23.48</v>
      </c>
      <c r="C114" s="43"/>
      <c r="D114" s="20">
        <v>43927</v>
      </c>
    </row>
    <row r="115" spans="1:4">
      <c r="A115" s="20">
        <v>43928</v>
      </c>
      <c r="B115" s="43">
        <v>22.67</v>
      </c>
      <c r="C115" s="43"/>
      <c r="D115" s="20">
        <v>43928</v>
      </c>
    </row>
    <row r="116" spans="1:4">
      <c r="A116" s="20">
        <v>43929</v>
      </c>
      <c r="B116" s="43">
        <v>21.19</v>
      </c>
      <c r="C116" s="43"/>
      <c r="D116" s="20">
        <v>43929</v>
      </c>
    </row>
    <row r="117" spans="1:4">
      <c r="A117" s="20">
        <v>43930</v>
      </c>
      <c r="B117" s="43">
        <v>21.77</v>
      </c>
      <c r="C117" s="43"/>
      <c r="D117" s="20">
        <v>43930</v>
      </c>
    </row>
    <row r="118" spans="1:4">
      <c r="A118" s="20">
        <v>43934</v>
      </c>
      <c r="B118" s="43">
        <v>21.18</v>
      </c>
      <c r="C118" s="43"/>
      <c r="D118" s="20">
        <v>43934</v>
      </c>
    </row>
    <row r="119" spans="1:4">
      <c r="A119" s="20">
        <v>43935</v>
      </c>
      <c r="B119" s="43">
        <v>19.7</v>
      </c>
      <c r="C119" s="43"/>
      <c r="D119" s="20">
        <v>43935</v>
      </c>
    </row>
    <row r="120" spans="1:4">
      <c r="A120" s="20">
        <v>43936</v>
      </c>
      <c r="B120" s="43">
        <v>17.510000000000002</v>
      </c>
      <c r="C120" s="43"/>
      <c r="D120" s="20">
        <v>43936</v>
      </c>
    </row>
    <row r="121" spans="1:4">
      <c r="A121" s="20">
        <v>43937</v>
      </c>
      <c r="B121" s="43">
        <v>17.73</v>
      </c>
      <c r="C121" s="43"/>
      <c r="D121" s="20">
        <v>43937</v>
      </c>
    </row>
    <row r="122" spans="1:4">
      <c r="A122" s="20">
        <v>43938</v>
      </c>
      <c r="B122" s="43">
        <v>18.170000000000002</v>
      </c>
      <c r="C122" s="43"/>
      <c r="D122" s="20">
        <v>43938</v>
      </c>
    </row>
    <row r="123" spans="1:4">
      <c r="A123" s="20">
        <v>43941</v>
      </c>
      <c r="B123" s="43">
        <v>14.19</v>
      </c>
      <c r="C123" s="43"/>
      <c r="D123" s="20">
        <v>43941</v>
      </c>
    </row>
    <row r="124" spans="1:4">
      <c r="A124" s="20">
        <v>43942</v>
      </c>
      <c r="B124" s="43">
        <v>14.63</v>
      </c>
      <c r="C124" s="43"/>
      <c r="D124" s="20">
        <v>43942</v>
      </c>
    </row>
    <row r="125" spans="1:4">
      <c r="A125" s="20">
        <v>43943</v>
      </c>
      <c r="B125" s="43">
        <v>12.22</v>
      </c>
      <c r="C125" s="43"/>
      <c r="D125" s="20">
        <v>43943</v>
      </c>
    </row>
    <row r="126" spans="1:4">
      <c r="A126" s="20">
        <v>43944</v>
      </c>
      <c r="B126" s="43">
        <v>15.23</v>
      </c>
      <c r="C126" s="43"/>
      <c r="D126" s="20">
        <v>43944</v>
      </c>
    </row>
    <row r="127" spans="1:4">
      <c r="A127" s="20">
        <v>43945</v>
      </c>
      <c r="B127" s="43">
        <v>14.31</v>
      </c>
      <c r="C127" s="43"/>
      <c r="D127" s="20">
        <v>43945</v>
      </c>
    </row>
    <row r="128" spans="1:4">
      <c r="A128" s="20">
        <v>43948</v>
      </c>
      <c r="B128" s="43">
        <v>13.3</v>
      </c>
      <c r="C128" s="43"/>
      <c r="D128" s="20">
        <v>43948</v>
      </c>
    </row>
    <row r="129" spans="1:4">
      <c r="A129" s="20">
        <v>43949</v>
      </c>
      <c r="B129" s="43">
        <v>12.41</v>
      </c>
      <c r="C129" s="43"/>
      <c r="D129" s="20">
        <v>43949</v>
      </c>
    </row>
    <row r="130" spans="1:4">
      <c r="A130" s="20">
        <v>43950</v>
      </c>
      <c r="B130" s="43">
        <v>14.36</v>
      </c>
      <c r="C130" s="43"/>
      <c r="D130" s="20">
        <v>43950</v>
      </c>
    </row>
    <row r="131" spans="1:4">
      <c r="A131" s="20">
        <v>43951</v>
      </c>
      <c r="B131" s="43">
        <v>18.05</v>
      </c>
      <c r="C131" s="43"/>
      <c r="D131" s="20">
        <v>43951</v>
      </c>
    </row>
    <row r="132" spans="1:4">
      <c r="A132" s="20">
        <v>43952</v>
      </c>
      <c r="B132" s="43">
        <v>16.52</v>
      </c>
      <c r="C132" s="43"/>
      <c r="D132" s="20">
        <v>43952</v>
      </c>
    </row>
    <row r="133" spans="1:4">
      <c r="A133" s="20">
        <v>43955</v>
      </c>
      <c r="B133" s="43">
        <v>18.36</v>
      </c>
      <c r="C133" s="43"/>
      <c r="D133" s="20">
        <v>43955</v>
      </c>
    </row>
    <row r="134" spans="1:4">
      <c r="A134" s="20">
        <v>43956</v>
      </c>
      <c r="B134" s="43">
        <v>21.43</v>
      </c>
      <c r="C134" s="43"/>
      <c r="D134" s="20">
        <v>43956</v>
      </c>
    </row>
    <row r="135" spans="1:4">
      <c r="A135" s="20">
        <v>43957</v>
      </c>
      <c r="B135" s="43">
        <v>22.4</v>
      </c>
      <c r="C135" s="43"/>
      <c r="D135" s="20">
        <v>43957</v>
      </c>
    </row>
    <row r="136" spans="1:4">
      <c r="A136" s="20">
        <v>43958</v>
      </c>
      <c r="B136" s="43">
        <v>16.18</v>
      </c>
      <c r="C136" s="43"/>
      <c r="D136" s="20">
        <v>43958</v>
      </c>
    </row>
    <row r="137" spans="1:4">
      <c r="A137" s="20">
        <v>43959</v>
      </c>
      <c r="B137" s="43">
        <v>15.5</v>
      </c>
      <c r="C137" s="43"/>
      <c r="D137" s="20">
        <v>43959</v>
      </c>
    </row>
    <row r="138" spans="1:4">
      <c r="A138" s="20">
        <v>43962</v>
      </c>
      <c r="B138" s="43">
        <v>16.23</v>
      </c>
      <c r="C138" s="43"/>
      <c r="D138" s="20">
        <v>43962</v>
      </c>
    </row>
    <row r="139" spans="1:4">
      <c r="A139" s="20">
        <v>43963</v>
      </c>
      <c r="B139" s="43">
        <v>17.010000000000002</v>
      </c>
      <c r="C139" s="43"/>
      <c r="D139" s="20">
        <v>43963</v>
      </c>
    </row>
    <row r="140" spans="1:4">
      <c r="A140" s="20">
        <v>43964</v>
      </c>
      <c r="B140" s="43">
        <v>17.12</v>
      </c>
      <c r="C140" s="43"/>
      <c r="D140" s="20">
        <v>43964</v>
      </c>
    </row>
    <row r="141" spans="1:4">
      <c r="A141" s="20">
        <v>43965</v>
      </c>
      <c r="B141" s="43">
        <v>16.32</v>
      </c>
      <c r="C141" s="43"/>
      <c r="D141" s="20">
        <v>43965</v>
      </c>
    </row>
    <row r="142" spans="1:4">
      <c r="A142" s="20">
        <v>43966</v>
      </c>
      <c r="B142" s="43">
        <v>16.260000000000002</v>
      </c>
      <c r="C142" s="43"/>
      <c r="D142" s="20">
        <v>43966</v>
      </c>
    </row>
    <row r="143" spans="1:4">
      <c r="A143" s="20">
        <v>43969</v>
      </c>
      <c r="B143" s="43">
        <v>16.52</v>
      </c>
      <c r="C143" s="43"/>
      <c r="D143" s="20">
        <v>43969</v>
      </c>
    </row>
    <row r="144" spans="1:4">
      <c r="A144" s="20">
        <v>43970</v>
      </c>
      <c r="B144" s="43">
        <v>16.7</v>
      </c>
      <c r="C144" s="43"/>
      <c r="D144" s="20">
        <v>43970</v>
      </c>
    </row>
    <row r="145" spans="1:4">
      <c r="A145" s="20">
        <v>43971</v>
      </c>
      <c r="B145" s="43">
        <v>20.66</v>
      </c>
      <c r="C145" s="43"/>
      <c r="D145" s="20">
        <v>43971</v>
      </c>
    </row>
    <row r="146" spans="1:4">
      <c r="A146" s="20">
        <v>43972</v>
      </c>
      <c r="B146" s="43">
        <v>21.2</v>
      </c>
      <c r="C146" s="43"/>
      <c r="D146" s="20">
        <v>43972</v>
      </c>
    </row>
    <row r="147" spans="1:4">
      <c r="A147" s="20">
        <v>43973</v>
      </c>
      <c r="B147" s="43">
        <v>24.79</v>
      </c>
      <c r="C147" s="43"/>
      <c r="D147" s="20">
        <v>43973</v>
      </c>
    </row>
    <row r="148" spans="1:4">
      <c r="A148" s="20">
        <v>43977</v>
      </c>
      <c r="B148" s="43">
        <v>24.2</v>
      </c>
      <c r="C148" s="43"/>
      <c r="D148" s="20">
        <v>43977</v>
      </c>
    </row>
    <row r="149" spans="1:4">
      <c r="A149" s="20">
        <v>43978</v>
      </c>
      <c r="B149" s="43">
        <v>23.72</v>
      </c>
      <c r="C149" s="43"/>
      <c r="D149" s="20">
        <v>43978</v>
      </c>
    </row>
    <row r="150" spans="1:4">
      <c r="A150" s="20">
        <v>43979</v>
      </c>
      <c r="B150" s="43">
        <v>24.67</v>
      </c>
      <c r="C150" s="43"/>
      <c r="D150" s="20">
        <v>43979</v>
      </c>
    </row>
    <row r="151" spans="1:4">
      <c r="A151" s="20">
        <v>43980</v>
      </c>
      <c r="B151" s="43">
        <v>24.08</v>
      </c>
      <c r="C151" s="43"/>
      <c r="D151" s="20">
        <v>43980</v>
      </c>
    </row>
    <row r="152" spans="1:4">
      <c r="A152" s="20">
        <v>43983</v>
      </c>
      <c r="B152" s="43">
        <v>25.01</v>
      </c>
      <c r="C152" s="43"/>
      <c r="D152" s="20">
        <v>43983</v>
      </c>
    </row>
    <row r="153" spans="1:4">
      <c r="A153" s="20">
        <v>43984</v>
      </c>
      <c r="B153" s="43">
        <v>24.66</v>
      </c>
      <c r="C153" s="43"/>
      <c r="D153" s="20">
        <v>43984</v>
      </c>
    </row>
    <row r="154" spans="1:4">
      <c r="A154" s="20">
        <v>43985</v>
      </c>
      <c r="B154" s="43">
        <v>25.88</v>
      </c>
      <c r="C154" s="43"/>
      <c r="D154" s="20">
        <v>43985</v>
      </c>
    </row>
    <row r="155" spans="1:4">
      <c r="A155" s="20">
        <v>43986</v>
      </c>
      <c r="B155" s="43">
        <v>26.74</v>
      </c>
      <c r="C155" s="43"/>
      <c r="D155" s="20">
        <v>43986</v>
      </c>
    </row>
    <row r="156" spans="1:4">
      <c r="A156" s="20">
        <v>43987</v>
      </c>
      <c r="B156" s="43">
        <v>27.72</v>
      </c>
      <c r="C156" s="43"/>
      <c r="D156" s="20">
        <v>43987</v>
      </c>
    </row>
    <row r="157" spans="1:4">
      <c r="A157" s="20">
        <v>43990</v>
      </c>
      <c r="B157" s="43">
        <v>27.86</v>
      </c>
      <c r="C157" s="43"/>
      <c r="D157" s="20">
        <v>43990</v>
      </c>
    </row>
    <row r="158" spans="1:4">
      <c r="A158" s="20">
        <v>43991</v>
      </c>
      <c r="B158" s="43">
        <v>28.4</v>
      </c>
      <c r="C158" s="43"/>
      <c r="D158" s="20">
        <v>43991</v>
      </c>
    </row>
    <row r="159" spans="1:4">
      <c r="A159" s="20">
        <v>43992</v>
      </c>
      <c r="B159" s="43">
        <v>28.53</v>
      </c>
      <c r="C159" s="43"/>
      <c r="D159" s="20">
        <v>43992</v>
      </c>
    </row>
    <row r="160" spans="1:4">
      <c r="A160" s="20">
        <v>43993</v>
      </c>
      <c r="B160" s="43">
        <v>28.36</v>
      </c>
      <c r="C160" s="43"/>
      <c r="D160" s="20">
        <v>43993</v>
      </c>
    </row>
    <row r="161" spans="1:5">
      <c r="A161" s="20">
        <v>43994</v>
      </c>
      <c r="B161" s="43">
        <v>28.58</v>
      </c>
      <c r="C161" s="43"/>
      <c r="D161" s="20">
        <v>43994</v>
      </c>
    </row>
    <row r="162" spans="1:5">
      <c r="A162" s="20">
        <v>43997</v>
      </c>
      <c r="B162" s="43">
        <v>28.35</v>
      </c>
      <c r="C162" s="43"/>
      <c r="D162" s="20">
        <v>43997</v>
      </c>
    </row>
    <row r="163" spans="1:5">
      <c r="A163" s="20">
        <v>43998</v>
      </c>
      <c r="B163" s="43">
        <v>28.44</v>
      </c>
      <c r="C163" s="43"/>
      <c r="D163" s="20">
        <v>43998</v>
      </c>
    </row>
    <row r="164" spans="1:5">
      <c r="A164" s="20">
        <v>43999</v>
      </c>
      <c r="B164" s="43">
        <v>28.53</v>
      </c>
      <c r="C164" s="43"/>
      <c r="D164" s="20">
        <v>43999</v>
      </c>
    </row>
    <row r="165" spans="1:5">
      <c r="A165" s="20">
        <v>44000</v>
      </c>
      <c r="B165" s="43">
        <v>35.54</v>
      </c>
      <c r="C165" s="43"/>
      <c r="D165" s="20">
        <v>44000</v>
      </c>
    </row>
    <row r="166" spans="1:5">
      <c r="A166" s="20">
        <v>44001</v>
      </c>
      <c r="B166" s="43">
        <v>36.82</v>
      </c>
      <c r="C166" s="43"/>
      <c r="D166" s="20">
        <v>44001</v>
      </c>
    </row>
    <row r="167" spans="1:5">
      <c r="A167" s="20">
        <v>44004</v>
      </c>
      <c r="B167" s="43">
        <v>37.270000000000003</v>
      </c>
      <c r="C167" s="43"/>
      <c r="D167" s="20">
        <v>44004</v>
      </c>
    </row>
    <row r="168" spans="1:5">
      <c r="A168" s="20">
        <v>44005</v>
      </c>
      <c r="B168" s="43">
        <v>37.369999999999997</v>
      </c>
      <c r="C168" s="43"/>
      <c r="D168" s="20">
        <v>44005</v>
      </c>
    </row>
    <row r="169" spans="1:5">
      <c r="A169" s="20">
        <v>44006</v>
      </c>
      <c r="B169" s="43">
        <v>38.17</v>
      </c>
      <c r="C169" s="43"/>
      <c r="D169" s="20">
        <v>44006</v>
      </c>
    </row>
    <row r="170" spans="1:5">
      <c r="A170" s="20">
        <v>44007</v>
      </c>
      <c r="B170" s="43">
        <v>37.18</v>
      </c>
      <c r="C170" s="43"/>
      <c r="D170" s="20">
        <v>44007</v>
      </c>
    </row>
    <row r="171" spans="1:5">
      <c r="A171" s="20">
        <v>44008</v>
      </c>
      <c r="B171" s="43">
        <v>37.99</v>
      </c>
      <c r="C171" s="43"/>
      <c r="D171" s="20">
        <v>44008</v>
      </c>
    </row>
    <row r="172" spans="1:5">
      <c r="A172" s="20">
        <v>44011</v>
      </c>
      <c r="B172" s="43">
        <v>37.340000000000003</v>
      </c>
      <c r="C172" s="43"/>
      <c r="D172" s="20">
        <v>44011</v>
      </c>
      <c r="E172" s="43">
        <v>2.1</v>
      </c>
    </row>
    <row r="173" spans="1:5">
      <c r="A173" s="20">
        <v>44012</v>
      </c>
      <c r="B173" s="43">
        <v>36.97</v>
      </c>
      <c r="C173" s="43"/>
      <c r="D173" s="20">
        <v>44012</v>
      </c>
    </row>
    <row r="174" spans="1:5">
      <c r="A174" s="20">
        <v>44013</v>
      </c>
      <c r="B174" s="43">
        <v>36.93</v>
      </c>
      <c r="C174" s="43"/>
      <c r="D174" s="20">
        <v>44013</v>
      </c>
    </row>
    <row r="175" spans="1:5">
      <c r="A175" s="20">
        <v>44014</v>
      </c>
      <c r="B175" s="43">
        <v>37.42</v>
      </c>
      <c r="C175" s="43"/>
      <c r="D175" s="20">
        <v>44014</v>
      </c>
    </row>
    <row r="176" spans="1:5">
      <c r="A176" s="20">
        <v>44015</v>
      </c>
      <c r="B176" s="43">
        <v>38.03</v>
      </c>
      <c r="C176" s="43"/>
      <c r="D176" s="20">
        <v>44015</v>
      </c>
    </row>
    <row r="177" spans="1:4">
      <c r="A177" s="20">
        <v>44018</v>
      </c>
      <c r="B177" s="43">
        <v>37.840000000000003</v>
      </c>
      <c r="C177" s="43"/>
      <c r="D177" s="20">
        <v>44018</v>
      </c>
    </row>
    <row r="178" spans="1:4">
      <c r="A178" s="20">
        <v>44019</v>
      </c>
      <c r="B178" s="43">
        <v>38.19</v>
      </c>
      <c r="C178" s="43"/>
      <c r="D178" s="20">
        <v>44019</v>
      </c>
    </row>
    <row r="179" spans="1:4">
      <c r="A179" s="20">
        <v>44020</v>
      </c>
      <c r="B179" s="43">
        <v>38.479999999999997</v>
      </c>
      <c r="C179" s="43"/>
      <c r="D179" s="20">
        <v>44020</v>
      </c>
    </row>
    <row r="180" spans="1:4">
      <c r="A180" s="20">
        <v>44021</v>
      </c>
      <c r="B180" s="43">
        <v>38.76</v>
      </c>
      <c r="C180" s="43"/>
      <c r="D180" s="20">
        <v>44021</v>
      </c>
    </row>
    <row r="181" spans="1:4">
      <c r="A181" s="20">
        <v>44022</v>
      </c>
      <c r="B181" s="43">
        <v>38.659999999999997</v>
      </c>
      <c r="C181" s="43"/>
      <c r="D181" s="20">
        <v>44022</v>
      </c>
    </row>
    <row r="182" spans="1:4">
      <c r="A182" s="20">
        <v>44025</v>
      </c>
      <c r="B182" s="43">
        <v>38.130000000000003</v>
      </c>
      <c r="C182" s="43"/>
      <c r="D182" s="20">
        <v>44025</v>
      </c>
    </row>
    <row r="183" spans="1:4">
      <c r="A183" s="20">
        <v>44026</v>
      </c>
      <c r="B183" s="43">
        <v>38.25</v>
      </c>
      <c r="C183" s="43"/>
      <c r="D183" s="20">
        <v>44026</v>
      </c>
    </row>
    <row r="184" spans="1:4">
      <c r="A184" s="20">
        <v>44027</v>
      </c>
      <c r="B184" s="43">
        <v>38.22</v>
      </c>
      <c r="C184" s="43"/>
      <c r="D184" s="20">
        <v>44027</v>
      </c>
    </row>
    <row r="185" spans="1:4">
      <c r="A185" s="20">
        <v>44028</v>
      </c>
      <c r="B185" s="43">
        <v>38.33</v>
      </c>
      <c r="C185" s="43"/>
      <c r="D185" s="20">
        <v>44028</v>
      </c>
    </row>
    <row r="186" spans="1:4">
      <c r="A186" s="20">
        <v>44029</v>
      </c>
      <c r="B186" s="43">
        <v>38.31</v>
      </c>
      <c r="C186" s="43"/>
      <c r="D186" s="20">
        <v>44029</v>
      </c>
    </row>
    <row r="187" spans="1:4">
      <c r="A187" s="20">
        <v>44032</v>
      </c>
      <c r="B187" s="43">
        <v>39.86</v>
      </c>
      <c r="C187" s="43"/>
      <c r="D187" s="20">
        <v>44032</v>
      </c>
    </row>
    <row r="188" spans="1:4">
      <c r="A188" s="20">
        <v>44033</v>
      </c>
      <c r="B188" s="43">
        <v>40.65</v>
      </c>
      <c r="C188" s="43"/>
      <c r="D188" s="20">
        <v>44033</v>
      </c>
    </row>
    <row r="189" spans="1:4">
      <c r="A189" s="20">
        <v>44034</v>
      </c>
      <c r="B189" s="43">
        <v>40.630000000000003</v>
      </c>
      <c r="C189" s="43"/>
      <c r="D189" s="20">
        <v>44034</v>
      </c>
    </row>
    <row r="190" spans="1:4">
      <c r="A190" s="20">
        <v>44035</v>
      </c>
      <c r="B190" s="43">
        <v>40.61</v>
      </c>
      <c r="C190" s="43"/>
      <c r="D190" s="20">
        <v>44035</v>
      </c>
    </row>
    <row r="191" spans="1:4">
      <c r="A191" s="20">
        <v>44036</v>
      </c>
      <c r="B191" s="43">
        <v>40.869999999999997</v>
      </c>
      <c r="C191" s="43"/>
      <c r="D191" s="20">
        <v>44036</v>
      </c>
    </row>
    <row r="192" spans="1:4">
      <c r="A192" s="20">
        <v>44039</v>
      </c>
      <c r="B192" s="43">
        <v>39.9</v>
      </c>
      <c r="C192" s="43"/>
      <c r="D192" s="20">
        <v>44039</v>
      </c>
    </row>
    <row r="193" spans="1:4">
      <c r="A193" s="20">
        <v>44040</v>
      </c>
      <c r="B193" s="43">
        <v>40.58</v>
      </c>
      <c r="C193" s="43"/>
      <c r="D193" s="20">
        <v>44040</v>
      </c>
    </row>
    <row r="194" spans="1:4">
      <c r="A194" s="20">
        <v>44041</v>
      </c>
      <c r="B194" s="43">
        <v>40.28</v>
      </c>
      <c r="C194" s="43"/>
      <c r="D194" s="20">
        <v>44041</v>
      </c>
    </row>
    <row r="195" spans="1:4">
      <c r="A195" s="20">
        <v>44042</v>
      </c>
      <c r="B195" s="43">
        <v>40.409999999999997</v>
      </c>
      <c r="C195" s="43"/>
      <c r="D195" s="20">
        <v>44042</v>
      </c>
    </row>
    <row r="196" spans="1:4">
      <c r="A196" s="20">
        <v>44043</v>
      </c>
      <c r="B196" s="43">
        <v>40.93</v>
      </c>
      <c r="C196" s="43"/>
      <c r="D196" s="20">
        <v>44043</v>
      </c>
    </row>
    <row r="197" spans="1:4">
      <c r="A197" s="20">
        <v>44046</v>
      </c>
      <c r="B197" s="43">
        <v>40.67</v>
      </c>
      <c r="C197" s="43"/>
      <c r="D197" s="20">
        <v>44046</v>
      </c>
    </row>
    <row r="198" spans="1:4">
      <c r="A198" s="20">
        <v>44047</v>
      </c>
      <c r="B198" s="43">
        <v>40.590000000000003</v>
      </c>
      <c r="C198" s="43"/>
      <c r="D198" s="20">
        <v>44047</v>
      </c>
    </row>
    <row r="199" spans="1:4">
      <c r="A199" s="20">
        <v>44048</v>
      </c>
      <c r="B199" s="43">
        <v>40.67</v>
      </c>
      <c r="C199" s="43"/>
      <c r="D199" s="20">
        <v>44048</v>
      </c>
    </row>
    <row r="200" spans="1:4">
      <c r="A200" s="20">
        <v>44049</v>
      </c>
      <c r="B200" s="43">
        <v>41.08</v>
      </c>
      <c r="C200" s="43"/>
      <c r="D200" s="20">
        <v>44049</v>
      </c>
    </row>
    <row r="201" spans="1:4">
      <c r="A201" s="20">
        <v>44050</v>
      </c>
      <c r="B201" s="43">
        <v>41.08</v>
      </c>
      <c r="C201" s="43"/>
      <c r="D201" s="20">
        <v>44050</v>
      </c>
    </row>
    <row r="202" spans="1:4">
      <c r="A202" s="20">
        <v>44053</v>
      </c>
      <c r="B202" s="43">
        <v>40.81</v>
      </c>
      <c r="C202" s="43"/>
      <c r="D202" s="20">
        <v>44053</v>
      </c>
    </row>
    <row r="203" spans="1:4">
      <c r="A203" s="20">
        <v>44054</v>
      </c>
      <c r="B203" s="43">
        <v>40.869999999999997</v>
      </c>
      <c r="C203" s="43"/>
      <c r="D203" s="20">
        <v>44054</v>
      </c>
    </row>
    <row r="204" spans="1:4">
      <c r="A204" s="20">
        <v>44055</v>
      </c>
      <c r="B204" s="43">
        <v>40.94</v>
      </c>
      <c r="C204" s="43"/>
      <c r="D204" s="20">
        <v>44055</v>
      </c>
    </row>
    <row r="205" spans="1:4">
      <c r="A205" s="20">
        <v>44056</v>
      </c>
      <c r="B205" s="43">
        <v>40.840000000000003</v>
      </c>
      <c r="C205" s="43"/>
      <c r="D205" s="20">
        <v>44056</v>
      </c>
    </row>
    <row r="206" spans="1:4">
      <c r="A206" s="20">
        <v>44057</v>
      </c>
      <c r="B206" s="43">
        <v>40.869999999999997</v>
      </c>
      <c r="C206" s="43"/>
      <c r="D206" s="20">
        <v>44057</v>
      </c>
    </row>
    <row r="207" spans="1:4">
      <c r="A207" s="20">
        <v>44060</v>
      </c>
      <c r="B207" s="43">
        <v>40.75</v>
      </c>
      <c r="C207" s="43"/>
      <c r="D207" s="20">
        <v>44060</v>
      </c>
    </row>
    <row r="208" spans="1:4">
      <c r="A208" s="20">
        <v>44061</v>
      </c>
      <c r="B208" s="43">
        <v>40.770000000000003</v>
      </c>
      <c r="C208" s="43"/>
      <c r="D208" s="20">
        <v>44061</v>
      </c>
    </row>
    <row r="209" spans="1:5">
      <c r="A209" s="20">
        <v>44062</v>
      </c>
      <c r="B209" s="43">
        <v>41.11</v>
      </c>
      <c r="C209" s="43"/>
      <c r="D209" s="20">
        <v>44062</v>
      </c>
    </row>
    <row r="210" spans="1:5">
      <c r="A210" s="20">
        <v>44063</v>
      </c>
      <c r="B210" s="43">
        <v>41.74</v>
      </c>
      <c r="C210" s="43"/>
      <c r="D210" s="20">
        <v>44063</v>
      </c>
    </row>
    <row r="211" spans="1:5">
      <c r="A211" s="20">
        <v>44064</v>
      </c>
      <c r="B211" s="43">
        <v>42.19</v>
      </c>
      <c r="C211" s="43"/>
      <c r="D211" s="20">
        <v>44064</v>
      </c>
    </row>
    <row r="212" spans="1:5">
      <c r="A212" s="20">
        <v>44067</v>
      </c>
      <c r="B212" s="43">
        <v>41.99</v>
      </c>
      <c r="C212" s="43"/>
      <c r="D212" s="20">
        <v>44067</v>
      </c>
    </row>
    <row r="213" spans="1:5">
      <c r="A213" s="20">
        <v>44068</v>
      </c>
      <c r="B213" s="43">
        <v>41.4</v>
      </c>
      <c r="C213" s="43"/>
      <c r="D213" s="20">
        <v>44068</v>
      </c>
    </row>
    <row r="214" spans="1:5">
      <c r="A214" s="20">
        <v>44069</v>
      </c>
      <c r="B214" s="43">
        <v>41.94</v>
      </c>
      <c r="C214" s="43"/>
      <c r="D214" s="20">
        <v>44069</v>
      </c>
      <c r="E214" s="43">
        <v>1.9947599999999999</v>
      </c>
    </row>
    <row r="215" spans="1:5">
      <c r="A215" s="20">
        <v>44070</v>
      </c>
      <c r="B215" s="43">
        <v>41.71</v>
      </c>
      <c r="C215" s="43"/>
      <c r="D215" s="20">
        <v>44070</v>
      </c>
    </row>
    <row r="216" spans="1:5">
      <c r="A216" s="20">
        <v>44071</v>
      </c>
      <c r="B216" s="43">
        <v>42.43</v>
      </c>
      <c r="C216" s="43"/>
      <c r="D216" s="20">
        <v>44071</v>
      </c>
    </row>
    <row r="217" spans="1:5">
      <c r="A217" s="20">
        <v>44074</v>
      </c>
      <c r="B217" s="43">
        <v>42.16</v>
      </c>
      <c r="C217" s="43"/>
      <c r="D217" s="20">
        <v>44074</v>
      </c>
    </row>
    <row r="218" spans="1:5">
      <c r="A218" s="20">
        <v>44075</v>
      </c>
      <c r="B218" s="43">
        <v>42.04</v>
      </c>
      <c r="C218" s="43"/>
      <c r="D218" s="20">
        <v>44075</v>
      </c>
    </row>
    <row r="219" spans="1:5">
      <c r="A219" s="20">
        <v>44076</v>
      </c>
      <c r="B219" s="43">
        <v>42.49</v>
      </c>
      <c r="C219" s="43"/>
      <c r="D219" s="20">
        <v>44076</v>
      </c>
    </row>
    <row r="220" spans="1:5">
      <c r="A220" s="20">
        <v>44077</v>
      </c>
      <c r="B220" s="43">
        <v>42.47</v>
      </c>
      <c r="C220" s="43"/>
      <c r="D220" s="20">
        <v>44077</v>
      </c>
    </row>
    <row r="221" spans="1:5">
      <c r="A221" s="20">
        <v>44078</v>
      </c>
      <c r="B221" s="43">
        <v>42.47</v>
      </c>
      <c r="C221" s="43"/>
      <c r="D221" s="20">
        <v>44078</v>
      </c>
    </row>
    <row r="222" spans="1:5">
      <c r="A222" s="20">
        <v>44081</v>
      </c>
      <c r="B222" s="43">
        <v>41.64</v>
      </c>
      <c r="C222" s="43"/>
      <c r="D222" s="20">
        <v>44081</v>
      </c>
    </row>
    <row r="223" spans="1:5">
      <c r="A223" s="20">
        <v>44082</v>
      </c>
      <c r="B223" s="43">
        <v>40.29</v>
      </c>
      <c r="C223" s="43"/>
      <c r="D223" s="20">
        <v>44082</v>
      </c>
    </row>
    <row r="224" spans="1:5">
      <c r="A224" s="20">
        <v>44083</v>
      </c>
      <c r="B224" s="43">
        <v>39.82</v>
      </c>
      <c r="C224" s="43"/>
      <c r="D224" s="20">
        <v>44083</v>
      </c>
    </row>
    <row r="225" spans="1:5">
      <c r="A225" s="20">
        <v>44084</v>
      </c>
      <c r="B225" s="43">
        <v>39.83</v>
      </c>
      <c r="C225" s="43"/>
      <c r="D225" s="20">
        <v>44084</v>
      </c>
    </row>
    <row r="226" spans="1:5">
      <c r="A226" s="20">
        <v>44085</v>
      </c>
      <c r="B226" s="43">
        <v>39.369999999999997</v>
      </c>
      <c r="C226" s="43"/>
      <c r="D226" s="20">
        <v>44085</v>
      </c>
    </row>
    <row r="227" spans="1:5">
      <c r="A227" s="20">
        <v>44088</v>
      </c>
      <c r="B227" s="43">
        <v>38.96</v>
      </c>
      <c r="C227" s="43"/>
      <c r="D227" s="20">
        <v>44088</v>
      </c>
    </row>
    <row r="228" spans="1:5">
      <c r="A228" s="20">
        <v>44089</v>
      </c>
      <c r="B228" s="43">
        <v>39.35</v>
      </c>
      <c r="C228" s="43"/>
      <c r="D228" s="20">
        <v>44089</v>
      </c>
    </row>
    <row r="229" spans="1:5">
      <c r="A229" s="20">
        <v>44090</v>
      </c>
      <c r="B229" s="43">
        <v>41.29</v>
      </c>
      <c r="C229" s="43"/>
      <c r="D229" s="20">
        <v>44090</v>
      </c>
    </row>
    <row r="230" spans="1:5">
      <c r="A230" s="20">
        <v>44091</v>
      </c>
      <c r="B230" s="43">
        <v>42.07</v>
      </c>
      <c r="C230" s="43"/>
      <c r="D230" s="20">
        <v>44091</v>
      </c>
    </row>
    <row r="231" spans="1:5">
      <c r="A231" s="20">
        <v>44092</v>
      </c>
      <c r="B231" s="43">
        <v>41.67</v>
      </c>
      <c r="C231" s="43"/>
      <c r="D231" s="20">
        <v>44092</v>
      </c>
    </row>
    <row r="232" spans="1:5">
      <c r="A232" s="20">
        <v>44095</v>
      </c>
      <c r="B232" s="43">
        <v>41.49</v>
      </c>
      <c r="C232" s="43"/>
      <c r="D232" s="20">
        <v>44095</v>
      </c>
    </row>
    <row r="233" spans="1:5">
      <c r="A233" s="20">
        <v>44096</v>
      </c>
      <c r="B233" s="43">
        <v>40.18</v>
      </c>
      <c r="C233" s="43"/>
      <c r="D233" s="20">
        <v>44096</v>
      </c>
    </row>
    <row r="234" spans="1:5">
      <c r="A234" s="20">
        <v>44097</v>
      </c>
      <c r="B234" s="43">
        <v>37.76</v>
      </c>
      <c r="C234" s="43"/>
      <c r="D234" s="20">
        <v>44097</v>
      </c>
    </row>
    <row r="235" spans="1:5">
      <c r="A235" s="20">
        <v>44098</v>
      </c>
      <c r="B235" s="43">
        <v>38.72</v>
      </c>
      <c r="C235" s="43"/>
      <c r="D235" s="20">
        <v>44098</v>
      </c>
    </row>
    <row r="236" spans="1:5">
      <c r="A236" s="20">
        <v>44099</v>
      </c>
      <c r="B236" s="43">
        <v>38.18</v>
      </c>
      <c r="C236" s="43"/>
      <c r="D236" s="20">
        <v>44099</v>
      </c>
    </row>
    <row r="237" spans="1:5">
      <c r="A237" s="20">
        <v>44102</v>
      </c>
      <c r="B237" s="43">
        <v>38.19</v>
      </c>
      <c r="C237" s="43"/>
      <c r="D237" s="20">
        <v>44102</v>
      </c>
    </row>
    <row r="238" spans="1:5">
      <c r="A238" s="20">
        <v>44103</v>
      </c>
      <c r="B238" s="43">
        <v>38.14</v>
      </c>
      <c r="C238" s="43"/>
      <c r="D238" s="20">
        <v>44103</v>
      </c>
    </row>
    <row r="239" spans="1:5">
      <c r="A239" s="20">
        <v>44104</v>
      </c>
      <c r="B239" s="43">
        <v>38.72</v>
      </c>
      <c r="C239" s="43"/>
      <c r="D239" s="20">
        <v>44104</v>
      </c>
      <c r="E239" s="43">
        <v>2.1491600000000002</v>
      </c>
    </row>
    <row r="240" spans="1:5">
      <c r="A240" s="20">
        <v>44105</v>
      </c>
      <c r="B240" s="43">
        <v>39.700000000000003</v>
      </c>
      <c r="C240" s="43"/>
      <c r="D240" s="20">
        <v>44105</v>
      </c>
    </row>
    <row r="241" spans="1:4">
      <c r="A241" s="20">
        <v>44106</v>
      </c>
      <c r="B241" s="43">
        <v>38.090000000000003</v>
      </c>
      <c r="C241" s="43"/>
      <c r="D241" s="20">
        <v>44106</v>
      </c>
    </row>
    <row r="242" spans="1:4">
      <c r="A242" s="20">
        <v>44109</v>
      </c>
      <c r="B242" s="43">
        <v>39.07</v>
      </c>
      <c r="C242" s="43"/>
      <c r="D242" s="20">
        <v>44109</v>
      </c>
    </row>
    <row r="243" spans="1:4">
      <c r="A243" s="20">
        <v>44110</v>
      </c>
      <c r="B243" s="43">
        <v>39.450000000000003</v>
      </c>
      <c r="C243" s="43"/>
      <c r="D243" s="20">
        <v>44110</v>
      </c>
    </row>
    <row r="244" spans="1:4">
      <c r="A244" s="20">
        <v>44111</v>
      </c>
      <c r="B244" s="43">
        <v>39.54</v>
      </c>
      <c r="C244" s="43"/>
      <c r="D244" s="20">
        <v>44111</v>
      </c>
    </row>
    <row r="245" spans="1:4">
      <c r="A245" s="20">
        <v>44112</v>
      </c>
      <c r="B245" s="43">
        <v>39.58</v>
      </c>
      <c r="C245" s="43"/>
      <c r="D245" s="20">
        <v>44112</v>
      </c>
    </row>
    <row r="246" spans="1:4">
      <c r="A246" s="20">
        <v>44113</v>
      </c>
      <c r="B246" s="43">
        <v>39.67</v>
      </c>
      <c r="C246" s="43"/>
      <c r="D246" s="20">
        <v>44113</v>
      </c>
    </row>
    <row r="247" spans="1:4">
      <c r="A247" s="20">
        <v>44116</v>
      </c>
      <c r="B247" s="43">
        <v>39.659999999999997</v>
      </c>
      <c r="C247" s="43"/>
      <c r="D247" s="20">
        <v>44116</v>
      </c>
    </row>
    <row r="248" spans="1:4">
      <c r="A248" s="20">
        <v>44117</v>
      </c>
      <c r="B248" s="43">
        <v>39.71</v>
      </c>
      <c r="C248" s="43"/>
      <c r="D248" s="20">
        <v>44117</v>
      </c>
    </row>
    <row r="249" spans="1:4">
      <c r="A249" s="20">
        <v>44118</v>
      </c>
      <c r="B249" s="43">
        <v>39.58</v>
      </c>
      <c r="C249" s="43"/>
      <c r="D249" s="20">
        <v>44118</v>
      </c>
    </row>
    <row r="250" spans="1:4">
      <c r="A250" s="20">
        <v>44119</v>
      </c>
      <c r="B250" s="43">
        <v>39.630000000000003</v>
      </c>
      <c r="C250" s="43"/>
      <c r="D250" s="20">
        <v>44119</v>
      </c>
    </row>
    <row r="251" spans="1:4">
      <c r="A251" s="20">
        <v>44120</v>
      </c>
      <c r="B251" s="43">
        <v>38.83</v>
      </c>
      <c r="C251" s="43"/>
      <c r="D251" s="20">
        <v>44120</v>
      </c>
    </row>
    <row r="252" spans="1:4">
      <c r="A252" s="20">
        <v>44123</v>
      </c>
      <c r="B252" s="43">
        <v>37.229999999999997</v>
      </c>
      <c r="C252" s="43"/>
      <c r="D252" s="20">
        <v>44123</v>
      </c>
    </row>
    <row r="253" spans="1:4">
      <c r="A253" s="20">
        <v>44124</v>
      </c>
      <c r="B253" s="43">
        <v>39.200000000000003</v>
      </c>
      <c r="C253" s="43"/>
      <c r="D253" s="20">
        <v>44124</v>
      </c>
    </row>
    <row r="254" spans="1:4">
      <c r="A254" s="20">
        <v>44125</v>
      </c>
      <c r="B254" s="43">
        <v>40.450000000000003</v>
      </c>
      <c r="C254" s="43"/>
      <c r="D254" s="20">
        <v>44125</v>
      </c>
    </row>
    <row r="255" spans="1:4">
      <c r="A255" s="20">
        <v>44126</v>
      </c>
      <c r="B255" s="43">
        <v>39.86</v>
      </c>
      <c r="C255" s="43"/>
      <c r="D255" s="20">
        <v>44126</v>
      </c>
    </row>
    <row r="256" spans="1:4">
      <c r="A256" s="20">
        <v>44127</v>
      </c>
      <c r="B256" s="43">
        <v>40.82</v>
      </c>
      <c r="C256" s="43"/>
      <c r="D256" s="20">
        <v>44127</v>
      </c>
    </row>
    <row r="257" spans="1:5">
      <c r="A257" s="20">
        <v>44130</v>
      </c>
      <c r="B257" s="43">
        <v>39.22</v>
      </c>
      <c r="C257" s="43"/>
      <c r="D257" s="20">
        <v>44130</v>
      </c>
    </row>
    <row r="258" spans="1:5">
      <c r="A258" s="20">
        <v>44131</v>
      </c>
      <c r="B258" s="43">
        <v>39.53</v>
      </c>
      <c r="C258" s="43"/>
      <c r="D258" s="20">
        <v>44131</v>
      </c>
    </row>
    <row r="259" spans="1:5">
      <c r="A259" s="20">
        <v>44132</v>
      </c>
      <c r="B259" s="43">
        <v>38.42</v>
      </c>
      <c r="C259" s="43"/>
      <c r="D259" s="20">
        <v>44132</v>
      </c>
    </row>
    <row r="260" spans="1:5">
      <c r="A260" s="20">
        <v>44133</v>
      </c>
      <c r="B260" s="43">
        <v>37.119999999999997</v>
      </c>
      <c r="C260" s="43"/>
      <c r="D260" s="20">
        <v>44133</v>
      </c>
    </row>
    <row r="261" spans="1:5">
      <c r="A261" s="20">
        <v>44134</v>
      </c>
      <c r="B261" s="43">
        <v>36.5</v>
      </c>
      <c r="C261" s="43"/>
      <c r="D261" s="20">
        <v>44134</v>
      </c>
    </row>
    <row r="262" spans="1:5">
      <c r="A262" s="20">
        <v>44137</v>
      </c>
      <c r="B262" s="43">
        <v>35.89</v>
      </c>
      <c r="C262" s="43"/>
      <c r="D262" s="20">
        <v>44137</v>
      </c>
    </row>
    <row r="263" spans="1:5">
      <c r="A263" s="20">
        <v>44138</v>
      </c>
      <c r="B263" s="43">
        <v>38.44</v>
      </c>
      <c r="C263" s="43"/>
      <c r="D263" s="20">
        <v>44138</v>
      </c>
    </row>
    <row r="264" spans="1:5">
      <c r="A264" s="20">
        <v>44139</v>
      </c>
      <c r="B264" s="43">
        <v>39.090000000000003</v>
      </c>
      <c r="C264" s="43"/>
      <c r="D264" s="20">
        <v>44139</v>
      </c>
    </row>
    <row r="265" spans="1:5">
      <c r="A265" s="20">
        <v>44140</v>
      </c>
      <c r="B265" s="43">
        <v>39.79</v>
      </c>
      <c r="C265" s="43"/>
      <c r="D265" s="20">
        <v>44140</v>
      </c>
      <c r="E265" s="43">
        <v>1.89025</v>
      </c>
    </row>
    <row r="266" spans="1:5">
      <c r="A266" s="20">
        <v>44141</v>
      </c>
      <c r="B266" s="43">
        <v>39.22</v>
      </c>
      <c r="C266" s="43"/>
      <c r="D266" s="20">
        <v>44141</v>
      </c>
    </row>
    <row r="267" spans="1:5">
      <c r="A267" s="20">
        <v>44144</v>
      </c>
      <c r="B267" s="43">
        <v>39.97</v>
      </c>
      <c r="C267" s="43"/>
      <c r="D267" s="20">
        <v>44144</v>
      </c>
    </row>
    <row r="268" spans="1:5">
      <c r="A268" s="20">
        <v>44145</v>
      </c>
      <c r="B268" s="43">
        <v>39.799999999999997</v>
      </c>
      <c r="C268" s="43"/>
      <c r="D268" s="20">
        <v>44145</v>
      </c>
    </row>
    <row r="269" spans="1:5">
      <c r="A269" s="20">
        <v>44146</v>
      </c>
      <c r="B269" s="43">
        <v>39.979999999999997</v>
      </c>
      <c r="C269" s="43"/>
      <c r="D269" s="20">
        <v>44146</v>
      </c>
    </row>
    <row r="270" spans="1:5">
      <c r="A270" s="20">
        <v>44147</v>
      </c>
      <c r="B270" s="43">
        <v>39.119999999999997</v>
      </c>
      <c r="C270" s="43"/>
      <c r="D270" s="20">
        <v>44147</v>
      </c>
    </row>
    <row r="271" spans="1:5">
      <c r="A271" s="20">
        <v>44148</v>
      </c>
      <c r="B271" s="43">
        <v>37.65</v>
      </c>
      <c r="C271" s="43"/>
      <c r="D271" s="20">
        <v>44148</v>
      </c>
    </row>
    <row r="272" spans="1:5">
      <c r="A272" s="20">
        <v>44151</v>
      </c>
      <c r="B272" s="43">
        <v>37.46</v>
      </c>
      <c r="C272" s="43"/>
      <c r="D272" s="20">
        <v>44151</v>
      </c>
    </row>
    <row r="273" spans="1:4">
      <c r="A273" s="20">
        <v>44152</v>
      </c>
      <c r="B273" s="43">
        <v>36.9</v>
      </c>
      <c r="C273" s="43"/>
      <c r="D273" s="20">
        <v>44152</v>
      </c>
    </row>
    <row r="274" spans="1:4">
      <c r="A274" s="20">
        <v>44153</v>
      </c>
      <c r="B274" s="43">
        <v>37.700000000000003</v>
      </c>
      <c r="C274" s="43"/>
      <c r="D274" s="20">
        <v>44153</v>
      </c>
    </row>
    <row r="275" spans="1:4">
      <c r="A275" s="20">
        <v>44154</v>
      </c>
      <c r="B275" s="43">
        <v>39.04</v>
      </c>
      <c r="C275" s="43"/>
      <c r="D275" s="20">
        <v>44154</v>
      </c>
    </row>
    <row r="276" spans="1:4">
      <c r="A276" s="20">
        <v>44155</v>
      </c>
      <c r="B276" s="43">
        <v>38.729999999999997</v>
      </c>
      <c r="C276" s="43"/>
      <c r="D276" s="20">
        <v>44155</v>
      </c>
    </row>
    <row r="277" spans="1:4">
      <c r="A277" s="20">
        <v>44158</v>
      </c>
      <c r="B277" s="43">
        <v>37.42</v>
      </c>
      <c r="C277" s="43"/>
      <c r="D277" s="20">
        <v>44158</v>
      </c>
    </row>
    <row r="278" spans="1:4">
      <c r="A278" s="20">
        <v>44159</v>
      </c>
      <c r="B278" s="43">
        <v>39.78</v>
      </c>
      <c r="C278" s="43"/>
      <c r="D278" s="20">
        <v>44159</v>
      </c>
    </row>
    <row r="279" spans="1:4">
      <c r="A279" s="20">
        <v>44160</v>
      </c>
      <c r="B279" s="43">
        <v>40.520000000000003</v>
      </c>
      <c r="C279" s="43"/>
      <c r="D279" s="20">
        <v>44160</v>
      </c>
    </row>
    <row r="280" spans="1:4">
      <c r="A280" s="20">
        <v>44161</v>
      </c>
      <c r="B280" s="43">
        <v>40.58</v>
      </c>
      <c r="C280" s="43"/>
      <c r="D280" s="20">
        <v>44161</v>
      </c>
    </row>
    <row r="281" spans="1:4">
      <c r="A281" s="20">
        <v>44162</v>
      </c>
      <c r="B281" s="43">
        <v>40.380000000000003</v>
      </c>
      <c r="C281" s="43"/>
      <c r="D281" s="20">
        <v>44162</v>
      </c>
    </row>
    <row r="282" spans="1:4">
      <c r="A282" s="20">
        <v>44165</v>
      </c>
      <c r="B282" s="43">
        <v>39.83</v>
      </c>
      <c r="C282" s="43"/>
      <c r="D282" s="20">
        <v>44165</v>
      </c>
    </row>
    <row r="283" spans="1:4">
      <c r="A283" s="20">
        <v>44166</v>
      </c>
      <c r="B283" s="43">
        <v>40.42</v>
      </c>
      <c r="C283" s="43"/>
      <c r="D283" s="20">
        <v>44166</v>
      </c>
    </row>
    <row r="284" spans="1:4">
      <c r="A284" s="20">
        <v>44167</v>
      </c>
      <c r="B284" s="43">
        <v>40.46</v>
      </c>
      <c r="C284" s="43"/>
      <c r="D284" s="20">
        <v>44167</v>
      </c>
    </row>
    <row r="285" spans="1:4">
      <c r="A285" s="20">
        <v>44168</v>
      </c>
      <c r="B285" s="43">
        <v>40.61</v>
      </c>
      <c r="C285" s="43"/>
      <c r="D285" s="20">
        <v>44168</v>
      </c>
    </row>
    <row r="286" spans="1:4">
      <c r="A286" s="20">
        <v>44169</v>
      </c>
      <c r="B286" s="43">
        <v>40.57</v>
      </c>
      <c r="C286" s="43"/>
      <c r="D286" s="20">
        <v>44169</v>
      </c>
    </row>
    <row r="287" spans="1:4">
      <c r="A287" s="20">
        <v>44172</v>
      </c>
      <c r="B287" s="43">
        <v>40.72</v>
      </c>
      <c r="C287" s="43"/>
      <c r="D287" s="20">
        <v>44172</v>
      </c>
    </row>
    <row r="288" spans="1:4">
      <c r="A288" s="20">
        <v>44173</v>
      </c>
      <c r="B288" s="43">
        <v>40.880000000000003</v>
      </c>
      <c r="C288" s="43"/>
      <c r="D288" s="20">
        <v>44173</v>
      </c>
    </row>
    <row r="289" spans="1:5">
      <c r="A289" s="20">
        <v>44174</v>
      </c>
      <c r="B289" s="43">
        <v>41.25</v>
      </c>
      <c r="C289" s="43"/>
      <c r="D289" s="20">
        <v>44174</v>
      </c>
    </row>
    <row r="290" spans="1:5">
      <c r="A290" s="20">
        <v>44175</v>
      </c>
      <c r="B290" s="43">
        <v>41.37</v>
      </c>
      <c r="C290" s="43"/>
      <c r="D290" s="20">
        <v>44175</v>
      </c>
      <c r="E290" s="43">
        <v>2.0043099999999998</v>
      </c>
    </row>
    <row r="291" spans="1:5">
      <c r="A291" s="20">
        <v>44176</v>
      </c>
      <c r="B291" s="43">
        <v>41.36</v>
      </c>
      <c r="C291" s="43"/>
      <c r="D291" s="20">
        <v>44176</v>
      </c>
    </row>
    <row r="292" spans="1:5">
      <c r="A292" s="20">
        <v>44179</v>
      </c>
      <c r="B292" s="43">
        <v>41.35</v>
      </c>
      <c r="C292" s="43"/>
      <c r="D292" s="20">
        <v>44179</v>
      </c>
    </row>
    <row r="293" spans="1:5">
      <c r="A293" s="20">
        <v>44180</v>
      </c>
      <c r="B293" s="43">
        <v>44.61</v>
      </c>
      <c r="C293" s="43"/>
      <c r="D293" s="20">
        <v>44180</v>
      </c>
    </row>
    <row r="294" spans="1:5">
      <c r="A294" s="20">
        <v>44181</v>
      </c>
      <c r="B294" s="43">
        <v>45.3</v>
      </c>
      <c r="C294" s="43"/>
      <c r="D294" s="20">
        <v>44181</v>
      </c>
    </row>
    <row r="295" spans="1:5">
      <c r="A295" s="20">
        <v>44182</v>
      </c>
      <c r="B295" s="43">
        <v>45.62</v>
      </c>
      <c r="C295" s="43"/>
      <c r="D295" s="20">
        <v>44182</v>
      </c>
    </row>
    <row r="296" spans="1:5">
      <c r="A296" s="20">
        <v>44183</v>
      </c>
      <c r="B296" s="43">
        <v>46.16</v>
      </c>
      <c r="C296" s="43"/>
      <c r="D296" s="20">
        <v>44183</v>
      </c>
    </row>
    <row r="297" spans="1:5">
      <c r="A297" s="20">
        <v>44186</v>
      </c>
      <c r="B297" s="43">
        <v>45.76</v>
      </c>
      <c r="C297" s="43"/>
      <c r="D297" s="20">
        <v>44186</v>
      </c>
    </row>
    <row r="298" spans="1:5">
      <c r="A298" s="20">
        <v>44187</v>
      </c>
      <c r="B298" s="43">
        <v>45.64</v>
      </c>
      <c r="C298" s="43"/>
      <c r="D298" s="20">
        <v>44187</v>
      </c>
    </row>
    <row r="299" spans="1:5">
      <c r="A299" s="20">
        <v>44188</v>
      </c>
      <c r="B299" s="43">
        <v>45.58</v>
      </c>
      <c r="C299" s="43"/>
      <c r="D299" s="20">
        <v>44188</v>
      </c>
    </row>
    <row r="300" spans="1:5">
      <c r="A300" s="20">
        <v>44189</v>
      </c>
      <c r="B300" s="43">
        <v>46.44</v>
      </c>
      <c r="C300" s="43"/>
      <c r="D300" s="20">
        <v>44189</v>
      </c>
    </row>
    <row r="301" spans="1:5">
      <c r="A301" s="20">
        <v>44193</v>
      </c>
      <c r="B301" s="43">
        <v>46.3</v>
      </c>
      <c r="C301" s="43"/>
      <c r="D301" s="20">
        <v>44193</v>
      </c>
    </row>
    <row r="302" spans="1:5">
      <c r="A302" s="20">
        <v>44194</v>
      </c>
      <c r="B302" s="43">
        <v>46.54</v>
      </c>
      <c r="C302" s="43"/>
      <c r="D302" s="20">
        <v>44194</v>
      </c>
    </row>
    <row r="303" spans="1:5">
      <c r="A303" s="20">
        <v>44195</v>
      </c>
      <c r="B303" s="43">
        <v>46.89</v>
      </c>
      <c r="C303" s="43"/>
      <c r="D303" s="20">
        <v>44195</v>
      </c>
    </row>
    <row r="304" spans="1:5">
      <c r="A304" s="20">
        <v>44196</v>
      </c>
      <c r="B304" s="43">
        <v>46.99</v>
      </c>
      <c r="C304" s="43"/>
      <c r="D304" s="20">
        <v>44196</v>
      </c>
    </row>
    <row r="305" spans="1:5">
      <c r="A305" s="20">
        <v>44200</v>
      </c>
      <c r="B305" s="43">
        <v>47.24</v>
      </c>
      <c r="C305" s="43"/>
      <c r="D305" s="20">
        <v>44200</v>
      </c>
    </row>
    <row r="306" spans="1:5">
      <c r="A306" s="20">
        <v>44201</v>
      </c>
      <c r="B306" s="43">
        <v>47.53</v>
      </c>
      <c r="C306" s="43"/>
      <c r="D306" s="20">
        <v>44201</v>
      </c>
    </row>
    <row r="307" spans="1:5">
      <c r="A307" s="20">
        <v>44202</v>
      </c>
      <c r="B307" s="43">
        <v>47.06</v>
      </c>
      <c r="C307" s="43"/>
      <c r="D307" s="20">
        <v>44202</v>
      </c>
    </row>
    <row r="308" spans="1:5">
      <c r="A308" s="20">
        <v>44203</v>
      </c>
      <c r="B308" s="43">
        <v>46.76</v>
      </c>
      <c r="C308" s="43"/>
      <c r="D308" s="20">
        <v>44203</v>
      </c>
    </row>
    <row r="309" spans="1:5">
      <c r="A309" s="20">
        <v>44204</v>
      </c>
      <c r="B309" s="43">
        <v>47.06</v>
      </c>
      <c r="C309" s="43"/>
      <c r="D309" s="20">
        <v>44204</v>
      </c>
    </row>
    <row r="310" spans="1:5">
      <c r="A310" s="20">
        <v>44207</v>
      </c>
      <c r="B310" s="43">
        <v>47.09</v>
      </c>
      <c r="C310" s="43"/>
      <c r="D310" s="20">
        <v>44207</v>
      </c>
    </row>
    <row r="311" spans="1:5">
      <c r="A311" s="20">
        <v>44208</v>
      </c>
      <c r="B311" s="43">
        <v>46.97</v>
      </c>
      <c r="C311" s="43"/>
      <c r="D311" s="20">
        <v>44208</v>
      </c>
    </row>
    <row r="312" spans="1:5">
      <c r="A312" s="20">
        <v>44209</v>
      </c>
      <c r="B312" s="43">
        <v>47.03</v>
      </c>
      <c r="C312" s="43"/>
      <c r="D312" s="20">
        <v>44209</v>
      </c>
    </row>
    <row r="313" spans="1:5">
      <c r="A313" s="20">
        <v>44210</v>
      </c>
      <c r="B313" s="43">
        <v>47.06</v>
      </c>
      <c r="C313" s="43"/>
      <c r="D313" s="20">
        <v>44210</v>
      </c>
    </row>
    <row r="314" spans="1:5">
      <c r="A314" s="20">
        <v>44211</v>
      </c>
      <c r="B314" s="43">
        <v>47.07</v>
      </c>
      <c r="C314" s="43"/>
      <c r="D314" s="20">
        <v>44211</v>
      </c>
    </row>
    <row r="315" spans="1:5">
      <c r="A315" s="20">
        <v>44214</v>
      </c>
      <c r="B315" s="43">
        <v>47.67</v>
      </c>
      <c r="C315" s="43"/>
      <c r="D315" s="20">
        <v>44214</v>
      </c>
      <c r="E315" s="43">
        <v>2.0738999999999996</v>
      </c>
    </row>
    <row r="316" spans="1:5">
      <c r="A316" s="20">
        <v>44215</v>
      </c>
      <c r="B316" s="43">
        <v>49.84</v>
      </c>
      <c r="C316" s="43"/>
      <c r="D316" s="20">
        <v>44215</v>
      </c>
    </row>
    <row r="317" spans="1:5">
      <c r="A317" s="20">
        <v>44216</v>
      </c>
      <c r="B317" s="43">
        <v>50.46</v>
      </c>
      <c r="C317" s="43"/>
      <c r="D317" s="20">
        <v>44216</v>
      </c>
    </row>
    <row r="318" spans="1:5">
      <c r="A318" s="20">
        <v>44217</v>
      </c>
      <c r="B318" s="43">
        <v>50.62</v>
      </c>
      <c r="C318" s="43"/>
      <c r="D318" s="20">
        <v>44217</v>
      </c>
    </row>
    <row r="319" spans="1:5">
      <c r="A319" s="20">
        <v>44218</v>
      </c>
      <c r="B319" s="43">
        <v>51.72</v>
      </c>
      <c r="C319" s="43"/>
      <c r="D319" s="20">
        <v>44218</v>
      </c>
    </row>
    <row r="320" spans="1:5">
      <c r="A320" s="20">
        <v>44221</v>
      </c>
      <c r="B320" s="43">
        <v>51.73</v>
      </c>
      <c r="C320" s="43"/>
      <c r="D320" s="20">
        <v>44221</v>
      </c>
    </row>
    <row r="321" spans="1:4">
      <c r="A321" s="20">
        <v>44222</v>
      </c>
      <c r="B321" s="43">
        <v>52.39</v>
      </c>
      <c r="C321" s="43"/>
      <c r="D321" s="20">
        <v>44222</v>
      </c>
    </row>
    <row r="322" spans="1:4">
      <c r="A322" s="20">
        <v>44223</v>
      </c>
      <c r="B322" s="43">
        <v>52.21</v>
      </c>
      <c r="C322" s="43"/>
      <c r="D322" s="20">
        <v>44223</v>
      </c>
    </row>
    <row r="323" spans="1:4">
      <c r="A323" s="20">
        <v>44224</v>
      </c>
      <c r="B323" s="43">
        <v>52.59</v>
      </c>
      <c r="C323" s="43"/>
      <c r="D323" s="20">
        <v>44224</v>
      </c>
    </row>
    <row r="324" spans="1:4">
      <c r="A324" s="20">
        <v>44225</v>
      </c>
      <c r="B324" s="43">
        <v>51.96</v>
      </c>
      <c r="C324" s="43"/>
      <c r="D324" s="20">
        <v>44225</v>
      </c>
    </row>
    <row r="325" spans="1:4">
      <c r="A325" s="20">
        <v>44228</v>
      </c>
      <c r="B325" s="43">
        <v>45.13</v>
      </c>
      <c r="C325" s="43"/>
      <c r="D325" s="20">
        <v>44228</v>
      </c>
    </row>
    <row r="326" spans="1:4">
      <c r="A326" s="20">
        <v>44229</v>
      </c>
      <c r="B326" s="43">
        <v>52.37</v>
      </c>
      <c r="C326" s="43"/>
      <c r="D326" s="20">
        <v>44229</v>
      </c>
    </row>
    <row r="327" spans="1:4">
      <c r="A327" s="20">
        <v>44230</v>
      </c>
      <c r="B327" s="43">
        <v>52.3</v>
      </c>
      <c r="C327" s="43"/>
      <c r="D327" s="20">
        <v>44230</v>
      </c>
    </row>
    <row r="328" spans="1:4">
      <c r="A328" s="20">
        <v>44231</v>
      </c>
      <c r="B328" s="43">
        <v>52.03</v>
      </c>
      <c r="C328" s="43"/>
      <c r="D328" s="20">
        <v>44231</v>
      </c>
    </row>
    <row r="329" spans="1:4">
      <c r="A329" s="20">
        <v>44232</v>
      </c>
      <c r="B329" s="43">
        <v>52.16</v>
      </c>
      <c r="C329" s="43"/>
      <c r="D329" s="20">
        <v>44232</v>
      </c>
    </row>
    <row r="330" spans="1:4">
      <c r="A330" s="20">
        <v>44235</v>
      </c>
      <c r="B330" s="43">
        <v>52.13</v>
      </c>
      <c r="C330" s="43"/>
      <c r="D330" s="20">
        <v>44235</v>
      </c>
    </row>
    <row r="331" spans="1:4">
      <c r="A331" s="20">
        <v>44236</v>
      </c>
      <c r="B331" s="43">
        <v>52.16</v>
      </c>
      <c r="C331" s="43"/>
      <c r="D331" s="20">
        <v>44236</v>
      </c>
    </row>
    <row r="332" spans="1:4">
      <c r="A332" s="20">
        <v>44237</v>
      </c>
      <c r="B332" s="43">
        <v>52.11</v>
      </c>
      <c r="C332" s="43"/>
      <c r="D332" s="20">
        <v>44237</v>
      </c>
    </row>
    <row r="333" spans="1:4">
      <c r="A333" s="20">
        <v>44238</v>
      </c>
      <c r="B333" s="43">
        <v>52.1</v>
      </c>
      <c r="C333" s="43"/>
      <c r="D333" s="20">
        <v>44238</v>
      </c>
    </row>
    <row r="334" spans="1:4">
      <c r="A334" s="20">
        <v>44239</v>
      </c>
      <c r="B334" s="43">
        <v>53.52</v>
      </c>
      <c r="C334" s="43"/>
      <c r="D334" s="20">
        <v>44239</v>
      </c>
    </row>
    <row r="335" spans="1:4">
      <c r="A335" s="20">
        <v>44242</v>
      </c>
      <c r="B335" s="43">
        <v>54.67</v>
      </c>
      <c r="C335" s="43"/>
      <c r="D335" s="20">
        <v>44242</v>
      </c>
    </row>
    <row r="336" spans="1:4">
      <c r="A336" s="20">
        <v>44243</v>
      </c>
      <c r="B336" s="43">
        <v>55.5</v>
      </c>
      <c r="C336" s="43"/>
      <c r="D336" s="20">
        <v>44243</v>
      </c>
    </row>
    <row r="337" spans="1:5">
      <c r="A337" s="20">
        <v>44244</v>
      </c>
      <c r="B337" s="43">
        <v>55.95</v>
      </c>
      <c r="C337" s="43"/>
      <c r="D337" s="20">
        <v>44244</v>
      </c>
    </row>
    <row r="338" spans="1:5">
      <c r="A338" s="20">
        <v>44245</v>
      </c>
      <c r="B338" s="43">
        <v>56.44</v>
      </c>
      <c r="C338" s="43"/>
      <c r="D338" s="20">
        <v>44245</v>
      </c>
    </row>
    <row r="339" spans="1:5">
      <c r="A339" s="20">
        <v>44246</v>
      </c>
      <c r="B339" s="43">
        <v>57.27</v>
      </c>
      <c r="C339" s="43"/>
      <c r="D339" s="20">
        <v>44246</v>
      </c>
    </row>
    <row r="340" spans="1:5">
      <c r="A340" s="20">
        <v>44249</v>
      </c>
      <c r="B340" s="43">
        <v>57.54</v>
      </c>
      <c r="C340" s="43"/>
      <c r="D340" s="20">
        <v>44249</v>
      </c>
      <c r="E340" s="43">
        <v>1.9519999999999997</v>
      </c>
    </row>
    <row r="341" spans="1:5">
      <c r="A341" s="20">
        <v>44250</v>
      </c>
      <c r="B341" s="43">
        <v>57.74</v>
      </c>
      <c r="C341" s="43"/>
      <c r="D341" s="20">
        <v>44250</v>
      </c>
    </row>
    <row r="342" spans="1:5">
      <c r="A342" s="20">
        <v>44251</v>
      </c>
      <c r="B342" s="43">
        <v>57.49</v>
      </c>
      <c r="C342" s="43"/>
      <c r="D342" s="20">
        <v>44251</v>
      </c>
    </row>
    <row r="343" spans="1:5">
      <c r="A343" s="20">
        <v>44252</v>
      </c>
      <c r="B343" s="43">
        <v>58.14</v>
      </c>
      <c r="C343" s="43"/>
      <c r="D343" s="20">
        <v>44252</v>
      </c>
    </row>
    <row r="344" spans="1:5">
      <c r="A344" s="20">
        <v>44253</v>
      </c>
      <c r="B344" s="43">
        <v>58.44</v>
      </c>
      <c r="C344" s="43"/>
      <c r="D344" s="20">
        <v>44253</v>
      </c>
    </row>
    <row r="345" spans="1:5">
      <c r="A345" s="20">
        <v>44256</v>
      </c>
      <c r="B345" s="43">
        <v>50.94</v>
      </c>
      <c r="C345" s="43"/>
      <c r="D345" s="20">
        <v>44256</v>
      </c>
    </row>
    <row r="346" spans="1:5">
      <c r="A346" s="20">
        <v>44257</v>
      </c>
      <c r="B346" s="43">
        <v>58.67</v>
      </c>
      <c r="C346" s="43"/>
      <c r="D346" s="20">
        <v>44257</v>
      </c>
    </row>
    <row r="347" spans="1:5">
      <c r="A347" s="20">
        <v>44258</v>
      </c>
      <c r="B347" s="43">
        <v>58.26</v>
      </c>
      <c r="C347" s="43"/>
      <c r="D347" s="20">
        <v>44258</v>
      </c>
    </row>
    <row r="348" spans="1:5">
      <c r="A348" s="20">
        <v>44259</v>
      </c>
      <c r="B348" s="43">
        <v>58.9</v>
      </c>
      <c r="C348" s="43"/>
      <c r="D348" s="20">
        <v>44259</v>
      </c>
    </row>
    <row r="349" spans="1:5">
      <c r="A349" s="20">
        <v>44260</v>
      </c>
      <c r="B349" s="43">
        <v>58.89</v>
      </c>
      <c r="C349" s="43"/>
      <c r="D349" s="20">
        <v>44260</v>
      </c>
    </row>
    <row r="350" spans="1:5">
      <c r="A350" s="20">
        <v>44263</v>
      </c>
      <c r="B350" s="43">
        <v>59.14</v>
      </c>
      <c r="C350" s="43"/>
      <c r="D350" s="20">
        <v>44263</v>
      </c>
    </row>
    <row r="351" spans="1:5">
      <c r="A351" s="20">
        <v>44264</v>
      </c>
      <c r="B351" s="43">
        <v>59.17</v>
      </c>
      <c r="C351" s="43"/>
      <c r="D351" s="20">
        <v>44264</v>
      </c>
    </row>
    <row r="352" spans="1:5">
      <c r="A352" s="20">
        <v>44265</v>
      </c>
      <c r="B352" s="43">
        <v>59.06</v>
      </c>
      <c r="C352" s="43"/>
      <c r="D352" s="20">
        <v>44265</v>
      </c>
    </row>
    <row r="353" spans="1:5">
      <c r="A353" s="20">
        <v>44266</v>
      </c>
      <c r="B353" s="43">
        <v>60.57</v>
      </c>
      <c r="C353" s="43"/>
      <c r="D353" s="20">
        <v>44266</v>
      </c>
    </row>
    <row r="354" spans="1:5">
      <c r="A354" s="20">
        <v>44267</v>
      </c>
      <c r="B354" s="43">
        <v>59.73</v>
      </c>
      <c r="C354" s="43"/>
      <c r="D354" s="20">
        <v>44267</v>
      </c>
    </row>
    <row r="355" spans="1:5">
      <c r="A355" s="20">
        <v>44270</v>
      </c>
      <c r="B355" s="43">
        <v>61.13</v>
      </c>
      <c r="C355" s="43"/>
      <c r="D355" s="20">
        <v>44270</v>
      </c>
    </row>
    <row r="356" spans="1:5">
      <c r="A356" s="20">
        <v>44271</v>
      </c>
      <c r="B356" s="43">
        <v>63.34</v>
      </c>
      <c r="C356" s="43"/>
      <c r="D356" s="20">
        <v>44271</v>
      </c>
    </row>
    <row r="357" spans="1:5">
      <c r="A357" s="20">
        <v>44272</v>
      </c>
      <c r="B357" s="43">
        <v>65.22</v>
      </c>
      <c r="C357" s="43"/>
      <c r="D357" s="20">
        <v>44272</v>
      </c>
    </row>
    <row r="358" spans="1:5">
      <c r="A358" s="20">
        <v>44273</v>
      </c>
      <c r="B358" s="43">
        <v>64.42</v>
      </c>
      <c r="C358" s="43"/>
      <c r="D358" s="20">
        <v>44273</v>
      </c>
    </row>
    <row r="359" spans="1:5">
      <c r="A359" s="20">
        <v>44274</v>
      </c>
      <c r="B359" s="43">
        <v>62.47</v>
      </c>
      <c r="C359" s="43"/>
      <c r="D359" s="20">
        <v>44274</v>
      </c>
    </row>
    <row r="360" spans="1:5">
      <c r="A360" s="20">
        <v>44277</v>
      </c>
      <c r="B360" s="43">
        <v>63.22</v>
      </c>
      <c r="C360" s="43"/>
      <c r="D360" s="20">
        <v>44277</v>
      </c>
    </row>
    <row r="361" spans="1:5">
      <c r="A361" s="20">
        <v>44278</v>
      </c>
      <c r="B361" s="43">
        <v>62.27</v>
      </c>
      <c r="C361" s="43"/>
      <c r="D361" s="20">
        <v>44278</v>
      </c>
    </row>
    <row r="362" spans="1:5">
      <c r="A362" s="20">
        <v>44279</v>
      </c>
      <c r="B362" s="43">
        <v>61.61</v>
      </c>
      <c r="C362" s="43"/>
      <c r="D362" s="20">
        <v>44279</v>
      </c>
    </row>
    <row r="363" spans="1:5">
      <c r="A363" s="20">
        <v>44280</v>
      </c>
      <c r="B363" s="43">
        <v>61.63</v>
      </c>
      <c r="C363" s="43"/>
      <c r="D363" s="20">
        <v>44280</v>
      </c>
    </row>
    <row r="364" spans="1:5">
      <c r="A364" s="20">
        <v>44281</v>
      </c>
      <c r="B364" s="43">
        <v>62.56</v>
      </c>
      <c r="C364" s="43"/>
      <c r="D364" s="20">
        <v>44281</v>
      </c>
    </row>
    <row r="365" spans="1:5">
      <c r="A365" s="20">
        <v>44284</v>
      </c>
      <c r="B365" s="43">
        <v>62.86</v>
      </c>
      <c r="C365" s="43"/>
      <c r="D365" s="20">
        <v>44284</v>
      </c>
      <c r="E365" s="43">
        <v>1.93</v>
      </c>
    </row>
    <row r="366" spans="1:5">
      <c r="A366" s="20">
        <v>44285</v>
      </c>
      <c r="B366" s="43">
        <v>62.26</v>
      </c>
      <c r="C366" s="43"/>
      <c r="D366" s="20">
        <v>44285</v>
      </c>
    </row>
    <row r="367" spans="1:5">
      <c r="A367" s="20">
        <v>44286</v>
      </c>
      <c r="B367" s="43">
        <v>62.8</v>
      </c>
      <c r="C367" s="43"/>
      <c r="D367" s="20">
        <v>44286</v>
      </c>
    </row>
    <row r="368" spans="1:5">
      <c r="A368" s="20">
        <v>44287</v>
      </c>
      <c r="B368" s="43">
        <v>50.51</v>
      </c>
      <c r="C368" s="43"/>
      <c r="D368" s="20">
        <v>44287</v>
      </c>
    </row>
    <row r="369" spans="1:4">
      <c r="A369" s="20">
        <v>44291</v>
      </c>
      <c r="B369" s="43">
        <v>60.79</v>
      </c>
      <c r="C369" s="43"/>
      <c r="D369" s="20">
        <v>44291</v>
      </c>
    </row>
    <row r="370" spans="1:4">
      <c r="A370" s="20">
        <v>44292</v>
      </c>
      <c r="B370" s="43">
        <v>61.31</v>
      </c>
      <c r="C370" s="43"/>
      <c r="D370" s="20">
        <v>44292</v>
      </c>
    </row>
    <row r="371" spans="1:4">
      <c r="A371" s="20">
        <v>44293</v>
      </c>
      <c r="B371" s="43">
        <v>60.67</v>
      </c>
      <c r="C371" s="43"/>
      <c r="D371" s="20">
        <v>44293</v>
      </c>
    </row>
    <row r="372" spans="1:4">
      <c r="A372" s="20">
        <v>44294</v>
      </c>
      <c r="B372" s="43">
        <v>61.2</v>
      </c>
      <c r="C372" s="43"/>
      <c r="D372" s="20">
        <v>44294</v>
      </c>
    </row>
    <row r="373" spans="1:4">
      <c r="A373" s="20">
        <v>44295</v>
      </c>
      <c r="B373" s="43">
        <v>61.12</v>
      </c>
      <c r="C373" s="43"/>
      <c r="D373" s="20">
        <v>44295</v>
      </c>
    </row>
    <row r="374" spans="1:4">
      <c r="A374" s="20">
        <v>44298</v>
      </c>
      <c r="B374" s="43">
        <v>61.44</v>
      </c>
      <c r="C374" s="43"/>
      <c r="D374" s="20">
        <v>44298</v>
      </c>
    </row>
    <row r="375" spans="1:4">
      <c r="A375" s="20">
        <v>44299</v>
      </c>
      <c r="B375" s="43">
        <v>61.85</v>
      </c>
      <c r="C375" s="43"/>
      <c r="D375" s="20">
        <v>44299</v>
      </c>
    </row>
    <row r="376" spans="1:4">
      <c r="A376" s="20">
        <v>44300</v>
      </c>
      <c r="B376" s="43">
        <v>61.46</v>
      </c>
      <c r="C376" s="43"/>
      <c r="D376" s="20">
        <v>44300</v>
      </c>
    </row>
    <row r="377" spans="1:4">
      <c r="A377" s="20">
        <v>44301</v>
      </c>
      <c r="B377" s="43">
        <v>58.79</v>
      </c>
      <c r="C377" s="43"/>
      <c r="D377" s="20">
        <v>44301</v>
      </c>
    </row>
    <row r="378" spans="1:4">
      <c r="A378" s="20">
        <v>44302</v>
      </c>
      <c r="B378" s="43">
        <v>59.41</v>
      </c>
      <c r="C378" s="43"/>
      <c r="D378" s="20">
        <v>44302</v>
      </c>
    </row>
    <row r="379" spans="1:4">
      <c r="A379" s="20">
        <v>44305</v>
      </c>
      <c r="B379" s="43">
        <v>59.79</v>
      </c>
      <c r="C379" s="43"/>
      <c r="D379" s="20">
        <v>44305</v>
      </c>
    </row>
    <row r="380" spans="1:4">
      <c r="A380" s="20">
        <v>44306</v>
      </c>
      <c r="B380" s="43">
        <v>59.65</v>
      </c>
      <c r="C380" s="43"/>
      <c r="D380" s="20">
        <v>44306</v>
      </c>
    </row>
    <row r="381" spans="1:4">
      <c r="A381" s="20">
        <v>44307</v>
      </c>
      <c r="B381" s="43">
        <v>59.44</v>
      </c>
      <c r="C381" s="43"/>
      <c r="D381" s="20">
        <v>44307</v>
      </c>
    </row>
    <row r="382" spans="1:4">
      <c r="A382" s="20">
        <v>44308</v>
      </c>
      <c r="B382" s="43">
        <v>59.72</v>
      </c>
      <c r="C382" s="43"/>
      <c r="D382" s="20">
        <v>44308</v>
      </c>
    </row>
    <row r="383" spans="1:4">
      <c r="A383" s="20">
        <v>44309</v>
      </c>
      <c r="B383" s="43">
        <v>60.04</v>
      </c>
      <c r="C383" s="43"/>
      <c r="D383" s="20">
        <v>44309</v>
      </c>
    </row>
    <row r="384" spans="1:4">
      <c r="A384" s="20">
        <v>44312</v>
      </c>
      <c r="B384" s="43">
        <v>61.88</v>
      </c>
      <c r="C384" s="43"/>
      <c r="D384" s="20">
        <v>44312</v>
      </c>
    </row>
    <row r="385" spans="1:5">
      <c r="A385" s="20">
        <v>44313</v>
      </c>
      <c r="B385" s="43">
        <v>62.05</v>
      </c>
      <c r="C385" s="43"/>
      <c r="D385" s="20">
        <v>44313</v>
      </c>
    </row>
    <row r="386" spans="1:5">
      <c r="A386" s="20">
        <v>44314</v>
      </c>
      <c r="B386" s="43">
        <v>61.88</v>
      </c>
      <c r="C386" s="43"/>
      <c r="D386" s="20">
        <v>44314</v>
      </c>
    </row>
    <row r="387" spans="1:5">
      <c r="A387" s="20">
        <v>44315</v>
      </c>
      <c r="B387" s="43">
        <v>62</v>
      </c>
      <c r="C387" s="43"/>
      <c r="D387" s="20">
        <v>44315</v>
      </c>
    </row>
    <row r="388" spans="1:5">
      <c r="A388" s="20">
        <v>44316</v>
      </c>
      <c r="B388" s="43">
        <v>61.66</v>
      </c>
      <c r="C388" s="43"/>
      <c r="D388" s="20">
        <v>44316</v>
      </c>
    </row>
    <row r="389" spans="1:5">
      <c r="A389" s="20">
        <v>44319</v>
      </c>
      <c r="B389" s="43">
        <v>54.78</v>
      </c>
      <c r="C389" s="43"/>
      <c r="D389" s="20">
        <v>44319</v>
      </c>
    </row>
    <row r="390" spans="1:5">
      <c r="A390" s="20">
        <v>44320</v>
      </c>
      <c r="B390" s="43">
        <v>61.19</v>
      </c>
      <c r="C390" s="43"/>
      <c r="D390" s="20">
        <v>44320</v>
      </c>
      <c r="E390" s="43">
        <v>1.7336999999999998</v>
      </c>
    </row>
    <row r="391" spans="1:5">
      <c r="A391" s="20">
        <v>44321</v>
      </c>
      <c r="B391" s="43">
        <v>61.39</v>
      </c>
      <c r="C391" s="43"/>
      <c r="D391" s="20">
        <v>44321</v>
      </c>
    </row>
    <row r="392" spans="1:5">
      <c r="A392" s="20">
        <v>44322</v>
      </c>
      <c r="B392" s="43">
        <v>61.33</v>
      </c>
      <c r="C392" s="43"/>
      <c r="D392" s="20">
        <v>44322</v>
      </c>
    </row>
    <row r="393" spans="1:5">
      <c r="A393" s="20">
        <v>44323</v>
      </c>
      <c r="B393" s="43">
        <v>61.53</v>
      </c>
      <c r="C393" s="43"/>
      <c r="D393" s="20">
        <v>44323</v>
      </c>
    </row>
    <row r="394" spans="1:5">
      <c r="A394" s="20">
        <v>44326</v>
      </c>
      <c r="B394" s="43">
        <v>61.66</v>
      </c>
      <c r="C394" s="43"/>
      <c r="D394" s="20">
        <v>44326</v>
      </c>
    </row>
    <row r="395" spans="1:5">
      <c r="A395" s="20">
        <v>44327</v>
      </c>
      <c r="B395" s="43">
        <v>61.77</v>
      </c>
      <c r="C395" s="43"/>
      <c r="D395" s="20">
        <v>44327</v>
      </c>
    </row>
    <row r="396" spans="1:5">
      <c r="A396" s="20">
        <v>44328</v>
      </c>
      <c r="B396" s="43">
        <v>61.7</v>
      </c>
      <c r="C396" s="43"/>
      <c r="D396" s="20">
        <v>44328</v>
      </c>
    </row>
    <row r="397" spans="1:5">
      <c r="A397" s="20">
        <v>44329</v>
      </c>
      <c r="B397" s="43">
        <v>64.47</v>
      </c>
      <c r="C397" s="43"/>
      <c r="D397" s="20">
        <v>44329</v>
      </c>
    </row>
    <row r="398" spans="1:5">
      <c r="A398" s="20">
        <v>44330</v>
      </c>
      <c r="B398" s="43">
        <v>65.61</v>
      </c>
      <c r="C398" s="43"/>
      <c r="D398" s="20">
        <v>44330</v>
      </c>
    </row>
    <row r="399" spans="1:5">
      <c r="A399" s="20">
        <v>44333</v>
      </c>
      <c r="B399" s="43">
        <v>65.56</v>
      </c>
      <c r="C399" s="43"/>
      <c r="D399" s="20">
        <v>44333</v>
      </c>
    </row>
    <row r="400" spans="1:5">
      <c r="A400" s="20">
        <v>44334</v>
      </c>
      <c r="B400" s="43">
        <v>64.78</v>
      </c>
      <c r="C400" s="43"/>
      <c r="D400" s="20">
        <v>44334</v>
      </c>
    </row>
    <row r="401" spans="1:5">
      <c r="A401" s="20">
        <v>44335</v>
      </c>
      <c r="B401" s="43">
        <v>64.94</v>
      </c>
      <c r="C401" s="43"/>
      <c r="D401" s="20">
        <v>44335</v>
      </c>
    </row>
    <row r="402" spans="1:5">
      <c r="A402" s="20">
        <v>44336</v>
      </c>
      <c r="B402" s="43">
        <v>64.959999999999994</v>
      </c>
      <c r="C402" s="43"/>
      <c r="D402" s="20">
        <v>44336</v>
      </c>
    </row>
    <row r="403" spans="1:5">
      <c r="A403" s="20">
        <v>44337</v>
      </c>
      <c r="B403" s="43">
        <v>64.180000000000007</v>
      </c>
      <c r="C403" s="43"/>
      <c r="D403" s="20">
        <v>44337</v>
      </c>
    </row>
    <row r="404" spans="1:5">
      <c r="A404" s="20">
        <v>44340</v>
      </c>
      <c r="B404" s="43">
        <v>65.739999999999995</v>
      </c>
      <c r="C404" s="43"/>
      <c r="D404" s="20">
        <v>44340</v>
      </c>
    </row>
    <row r="405" spans="1:5">
      <c r="A405" s="20">
        <v>44341</v>
      </c>
      <c r="B405" s="43">
        <v>64.38</v>
      </c>
      <c r="C405" s="43"/>
      <c r="D405" s="20">
        <v>44341</v>
      </c>
    </row>
    <row r="406" spans="1:5">
      <c r="A406" s="20">
        <v>44342</v>
      </c>
      <c r="B406" s="43">
        <v>65.23</v>
      </c>
      <c r="C406" s="43"/>
      <c r="D406" s="20">
        <v>44342</v>
      </c>
    </row>
    <row r="407" spans="1:5">
      <c r="A407" s="20">
        <v>44343</v>
      </c>
      <c r="B407" s="43">
        <v>65.680000000000007</v>
      </c>
      <c r="C407" s="43"/>
      <c r="D407" s="20">
        <v>44343</v>
      </c>
    </row>
    <row r="408" spans="1:5">
      <c r="A408" s="20">
        <v>44344</v>
      </c>
      <c r="B408" s="43">
        <v>65.33</v>
      </c>
      <c r="C408" s="43"/>
      <c r="D408" s="20">
        <v>44344</v>
      </c>
    </row>
    <row r="409" spans="1:5">
      <c r="A409" s="20">
        <v>44347</v>
      </c>
      <c r="B409" s="43">
        <v>64.47</v>
      </c>
      <c r="C409" s="43"/>
      <c r="D409" s="20">
        <v>44347</v>
      </c>
    </row>
    <row r="410" spans="1:5">
      <c r="A410" s="20">
        <v>44348</v>
      </c>
      <c r="B410" s="43">
        <v>58.46</v>
      </c>
      <c r="C410" s="43"/>
      <c r="D410" s="20">
        <v>44348</v>
      </c>
    </row>
    <row r="411" spans="1:5">
      <c r="A411" s="20">
        <v>44349</v>
      </c>
      <c r="B411" s="43">
        <v>64.48</v>
      </c>
      <c r="C411" s="43"/>
      <c r="D411" s="20">
        <v>44349</v>
      </c>
    </row>
    <row r="412" spans="1:5">
      <c r="A412" s="20">
        <v>44350</v>
      </c>
      <c r="B412" s="43">
        <v>65.09</v>
      </c>
      <c r="C412" s="43"/>
      <c r="D412" s="20">
        <v>44350</v>
      </c>
    </row>
    <row r="413" spans="1:5">
      <c r="A413" s="20">
        <v>44351</v>
      </c>
      <c r="B413" s="43">
        <v>65.099999999999994</v>
      </c>
      <c r="C413" s="43"/>
      <c r="D413" s="20">
        <v>44351</v>
      </c>
    </row>
    <row r="414" spans="1:5">
      <c r="A414" s="20">
        <v>44354</v>
      </c>
      <c r="B414" s="43">
        <v>65.12</v>
      </c>
      <c r="C414" s="43"/>
      <c r="D414" s="20">
        <v>44354</v>
      </c>
      <c r="E414" s="43">
        <v>2.83</v>
      </c>
    </row>
    <row r="415" spans="1:5">
      <c r="A415" s="20">
        <v>44355</v>
      </c>
      <c r="B415" s="43">
        <v>65.180000000000007</v>
      </c>
      <c r="C415" s="43"/>
      <c r="D415" s="20">
        <v>44355</v>
      </c>
    </row>
    <row r="416" spans="1:5">
      <c r="A416" s="20">
        <v>44356</v>
      </c>
      <c r="B416" s="43">
        <v>65.16</v>
      </c>
      <c r="C416" s="43"/>
      <c r="D416" s="20">
        <v>44356</v>
      </c>
      <c r="E416" s="43">
        <v>2.9</v>
      </c>
    </row>
    <row r="417" spans="1:4">
      <c r="A417" s="20">
        <v>44357</v>
      </c>
      <c r="B417" s="43">
        <v>67.67</v>
      </c>
      <c r="C417" s="43"/>
      <c r="D417" s="20">
        <v>44357</v>
      </c>
    </row>
    <row r="418" spans="1:4">
      <c r="A418" s="20">
        <v>44358</v>
      </c>
      <c r="B418" s="43">
        <v>68.73</v>
      </c>
      <c r="C418" s="43"/>
      <c r="D418" s="20">
        <v>44358</v>
      </c>
    </row>
    <row r="419" spans="1:4">
      <c r="A419" s="20">
        <v>44361</v>
      </c>
      <c r="B419" s="43">
        <v>68.7</v>
      </c>
      <c r="C419" s="43"/>
      <c r="D419" s="20">
        <v>44361</v>
      </c>
    </row>
    <row r="420" spans="1:4">
      <c r="A420" s="20">
        <v>44362</v>
      </c>
      <c r="B420" s="43">
        <v>69.400000000000006</v>
      </c>
      <c r="C420" s="43"/>
      <c r="D420" s="20">
        <v>44362</v>
      </c>
    </row>
    <row r="421" spans="1:4">
      <c r="A421" s="20">
        <v>44363</v>
      </c>
      <c r="B421" s="43">
        <v>69.09</v>
      </c>
      <c r="C421" s="43"/>
      <c r="D421" s="20">
        <v>44363</v>
      </c>
    </row>
    <row r="422" spans="1:4">
      <c r="A422" s="20">
        <v>44364</v>
      </c>
      <c r="B422" s="43">
        <v>69.73</v>
      </c>
      <c r="C422" s="43"/>
      <c r="D422" s="20">
        <v>44364</v>
      </c>
    </row>
    <row r="423" spans="1:4">
      <c r="A423" s="20">
        <v>44365</v>
      </c>
      <c r="B423" s="43">
        <v>69.66</v>
      </c>
      <c r="C423" s="43"/>
      <c r="D423" s="20">
        <v>44365</v>
      </c>
    </row>
    <row r="424" spans="1:4">
      <c r="A424" s="20">
        <v>44368</v>
      </c>
      <c r="B424" s="43">
        <v>69.88</v>
      </c>
      <c r="C424" s="43"/>
      <c r="D424" s="20">
        <v>44368</v>
      </c>
    </row>
    <row r="425" spans="1:4">
      <c r="A425" s="20">
        <v>44369</v>
      </c>
      <c r="B425" s="43">
        <v>70.25</v>
      </c>
      <c r="C425" s="43"/>
      <c r="D425" s="20">
        <v>44369</v>
      </c>
    </row>
    <row r="426" spans="1:4">
      <c r="A426" s="20">
        <v>44370</v>
      </c>
      <c r="B426" s="43">
        <v>70.239999999999995</v>
      </c>
      <c r="C426" s="43"/>
      <c r="D426" s="20">
        <v>44370</v>
      </c>
    </row>
    <row r="427" spans="1:4">
      <c r="A427" s="20">
        <v>44371</v>
      </c>
      <c r="B427" s="43">
        <v>70.92</v>
      </c>
      <c r="C427" s="43"/>
      <c r="D427" s="20">
        <v>44371</v>
      </c>
    </row>
    <row r="428" spans="1:4">
      <c r="A428" s="20">
        <v>44372</v>
      </c>
      <c r="B428" s="43">
        <v>70.95</v>
      </c>
      <c r="C428" s="43"/>
      <c r="D428" s="20">
        <v>44372</v>
      </c>
    </row>
    <row r="429" spans="1:4">
      <c r="A429" s="20">
        <v>44375</v>
      </c>
      <c r="B429" s="43">
        <v>70.430000000000007</v>
      </c>
      <c r="C429" s="43"/>
      <c r="D429" s="20">
        <v>44375</v>
      </c>
    </row>
    <row r="430" spans="1:4">
      <c r="A430" s="20">
        <v>44376</v>
      </c>
      <c r="B430" s="43">
        <v>70.650000000000006</v>
      </c>
      <c r="C430" s="43"/>
      <c r="D430" s="20">
        <v>44376</v>
      </c>
    </row>
    <row r="431" spans="1:4">
      <c r="A431" s="20">
        <v>44377</v>
      </c>
      <c r="B431" s="43">
        <v>71.33</v>
      </c>
      <c r="C431" s="43"/>
      <c r="D431" s="20">
        <v>44377</v>
      </c>
    </row>
    <row r="432" spans="1:4">
      <c r="A432" s="20">
        <v>44378</v>
      </c>
      <c r="B432" s="43">
        <v>58.46</v>
      </c>
      <c r="C432" s="43"/>
      <c r="D432" s="20">
        <v>44378</v>
      </c>
    </row>
    <row r="433" spans="1:5">
      <c r="A433" s="20">
        <v>44379</v>
      </c>
      <c r="B433" s="43">
        <v>71.290000000000006</v>
      </c>
      <c r="C433" s="43"/>
      <c r="D433" s="20">
        <v>44379</v>
      </c>
      <c r="E433" s="43">
        <v>2.89</v>
      </c>
    </row>
    <row r="434" spans="1:5">
      <c r="A434" s="20">
        <v>44382</v>
      </c>
      <c r="B434" s="43">
        <v>71.34</v>
      </c>
      <c r="C434" s="43"/>
      <c r="D434" s="20">
        <v>44382</v>
      </c>
    </row>
    <row r="435" spans="1:5">
      <c r="A435" s="20">
        <v>44383</v>
      </c>
      <c r="B435" s="43">
        <v>71.48</v>
      </c>
      <c r="C435" s="43"/>
      <c r="D435" s="20">
        <v>44383</v>
      </c>
    </row>
    <row r="436" spans="1:5">
      <c r="A436" s="20">
        <v>44384</v>
      </c>
      <c r="B436" s="43">
        <v>71.319999999999993</v>
      </c>
      <c r="C436" s="43"/>
      <c r="D436" s="20">
        <v>44384</v>
      </c>
    </row>
    <row r="437" spans="1:5">
      <c r="A437" s="20">
        <v>44385</v>
      </c>
      <c r="B437" s="43">
        <v>71.33</v>
      </c>
      <c r="C437" s="43"/>
      <c r="D437" s="20">
        <v>44385</v>
      </c>
    </row>
    <row r="438" spans="1:5">
      <c r="A438" s="20">
        <v>44386</v>
      </c>
      <c r="B438" s="43">
        <v>71.349999999999994</v>
      </c>
      <c r="C438" s="43"/>
      <c r="D438" s="20">
        <v>44386</v>
      </c>
    </row>
    <row r="439" spans="1:5">
      <c r="A439" s="20">
        <v>44389</v>
      </c>
      <c r="B439" s="43">
        <v>74.33</v>
      </c>
      <c r="C439" s="43"/>
      <c r="D439" s="20">
        <v>44389</v>
      </c>
    </row>
    <row r="440" spans="1:5">
      <c r="A440" s="20">
        <v>44390</v>
      </c>
      <c r="B440" s="43">
        <v>74.86</v>
      </c>
      <c r="C440" s="43"/>
      <c r="D440" s="20">
        <v>44390</v>
      </c>
    </row>
    <row r="441" spans="1:5">
      <c r="A441" s="20">
        <v>44391</v>
      </c>
      <c r="B441" s="43">
        <v>73.239999999999995</v>
      </c>
      <c r="C441" s="43"/>
      <c r="D441" s="20">
        <v>44391</v>
      </c>
      <c r="E441" s="43">
        <v>3.3</v>
      </c>
    </row>
    <row r="442" spans="1:5">
      <c r="A442" s="20">
        <v>44392</v>
      </c>
      <c r="B442" s="43">
        <v>72.27</v>
      </c>
      <c r="C442" s="43"/>
      <c r="D442" s="20">
        <v>44392</v>
      </c>
    </row>
    <row r="443" spans="1:5">
      <c r="A443" s="20">
        <v>44393</v>
      </c>
      <c r="B443" s="43">
        <v>72.84</v>
      </c>
      <c r="C443" s="43"/>
      <c r="D443" s="20">
        <v>44393</v>
      </c>
    </row>
    <row r="444" spans="1:5">
      <c r="A444" s="20">
        <v>44396</v>
      </c>
      <c r="B444" s="43">
        <v>70.540000000000006</v>
      </c>
      <c r="C444" s="43"/>
      <c r="D444" s="20">
        <v>44396</v>
      </c>
    </row>
    <row r="445" spans="1:5">
      <c r="A445" s="20">
        <v>44397</v>
      </c>
      <c r="B445" s="43">
        <v>70.5</v>
      </c>
      <c r="C445" s="43"/>
      <c r="D445" s="20">
        <v>44397</v>
      </c>
    </row>
    <row r="446" spans="1:5">
      <c r="A446" s="20">
        <v>44398</v>
      </c>
      <c r="B446" s="43">
        <v>69.930000000000007</v>
      </c>
      <c r="C446" s="43"/>
      <c r="D446" s="20">
        <v>44398</v>
      </c>
    </row>
    <row r="447" spans="1:5">
      <c r="A447" s="20">
        <v>44399</v>
      </c>
      <c r="B447" s="43">
        <v>72.09</v>
      </c>
      <c r="C447" s="43"/>
      <c r="D447" s="20">
        <v>44399</v>
      </c>
    </row>
    <row r="448" spans="1:5">
      <c r="A448" s="20">
        <v>44400</v>
      </c>
      <c r="B448" s="43">
        <v>72.55</v>
      </c>
      <c r="C448" s="43"/>
      <c r="D448" s="20">
        <v>44400</v>
      </c>
    </row>
    <row r="449" spans="1:4">
      <c r="A449" s="20">
        <v>44403</v>
      </c>
      <c r="B449" s="43">
        <v>72.64</v>
      </c>
      <c r="C449" s="43"/>
      <c r="D449" s="20">
        <v>44403</v>
      </c>
    </row>
    <row r="450" spans="1:4">
      <c r="A450" s="20">
        <v>44404</v>
      </c>
      <c r="B450" s="43">
        <v>68.62</v>
      </c>
      <c r="C450" s="43"/>
      <c r="D450" s="20">
        <v>44404</v>
      </c>
    </row>
    <row r="451" spans="1:4">
      <c r="A451" s="20">
        <v>44405</v>
      </c>
      <c r="B451" s="43">
        <v>69.349999999999994</v>
      </c>
      <c r="C451" s="43"/>
      <c r="D451" s="20">
        <v>44405</v>
      </c>
    </row>
    <row r="452" spans="1:4">
      <c r="A452" s="20">
        <v>44406</v>
      </c>
      <c r="B452" s="43">
        <v>71.7</v>
      </c>
      <c r="C452" s="43"/>
      <c r="D452" s="20">
        <v>44406</v>
      </c>
    </row>
    <row r="453" spans="1:4">
      <c r="A453" s="20">
        <v>44407</v>
      </c>
      <c r="B453" s="43">
        <v>72.23</v>
      </c>
      <c r="C453" s="43"/>
      <c r="D453" s="20">
        <v>44407</v>
      </c>
    </row>
    <row r="454" spans="1:4">
      <c r="A454" s="20">
        <v>44410</v>
      </c>
      <c r="B454" s="43">
        <v>54.47</v>
      </c>
      <c r="C454" s="43"/>
      <c r="D454" s="20">
        <v>44410</v>
      </c>
    </row>
    <row r="455" spans="1:4">
      <c r="A455" s="20">
        <v>44411</v>
      </c>
      <c r="B455" s="43">
        <v>72.239999999999995</v>
      </c>
      <c r="C455" s="43"/>
      <c r="D455" s="20">
        <v>44411</v>
      </c>
    </row>
    <row r="456" spans="1:4">
      <c r="A456" s="20">
        <v>44412</v>
      </c>
      <c r="B456" s="43">
        <v>71.83</v>
      </c>
      <c r="C456" s="43"/>
      <c r="D456" s="20">
        <v>44412</v>
      </c>
    </row>
    <row r="457" spans="1:4">
      <c r="A457" s="20">
        <v>44413</v>
      </c>
      <c r="B457" s="43">
        <v>70.34</v>
      </c>
      <c r="C457" s="43"/>
      <c r="D457" s="20">
        <v>44413</v>
      </c>
    </row>
    <row r="458" spans="1:4">
      <c r="A458" s="20">
        <v>44414</v>
      </c>
      <c r="B458" s="43">
        <v>71.3</v>
      </c>
      <c r="C458" s="43"/>
      <c r="D458" s="20">
        <v>44414</v>
      </c>
    </row>
    <row r="459" spans="1:4">
      <c r="A459" s="20">
        <v>44417</v>
      </c>
      <c r="B459" s="43">
        <v>70.66</v>
      </c>
      <c r="C459" s="43"/>
      <c r="D459" s="20">
        <v>44417</v>
      </c>
    </row>
    <row r="460" spans="1:4">
      <c r="A460" s="20">
        <v>44418</v>
      </c>
      <c r="B460" s="43">
        <v>70.13</v>
      </c>
      <c r="C460" s="43"/>
      <c r="D460" s="20">
        <v>44418</v>
      </c>
    </row>
    <row r="461" spans="1:4">
      <c r="A461" s="20">
        <v>44419</v>
      </c>
      <c r="B461" s="43">
        <v>70.42</v>
      </c>
      <c r="C461" s="43"/>
      <c r="D461" s="20">
        <v>44419</v>
      </c>
    </row>
    <row r="462" spans="1:4">
      <c r="A462" s="20">
        <v>44420</v>
      </c>
      <c r="B462" s="43">
        <v>68.290000000000006</v>
      </c>
      <c r="C462" s="43"/>
      <c r="D462" s="20">
        <v>44420</v>
      </c>
    </row>
    <row r="463" spans="1:4">
      <c r="A463" s="20">
        <v>44421</v>
      </c>
      <c r="B463" s="43">
        <v>69.099999999999994</v>
      </c>
      <c r="C463" s="43"/>
      <c r="D463" s="20">
        <v>44421</v>
      </c>
    </row>
    <row r="464" spans="1:4">
      <c r="A464" s="20">
        <v>44424</v>
      </c>
      <c r="B464" s="43">
        <v>68.489999999999995</v>
      </c>
      <c r="C464" s="43"/>
      <c r="D464" s="20">
        <v>44424</v>
      </c>
    </row>
    <row r="465" spans="1:5">
      <c r="A465" s="20">
        <v>44425</v>
      </c>
      <c r="B465" s="43">
        <v>67.099999999999994</v>
      </c>
      <c r="C465" s="43"/>
      <c r="D465" s="20">
        <v>44425</v>
      </c>
    </row>
    <row r="466" spans="1:5">
      <c r="A466" s="20">
        <v>44426</v>
      </c>
      <c r="B466" s="43">
        <v>68.400000000000006</v>
      </c>
      <c r="C466" s="43"/>
      <c r="D466" s="20">
        <v>44426</v>
      </c>
      <c r="E466" s="43">
        <v>3.3</v>
      </c>
    </row>
    <row r="467" spans="1:5">
      <c r="A467" s="20">
        <v>44427</v>
      </c>
      <c r="B467" s="43">
        <v>66.08</v>
      </c>
      <c r="C467" s="43"/>
      <c r="D467" s="20">
        <v>44427</v>
      </c>
    </row>
    <row r="468" spans="1:5">
      <c r="A468" s="20">
        <v>44428</v>
      </c>
      <c r="B468" s="43">
        <v>66.13</v>
      </c>
      <c r="C468" s="43"/>
      <c r="D468" s="20">
        <v>44428</v>
      </c>
    </row>
    <row r="469" spans="1:5">
      <c r="A469" s="20">
        <v>44431</v>
      </c>
      <c r="B469" s="43">
        <v>67.33</v>
      </c>
      <c r="C469" s="43"/>
      <c r="D469" s="20">
        <v>44431</v>
      </c>
    </row>
    <row r="470" spans="1:5">
      <c r="A470" s="20">
        <v>44432</v>
      </c>
      <c r="B470" s="43">
        <v>67.94</v>
      </c>
      <c r="C470" s="43"/>
      <c r="D470" s="20">
        <v>44432</v>
      </c>
    </row>
    <row r="471" spans="1:5">
      <c r="A471" s="20">
        <v>44433</v>
      </c>
      <c r="B471" s="43">
        <v>67.59</v>
      </c>
      <c r="C471" s="43"/>
      <c r="D471" s="20">
        <v>44433</v>
      </c>
    </row>
    <row r="472" spans="1:5">
      <c r="A472" s="20">
        <v>44434</v>
      </c>
      <c r="B472" s="43">
        <v>67.069999999999993</v>
      </c>
      <c r="C472" s="43"/>
      <c r="D472" s="20">
        <v>44434</v>
      </c>
    </row>
    <row r="473" spans="1:5">
      <c r="A473" s="20">
        <v>44435</v>
      </c>
      <c r="B473" s="43">
        <v>66.37</v>
      </c>
      <c r="C473" s="43"/>
      <c r="D473" s="20">
        <v>44435</v>
      </c>
    </row>
    <row r="474" spans="1:5">
      <c r="A474" s="20">
        <v>44438</v>
      </c>
      <c r="B474" s="43">
        <v>65.180000000000007</v>
      </c>
      <c r="C474" s="43"/>
      <c r="D474" s="20">
        <v>44438</v>
      </c>
    </row>
    <row r="475" spans="1:5">
      <c r="A475" s="20">
        <v>44439</v>
      </c>
      <c r="B475" s="43">
        <v>66.989999999999995</v>
      </c>
      <c r="C475" s="43"/>
      <c r="D475" s="20">
        <v>44439</v>
      </c>
    </row>
    <row r="476" spans="1:5">
      <c r="A476" s="20">
        <v>44440</v>
      </c>
      <c r="B476" s="43">
        <v>58.02</v>
      </c>
      <c r="C476" s="43"/>
      <c r="D476" s="20">
        <v>44440</v>
      </c>
    </row>
    <row r="477" spans="1:5">
      <c r="A477" s="20">
        <v>44441</v>
      </c>
      <c r="B477" s="43">
        <v>67.69</v>
      </c>
      <c r="C477" s="43"/>
      <c r="D477" s="20">
        <v>44441</v>
      </c>
    </row>
    <row r="478" spans="1:5">
      <c r="A478" s="20">
        <v>44442</v>
      </c>
      <c r="B478" s="43">
        <v>67.52</v>
      </c>
      <c r="C478" s="43"/>
      <c r="D478" s="20">
        <v>44442</v>
      </c>
    </row>
    <row r="479" spans="1:5">
      <c r="A479" s="20">
        <v>44445</v>
      </c>
      <c r="B479" s="43">
        <v>67.7</v>
      </c>
      <c r="C479" s="43"/>
      <c r="D479" s="20">
        <v>44445</v>
      </c>
    </row>
    <row r="480" spans="1:5">
      <c r="A480" s="20">
        <v>44446</v>
      </c>
      <c r="B480" s="43">
        <v>67.739999999999995</v>
      </c>
      <c r="C480" s="43"/>
      <c r="D480" s="20">
        <v>44446</v>
      </c>
    </row>
    <row r="481" spans="1:5">
      <c r="A481" s="20">
        <v>44447</v>
      </c>
      <c r="B481" s="43">
        <v>67.709999999999994</v>
      </c>
      <c r="C481" s="43"/>
      <c r="D481" s="20">
        <v>44447</v>
      </c>
    </row>
    <row r="482" spans="1:5">
      <c r="A482" s="20">
        <v>44448</v>
      </c>
      <c r="B482" s="43">
        <v>68.5</v>
      </c>
      <c r="C482" s="43"/>
      <c r="D482" s="20">
        <v>44448</v>
      </c>
    </row>
    <row r="483" spans="1:5">
      <c r="A483" s="20">
        <v>44449</v>
      </c>
      <c r="B483" s="43">
        <v>69.84</v>
      </c>
      <c r="C483" s="43"/>
      <c r="D483" s="20">
        <v>44449</v>
      </c>
    </row>
    <row r="484" spans="1:5">
      <c r="A484" s="20">
        <v>44452</v>
      </c>
      <c r="B484" s="43">
        <v>69.22</v>
      </c>
      <c r="C484" s="43"/>
      <c r="D484" s="20">
        <v>44452</v>
      </c>
    </row>
    <row r="485" spans="1:5">
      <c r="A485" s="20">
        <v>44453</v>
      </c>
      <c r="B485" s="43">
        <v>68.41</v>
      </c>
      <c r="C485" s="43"/>
      <c r="D485" s="20">
        <v>44453</v>
      </c>
    </row>
    <row r="486" spans="1:5">
      <c r="A486" s="20">
        <v>44454</v>
      </c>
      <c r="B486" s="43">
        <v>69.17</v>
      </c>
      <c r="C486" s="43"/>
      <c r="D486" s="20">
        <v>44454</v>
      </c>
    </row>
    <row r="487" spans="1:5">
      <c r="A487" s="20">
        <v>44455</v>
      </c>
      <c r="B487" s="43">
        <v>68.3</v>
      </c>
      <c r="C487" s="43"/>
      <c r="D487" s="20">
        <v>44455</v>
      </c>
    </row>
    <row r="488" spans="1:5">
      <c r="A488" s="20">
        <v>44456</v>
      </c>
      <c r="B488" s="43">
        <v>69.41</v>
      </c>
      <c r="C488" s="43"/>
      <c r="D488" s="20">
        <v>44456</v>
      </c>
    </row>
    <row r="489" spans="1:5">
      <c r="A489" s="20">
        <v>44459</v>
      </c>
      <c r="B489" s="43">
        <v>69.900000000000006</v>
      </c>
      <c r="C489" s="43"/>
      <c r="D489" s="20">
        <v>44459</v>
      </c>
    </row>
    <row r="490" spans="1:5">
      <c r="A490" s="20">
        <v>44460</v>
      </c>
      <c r="B490" s="43">
        <v>69.91</v>
      </c>
      <c r="C490" s="43"/>
      <c r="D490" s="20">
        <v>44460</v>
      </c>
    </row>
    <row r="491" spans="1:5">
      <c r="A491" s="20">
        <v>44461</v>
      </c>
      <c r="B491" s="43">
        <v>71.13</v>
      </c>
      <c r="C491" s="43"/>
      <c r="D491" s="20">
        <v>44461</v>
      </c>
      <c r="E491" s="43">
        <v>3.0646499999999999</v>
      </c>
    </row>
    <row r="492" spans="1:5">
      <c r="A492" s="20">
        <v>44462</v>
      </c>
      <c r="B492" s="43">
        <v>71.14</v>
      </c>
      <c r="C492" s="43"/>
      <c r="D492" s="20">
        <v>44462</v>
      </c>
    </row>
    <row r="493" spans="1:5">
      <c r="A493" s="20">
        <v>44463</v>
      </c>
      <c r="B493" s="43">
        <v>70.86</v>
      </c>
      <c r="C493" s="43"/>
      <c r="D493" s="20">
        <v>44463</v>
      </c>
    </row>
    <row r="494" spans="1:5">
      <c r="A494" s="20">
        <v>44466</v>
      </c>
      <c r="B494" s="43">
        <v>70.14</v>
      </c>
      <c r="C494" s="43"/>
      <c r="D494" s="20">
        <v>44466</v>
      </c>
    </row>
    <row r="495" spans="1:5">
      <c r="A495" s="20">
        <v>44467</v>
      </c>
      <c r="B495" s="43">
        <v>70.27</v>
      </c>
      <c r="C495" s="43"/>
      <c r="D495" s="20">
        <v>44467</v>
      </c>
    </row>
    <row r="496" spans="1:5">
      <c r="A496" s="20">
        <v>44468</v>
      </c>
      <c r="B496" s="43">
        <v>70.849999999999994</v>
      </c>
      <c r="C496" s="43"/>
      <c r="D496" s="20">
        <v>44468</v>
      </c>
    </row>
    <row r="497" spans="1:5">
      <c r="A497" s="20">
        <v>44469</v>
      </c>
      <c r="B497" s="43">
        <v>71.16</v>
      </c>
      <c r="C497" s="43"/>
      <c r="D497" s="20">
        <v>44469</v>
      </c>
    </row>
    <row r="498" spans="1:5">
      <c r="A498" s="20">
        <v>44470</v>
      </c>
      <c r="B498" s="43">
        <v>69.3</v>
      </c>
      <c r="C498" s="43"/>
      <c r="D498" s="20">
        <v>44470</v>
      </c>
    </row>
    <row r="499" spans="1:5">
      <c r="A499" s="20">
        <v>44473</v>
      </c>
      <c r="B499" s="43">
        <v>71.599999999999994</v>
      </c>
      <c r="C499" s="43"/>
      <c r="D499" s="20">
        <v>44473</v>
      </c>
    </row>
    <row r="500" spans="1:5">
      <c r="A500" s="20">
        <v>44474</v>
      </c>
      <c r="B500" s="43">
        <v>71.58</v>
      </c>
      <c r="C500" s="43"/>
      <c r="D500" s="20">
        <v>44474</v>
      </c>
    </row>
    <row r="501" spans="1:5">
      <c r="A501" s="20">
        <v>44475</v>
      </c>
      <c r="B501" s="43">
        <v>71.540000000000006</v>
      </c>
      <c r="C501" s="43"/>
      <c r="D501" s="20">
        <v>44475</v>
      </c>
      <c r="E501" s="43">
        <v>3.2890000000000001</v>
      </c>
    </row>
    <row r="502" spans="1:5">
      <c r="A502" s="20">
        <v>44476</v>
      </c>
      <c r="B502" s="43">
        <v>71.13</v>
      </c>
      <c r="C502" s="43"/>
      <c r="D502" s="20">
        <v>44476</v>
      </c>
    </row>
    <row r="503" spans="1:5">
      <c r="A503" s="20">
        <v>44477</v>
      </c>
      <c r="B503" s="43">
        <v>75.78</v>
      </c>
      <c r="C503" s="43"/>
      <c r="D503" s="20">
        <v>44477</v>
      </c>
    </row>
    <row r="504" spans="1:5">
      <c r="A504" s="20">
        <v>44480</v>
      </c>
      <c r="B504" s="43">
        <v>77.44</v>
      </c>
      <c r="C504" s="43"/>
      <c r="D504" s="20">
        <v>44480</v>
      </c>
    </row>
    <row r="505" spans="1:5">
      <c r="A505" s="20">
        <v>44481</v>
      </c>
      <c r="B505" s="43">
        <v>78.599999999999994</v>
      </c>
      <c r="C505" s="43"/>
      <c r="D505" s="20">
        <v>44481</v>
      </c>
    </row>
    <row r="506" spans="1:5">
      <c r="A506" s="20">
        <v>44482</v>
      </c>
      <c r="B506" s="43">
        <v>77.31</v>
      </c>
      <c r="C506" s="43"/>
      <c r="D506" s="20">
        <v>44482</v>
      </c>
    </row>
    <row r="507" spans="1:5">
      <c r="A507" s="20">
        <v>44483</v>
      </c>
      <c r="B507" s="43">
        <v>78.03</v>
      </c>
      <c r="C507" s="43"/>
      <c r="D507" s="20">
        <v>44483</v>
      </c>
    </row>
    <row r="508" spans="1:5">
      <c r="A508" s="20">
        <v>44484</v>
      </c>
      <c r="B508" s="43">
        <v>78.739999999999995</v>
      </c>
      <c r="C508" s="43"/>
      <c r="D508" s="20">
        <v>44484</v>
      </c>
    </row>
    <row r="509" spans="1:5">
      <c r="A509" s="20">
        <v>44487</v>
      </c>
      <c r="B509" s="43">
        <v>79.58</v>
      </c>
      <c r="C509" s="43"/>
      <c r="D509" s="20">
        <v>44487</v>
      </c>
    </row>
    <row r="510" spans="1:5">
      <c r="A510" s="20">
        <v>44488</v>
      </c>
      <c r="B510" s="43">
        <v>79.62</v>
      </c>
      <c r="C510" s="43"/>
      <c r="D510" s="20">
        <v>44488</v>
      </c>
    </row>
    <row r="511" spans="1:5">
      <c r="A511" s="20">
        <v>44489</v>
      </c>
      <c r="B511" s="43">
        <v>79.53</v>
      </c>
      <c r="C511" s="43"/>
      <c r="D511" s="20">
        <v>44489</v>
      </c>
    </row>
    <row r="512" spans="1:5">
      <c r="A512" s="20">
        <v>44490</v>
      </c>
      <c r="B512" s="43">
        <v>80.05</v>
      </c>
      <c r="C512" s="43"/>
      <c r="D512" s="20">
        <v>44490</v>
      </c>
    </row>
    <row r="513" spans="1:5">
      <c r="A513" s="20">
        <v>44491</v>
      </c>
      <c r="B513" s="43">
        <v>80.55</v>
      </c>
      <c r="C513" s="43"/>
      <c r="D513" s="20">
        <v>44491</v>
      </c>
    </row>
    <row r="514" spans="1:5">
      <c r="A514" s="20">
        <v>44494</v>
      </c>
      <c r="B514" s="43">
        <v>80.56</v>
      </c>
      <c r="C514" s="43"/>
      <c r="D514" s="20">
        <v>44494</v>
      </c>
    </row>
    <row r="515" spans="1:5">
      <c r="A515" s="20">
        <v>44495</v>
      </c>
      <c r="B515" s="43">
        <v>80.86</v>
      </c>
      <c r="C515" s="43"/>
      <c r="D515" s="20">
        <v>44495</v>
      </c>
    </row>
    <row r="516" spans="1:5">
      <c r="A516" s="20">
        <v>44496</v>
      </c>
      <c r="B516" s="43">
        <v>81.23</v>
      </c>
      <c r="C516" s="43"/>
      <c r="D516" s="20">
        <v>44496</v>
      </c>
      <c r="E516" s="43">
        <v>3.05</v>
      </c>
    </row>
    <row r="517" spans="1:5">
      <c r="A517" s="20">
        <v>44497</v>
      </c>
      <c r="B517" s="43">
        <v>80.930000000000007</v>
      </c>
      <c r="C517" s="43"/>
      <c r="D517" s="20">
        <v>44497</v>
      </c>
    </row>
    <row r="518" spans="1:5">
      <c r="A518" s="20">
        <v>44498</v>
      </c>
      <c r="B518" s="43">
        <v>81.290000000000006</v>
      </c>
      <c r="C518" s="43"/>
      <c r="D518" s="20">
        <v>44498</v>
      </c>
    </row>
    <row r="519" spans="1:5">
      <c r="A519" s="20">
        <v>44501</v>
      </c>
      <c r="B519" s="43">
        <v>65.25</v>
      </c>
      <c r="C519" s="43"/>
      <c r="D519" s="20">
        <v>44501</v>
      </c>
    </row>
    <row r="520" spans="1:5">
      <c r="A520" s="20">
        <v>44502</v>
      </c>
      <c r="B520" s="43">
        <v>81.459999999999994</v>
      </c>
      <c r="C520" s="43"/>
      <c r="D520" s="20">
        <v>44502</v>
      </c>
    </row>
    <row r="521" spans="1:5">
      <c r="A521" s="20">
        <v>44503</v>
      </c>
      <c r="B521" s="43">
        <v>81.17</v>
      </c>
      <c r="C521" s="43"/>
      <c r="D521" s="20">
        <v>44503</v>
      </c>
    </row>
    <row r="522" spans="1:5">
      <c r="A522" s="20">
        <v>44504</v>
      </c>
      <c r="B522" s="43">
        <v>81.19</v>
      </c>
      <c r="C522" s="43"/>
      <c r="D522" s="20">
        <v>44504</v>
      </c>
    </row>
    <row r="523" spans="1:5">
      <c r="A523" s="20">
        <v>44505</v>
      </c>
      <c r="B523" s="43">
        <v>80.16</v>
      </c>
      <c r="C523" s="43"/>
      <c r="D523" s="20">
        <v>44505</v>
      </c>
    </row>
    <row r="524" spans="1:5">
      <c r="A524" s="20">
        <v>44508</v>
      </c>
      <c r="B524" s="43">
        <v>82.39</v>
      </c>
      <c r="C524" s="43"/>
      <c r="D524" s="20">
        <v>44508</v>
      </c>
    </row>
    <row r="525" spans="1:5">
      <c r="A525" s="20">
        <v>44509</v>
      </c>
      <c r="B525" s="43">
        <v>82.7</v>
      </c>
      <c r="C525" s="43"/>
      <c r="D525" s="20">
        <v>44509</v>
      </c>
    </row>
    <row r="526" spans="1:5">
      <c r="A526" s="20">
        <v>44510</v>
      </c>
      <c r="B526" s="43">
        <v>80.790000000000006</v>
      </c>
      <c r="C526" s="43"/>
      <c r="D526" s="20">
        <v>44510</v>
      </c>
    </row>
    <row r="527" spans="1:5">
      <c r="A527" s="20">
        <v>44511</v>
      </c>
      <c r="B527" s="43">
        <v>79.08</v>
      </c>
      <c r="C527" s="43"/>
      <c r="D527" s="20">
        <v>44511</v>
      </c>
    </row>
    <row r="528" spans="1:5">
      <c r="A528" s="20">
        <v>44512</v>
      </c>
      <c r="B528" s="43">
        <v>81.069999999999993</v>
      </c>
      <c r="C528" s="43"/>
      <c r="D528" s="20">
        <v>44512</v>
      </c>
    </row>
    <row r="529" spans="1:5">
      <c r="A529" s="20">
        <v>44515</v>
      </c>
      <c r="B529" s="43">
        <v>80.900000000000006</v>
      </c>
      <c r="C529" s="43"/>
      <c r="D529" s="20">
        <v>44515</v>
      </c>
    </row>
    <row r="530" spans="1:5">
      <c r="A530" s="20">
        <v>44516</v>
      </c>
      <c r="B530" s="43">
        <v>82.01</v>
      </c>
      <c r="C530" s="43"/>
      <c r="D530" s="20">
        <v>44516</v>
      </c>
    </row>
    <row r="531" spans="1:5">
      <c r="A531" s="20">
        <v>44517</v>
      </c>
      <c r="B531" s="43">
        <v>81.099999999999994</v>
      </c>
      <c r="C531" s="43"/>
      <c r="D531" s="20">
        <v>44517</v>
      </c>
    </row>
    <row r="532" spans="1:5">
      <c r="A532" s="20">
        <v>44518</v>
      </c>
      <c r="B532" s="43">
        <v>79.37</v>
      </c>
      <c r="C532" s="43"/>
      <c r="D532" s="20">
        <v>44518</v>
      </c>
    </row>
    <row r="533" spans="1:5">
      <c r="A533" s="20">
        <v>44519</v>
      </c>
      <c r="B533" s="43">
        <v>80.319999999999993</v>
      </c>
      <c r="C533" s="43"/>
      <c r="D533" s="20">
        <v>44519</v>
      </c>
    </row>
    <row r="534" spans="1:5">
      <c r="A534" s="20">
        <v>44522</v>
      </c>
      <c r="B534" s="43">
        <v>78.900000000000006</v>
      </c>
      <c r="C534" s="43"/>
      <c r="D534" s="20">
        <v>44522</v>
      </c>
    </row>
    <row r="535" spans="1:5">
      <c r="A535" s="20">
        <v>44523</v>
      </c>
      <c r="B535" s="43">
        <v>79.400000000000006</v>
      </c>
      <c r="C535" s="43"/>
      <c r="D535" s="20">
        <v>44523</v>
      </c>
    </row>
    <row r="536" spans="1:5">
      <c r="A536" s="20">
        <v>44524</v>
      </c>
      <c r="B536" s="43">
        <v>80.03</v>
      </c>
      <c r="C536" s="43"/>
      <c r="D536" s="20">
        <v>44524</v>
      </c>
    </row>
    <row r="537" spans="1:5">
      <c r="A537" s="20">
        <v>44525</v>
      </c>
      <c r="B537" s="43">
        <v>80.34</v>
      </c>
      <c r="C537" s="43"/>
      <c r="D537" s="20">
        <v>44525</v>
      </c>
    </row>
    <row r="538" spans="1:5">
      <c r="A538" s="20">
        <v>44526</v>
      </c>
      <c r="B538" s="43">
        <v>76.09</v>
      </c>
      <c r="C538" s="43"/>
      <c r="D538" s="20">
        <v>44526</v>
      </c>
    </row>
    <row r="539" spans="1:5">
      <c r="A539" s="20">
        <v>44529</v>
      </c>
      <c r="B539" s="43">
        <v>74.2</v>
      </c>
      <c r="C539" s="43"/>
      <c r="D539" s="20">
        <v>44529</v>
      </c>
    </row>
    <row r="540" spans="1:5">
      <c r="A540" s="20">
        <v>44530</v>
      </c>
      <c r="B540" s="43">
        <v>71.010000000000005</v>
      </c>
      <c r="C540" s="43"/>
      <c r="D540" s="20">
        <v>44530</v>
      </c>
    </row>
    <row r="541" spans="1:5">
      <c r="A541" s="20">
        <v>44531</v>
      </c>
      <c r="B541" s="43">
        <v>53.1</v>
      </c>
      <c r="C541" s="43"/>
      <c r="D541" s="20">
        <v>44531</v>
      </c>
      <c r="E541" s="43">
        <v>3.1</v>
      </c>
    </row>
    <row r="542" spans="1:5">
      <c r="A542" s="20">
        <v>44532</v>
      </c>
      <c r="B542" s="43">
        <v>70.069999999999993</v>
      </c>
      <c r="C542" s="43"/>
      <c r="D542" s="20">
        <v>44532</v>
      </c>
    </row>
    <row r="543" spans="1:5">
      <c r="A543" s="20">
        <v>44533</v>
      </c>
      <c r="B543" s="43">
        <v>71.650000000000006</v>
      </c>
      <c r="C543" s="43"/>
      <c r="D543" s="20">
        <v>44533</v>
      </c>
    </row>
    <row r="544" spans="1:5">
      <c r="A544" s="20">
        <v>44536</v>
      </c>
      <c r="B544" s="43">
        <v>70.569999999999993</v>
      </c>
      <c r="C544" s="43"/>
      <c r="D544" s="20">
        <v>44536</v>
      </c>
    </row>
    <row r="545" spans="1:4">
      <c r="A545" s="20">
        <v>44537</v>
      </c>
      <c r="B545" s="43">
        <v>65.5</v>
      </c>
      <c r="C545" s="43"/>
      <c r="D545" s="20">
        <v>44537</v>
      </c>
    </row>
    <row r="546" spans="1:4">
      <c r="A546" s="20">
        <v>44538</v>
      </c>
      <c r="B546" s="43">
        <v>66.37</v>
      </c>
      <c r="C546" s="43"/>
      <c r="D546" s="20">
        <v>44538</v>
      </c>
    </row>
    <row r="547" spans="1:4">
      <c r="A547" s="20">
        <v>44539</v>
      </c>
      <c r="B547" s="43">
        <v>66.180000000000007</v>
      </c>
      <c r="C547" s="43"/>
      <c r="D547" s="20">
        <v>44539</v>
      </c>
    </row>
    <row r="548" spans="1:4">
      <c r="A548" s="20">
        <v>44540</v>
      </c>
      <c r="B548" s="43">
        <v>68.959999999999994</v>
      </c>
      <c r="C548" s="43"/>
      <c r="D548" s="20">
        <v>44540</v>
      </c>
    </row>
    <row r="549" spans="1:4">
      <c r="A549" s="20">
        <v>44543</v>
      </c>
      <c r="B549" s="43">
        <v>71.05</v>
      </c>
      <c r="C549" s="43"/>
      <c r="D549" s="20">
        <v>44543</v>
      </c>
    </row>
    <row r="550" spans="1:4">
      <c r="A550" s="20">
        <v>44544</v>
      </c>
      <c r="B550" s="43">
        <v>71.3</v>
      </c>
      <c r="C550" s="43"/>
      <c r="D550" s="20">
        <v>44544</v>
      </c>
    </row>
    <row r="551" spans="1:4">
      <c r="A551" s="20">
        <v>44545</v>
      </c>
      <c r="B551" s="43">
        <v>70.28</v>
      </c>
      <c r="C551" s="43"/>
      <c r="D551" s="20">
        <v>44545</v>
      </c>
    </row>
    <row r="552" spans="1:4">
      <c r="A552" s="20">
        <v>44546</v>
      </c>
      <c r="B552" s="43">
        <v>70.760000000000005</v>
      </c>
      <c r="C552" s="43"/>
      <c r="D552" s="20">
        <v>44546</v>
      </c>
    </row>
    <row r="553" spans="1:4">
      <c r="A553" s="20">
        <v>44547</v>
      </c>
      <c r="B553" s="43">
        <v>70.5</v>
      </c>
      <c r="C553" s="43"/>
      <c r="D553" s="20">
        <v>44547</v>
      </c>
    </row>
    <row r="554" spans="1:4">
      <c r="A554" s="20">
        <v>44550</v>
      </c>
      <c r="B554" s="43">
        <v>70.180000000000007</v>
      </c>
      <c r="C554" s="43"/>
      <c r="D554" s="20">
        <v>44550</v>
      </c>
    </row>
    <row r="555" spans="1:4">
      <c r="A555" s="20">
        <v>44551</v>
      </c>
      <c r="B555" s="43">
        <v>70.260000000000005</v>
      </c>
      <c r="C555" s="43"/>
      <c r="D555" s="20">
        <v>44551</v>
      </c>
    </row>
    <row r="556" spans="1:4">
      <c r="A556" s="20">
        <v>44552</v>
      </c>
      <c r="B556" s="43">
        <v>71</v>
      </c>
      <c r="C556" s="43"/>
      <c r="D556" s="20">
        <v>44552</v>
      </c>
    </row>
    <row r="557" spans="1:4">
      <c r="A557" s="20">
        <v>44553</v>
      </c>
      <c r="B557" s="43">
        <v>70.349999999999994</v>
      </c>
      <c r="C557" s="43"/>
      <c r="D557" s="20">
        <v>44553</v>
      </c>
    </row>
    <row r="558" spans="1:4">
      <c r="A558" s="20">
        <v>44554</v>
      </c>
      <c r="B558" s="43">
        <v>69.459999999999994</v>
      </c>
      <c r="C558" s="43"/>
      <c r="D558" s="20">
        <v>44554</v>
      </c>
    </row>
    <row r="559" spans="1:4">
      <c r="A559" s="20">
        <v>44557</v>
      </c>
      <c r="B559" s="43">
        <v>70.37</v>
      </c>
      <c r="C559" s="43"/>
      <c r="D559" s="20">
        <v>44557</v>
      </c>
    </row>
    <row r="560" spans="1:4">
      <c r="A560" s="20">
        <v>44558</v>
      </c>
      <c r="B560" s="43">
        <v>70.89</v>
      </c>
      <c r="C560" s="43"/>
      <c r="D560" s="20">
        <v>44558</v>
      </c>
    </row>
    <row r="561" spans="1:5">
      <c r="A561" s="20">
        <v>44559</v>
      </c>
      <c r="B561" s="43">
        <v>71.17</v>
      </c>
      <c r="C561" s="43"/>
      <c r="D561" s="20">
        <v>44559</v>
      </c>
    </row>
    <row r="562" spans="1:5">
      <c r="A562" s="20">
        <v>44560</v>
      </c>
      <c r="B562" s="43">
        <v>71.58</v>
      </c>
      <c r="C562" s="43"/>
      <c r="D562" s="20">
        <v>44560</v>
      </c>
    </row>
    <row r="563" spans="1:5">
      <c r="A563" s="20">
        <v>44561</v>
      </c>
      <c r="B563" s="43">
        <v>71.650000000000006</v>
      </c>
      <c r="C563" s="43"/>
      <c r="D563" s="20">
        <v>44561</v>
      </c>
    </row>
    <row r="564" spans="1:5">
      <c r="A564" s="20">
        <v>44564</v>
      </c>
      <c r="B564" s="43">
        <v>65.25</v>
      </c>
      <c r="C564" s="43"/>
      <c r="D564" s="20">
        <v>44564</v>
      </c>
    </row>
    <row r="565" spans="1:5">
      <c r="A565" s="20">
        <v>44565</v>
      </c>
      <c r="B565" s="43">
        <v>71.77</v>
      </c>
      <c r="C565" s="43"/>
      <c r="D565" s="20">
        <v>44565</v>
      </c>
    </row>
    <row r="566" spans="1:5">
      <c r="A566" s="20">
        <v>44566</v>
      </c>
      <c r="B566" s="43">
        <v>71.69</v>
      </c>
      <c r="C566" s="43"/>
      <c r="D566" s="20">
        <v>44566</v>
      </c>
    </row>
    <row r="567" spans="1:5">
      <c r="A567" s="20">
        <v>44567</v>
      </c>
      <c r="B567" s="43">
        <v>76</v>
      </c>
      <c r="C567" s="43"/>
      <c r="D567" s="20">
        <v>44567</v>
      </c>
      <c r="E567" s="43">
        <v>3.4450000000000003</v>
      </c>
    </row>
    <row r="568" spans="1:5">
      <c r="A568" s="20">
        <v>44568</v>
      </c>
      <c r="B568" s="43">
        <v>76.86</v>
      </c>
      <c r="C568" s="43"/>
      <c r="D568" s="20">
        <v>44568</v>
      </c>
    </row>
    <row r="569" spans="1:5">
      <c r="A569" s="20">
        <v>44571</v>
      </c>
      <c r="B569" s="43">
        <v>77.59</v>
      </c>
      <c r="C569" s="43"/>
      <c r="D569" s="20">
        <v>44571</v>
      </c>
    </row>
    <row r="570" spans="1:5">
      <c r="A570" s="20">
        <v>44572</v>
      </c>
      <c r="B570" s="43">
        <v>78.88</v>
      </c>
      <c r="C570" s="43"/>
      <c r="D570" s="20">
        <v>44572</v>
      </c>
    </row>
    <row r="571" spans="1:5">
      <c r="A571" s="20">
        <v>44573</v>
      </c>
      <c r="B571" s="43">
        <v>78.48</v>
      </c>
      <c r="C571" s="43"/>
      <c r="D571" s="20">
        <v>44573</v>
      </c>
    </row>
    <row r="572" spans="1:5">
      <c r="A572" s="20">
        <v>44574</v>
      </c>
      <c r="B572" s="43">
        <v>77.95</v>
      </c>
      <c r="C572" s="43"/>
      <c r="D572" s="20">
        <v>44574</v>
      </c>
    </row>
    <row r="573" spans="1:5">
      <c r="A573" s="20">
        <v>44575</v>
      </c>
      <c r="B573" s="43">
        <v>80.040000000000006</v>
      </c>
      <c r="C573" s="43"/>
      <c r="D573" s="20">
        <v>44575</v>
      </c>
    </row>
    <row r="574" spans="1:5">
      <c r="A574" s="20">
        <v>44578</v>
      </c>
      <c r="B574" s="43">
        <v>80.94</v>
      </c>
      <c r="C574" s="43"/>
      <c r="D574" s="20">
        <v>44578</v>
      </c>
    </row>
    <row r="575" spans="1:5">
      <c r="A575" s="20">
        <v>44579</v>
      </c>
      <c r="B575" s="43">
        <v>80.67</v>
      </c>
      <c r="C575" s="43"/>
      <c r="D575" s="20">
        <v>44579</v>
      </c>
    </row>
    <row r="576" spans="1:5">
      <c r="A576" s="20">
        <v>44580</v>
      </c>
      <c r="B576" s="43">
        <v>81.59</v>
      </c>
      <c r="C576" s="43"/>
      <c r="D576" s="20">
        <v>44580</v>
      </c>
    </row>
    <row r="577" spans="1:5">
      <c r="A577" s="20">
        <v>44581</v>
      </c>
      <c r="B577" s="43">
        <v>82.37</v>
      </c>
      <c r="C577" s="43"/>
      <c r="D577" s="20">
        <v>44581</v>
      </c>
    </row>
    <row r="578" spans="1:5">
      <c r="A578" s="20">
        <v>44582</v>
      </c>
      <c r="B578" s="43">
        <v>82.86</v>
      </c>
      <c r="C578" s="43"/>
      <c r="D578" s="20">
        <v>44582</v>
      </c>
    </row>
    <row r="579" spans="1:5">
      <c r="A579" s="20">
        <v>44585</v>
      </c>
      <c r="B579" s="43">
        <v>82.77</v>
      </c>
      <c r="C579" s="43"/>
      <c r="D579" s="20">
        <v>44585</v>
      </c>
    </row>
    <row r="580" spans="1:5">
      <c r="A580" s="20">
        <v>44586</v>
      </c>
      <c r="B580" s="43">
        <v>82.63</v>
      </c>
      <c r="C580" s="43"/>
      <c r="D580" s="20">
        <v>44586</v>
      </c>
    </row>
    <row r="581" spans="1:5">
      <c r="A581" s="20">
        <v>44587</v>
      </c>
      <c r="B581" s="43">
        <v>82.08</v>
      </c>
      <c r="C581" s="43"/>
      <c r="D581" s="20">
        <v>44587</v>
      </c>
    </row>
    <row r="582" spans="1:5">
      <c r="A582" s="20">
        <v>44588</v>
      </c>
      <c r="B582" s="43">
        <v>82.65</v>
      </c>
      <c r="C582" s="43"/>
      <c r="D582" s="20">
        <v>44588</v>
      </c>
    </row>
    <row r="583" spans="1:5">
      <c r="A583" s="20">
        <v>44589</v>
      </c>
      <c r="B583" s="43">
        <v>83</v>
      </c>
      <c r="C583" s="43"/>
      <c r="D583" s="20">
        <v>44589</v>
      </c>
    </row>
    <row r="584" spans="1:5">
      <c r="A584" s="20">
        <v>44592</v>
      </c>
      <c r="B584" s="43">
        <v>82.89</v>
      </c>
      <c r="C584" s="43"/>
      <c r="D584" s="20">
        <v>44592</v>
      </c>
    </row>
    <row r="585" spans="1:5">
      <c r="A585" s="20">
        <v>44593</v>
      </c>
      <c r="B585" s="43">
        <v>82.91</v>
      </c>
      <c r="C585" s="43"/>
      <c r="D585" s="20">
        <v>44593</v>
      </c>
    </row>
    <row r="586" spans="1:5">
      <c r="A586" s="20">
        <v>44594</v>
      </c>
      <c r="B586" s="43">
        <v>82.98</v>
      </c>
      <c r="C586" s="43"/>
      <c r="D586" s="20">
        <v>44594</v>
      </c>
    </row>
    <row r="587" spans="1:5">
      <c r="A587" s="20">
        <v>44595</v>
      </c>
      <c r="B587" s="43">
        <v>79.099999999999994</v>
      </c>
      <c r="C587" s="43"/>
      <c r="D587" s="20">
        <v>44595</v>
      </c>
      <c r="E587" s="43">
        <v>3.1989999999999998</v>
      </c>
    </row>
    <row r="588" spans="1:5">
      <c r="A588" s="20">
        <v>44596</v>
      </c>
      <c r="B588" s="43">
        <v>87.93</v>
      </c>
      <c r="C588" s="43"/>
      <c r="D588" s="20">
        <v>44596</v>
      </c>
    </row>
    <row r="589" spans="1:5">
      <c r="A589" s="20">
        <v>44599</v>
      </c>
      <c r="B589" s="43">
        <v>89.67</v>
      </c>
      <c r="C589" s="43"/>
      <c r="D589" s="20">
        <v>44599</v>
      </c>
    </row>
    <row r="590" spans="1:5">
      <c r="A590" s="20">
        <v>44600</v>
      </c>
      <c r="B590" s="43">
        <v>91.36</v>
      </c>
      <c r="C590" s="43"/>
      <c r="D590" s="20">
        <v>44600</v>
      </c>
    </row>
    <row r="591" spans="1:5">
      <c r="A591" s="20">
        <v>44601</v>
      </c>
      <c r="B591" s="43">
        <v>90.67</v>
      </c>
      <c r="C591" s="43"/>
      <c r="D591" s="20">
        <v>44601</v>
      </c>
    </row>
    <row r="592" spans="1:5">
      <c r="A592" s="20">
        <v>44602</v>
      </c>
      <c r="B592" s="43">
        <v>89.24</v>
      </c>
      <c r="C592" s="43"/>
      <c r="D592" s="20">
        <v>44602</v>
      </c>
    </row>
    <row r="593" spans="1:5">
      <c r="A593" s="20">
        <v>44603</v>
      </c>
      <c r="B593" s="43">
        <v>89.51</v>
      </c>
      <c r="C593" s="43"/>
      <c r="D593" s="20">
        <v>44603</v>
      </c>
    </row>
    <row r="594" spans="1:5">
      <c r="A594" s="20">
        <v>44606</v>
      </c>
      <c r="B594" s="43">
        <v>89.61</v>
      </c>
      <c r="C594" s="43"/>
      <c r="D594" s="20">
        <v>44606</v>
      </c>
    </row>
    <row r="595" spans="1:5">
      <c r="A595" s="20">
        <v>44607</v>
      </c>
      <c r="B595" s="43">
        <v>91.4</v>
      </c>
      <c r="C595" s="43"/>
      <c r="D595" s="20">
        <v>44607</v>
      </c>
    </row>
    <row r="596" spans="1:5">
      <c r="A596" s="20">
        <v>44608</v>
      </c>
      <c r="B596" s="43">
        <v>92.59</v>
      </c>
      <c r="C596" s="43"/>
      <c r="D596" s="20">
        <v>44608</v>
      </c>
    </row>
    <row r="597" spans="1:5">
      <c r="A597" s="20">
        <v>44609</v>
      </c>
      <c r="B597" s="43">
        <v>91</v>
      </c>
      <c r="C597" s="43"/>
      <c r="D597" s="20">
        <v>44609</v>
      </c>
    </row>
    <row r="598" spans="1:5">
      <c r="A598" s="20">
        <v>44610</v>
      </c>
      <c r="B598" s="43">
        <v>91.68</v>
      </c>
      <c r="C598" s="43"/>
      <c r="D598" s="20">
        <v>44610</v>
      </c>
    </row>
    <row r="599" spans="1:5">
      <c r="A599" s="20">
        <v>44613</v>
      </c>
      <c r="B599" s="43">
        <v>91</v>
      </c>
      <c r="C599" s="43"/>
      <c r="D599" s="20">
        <v>44613</v>
      </c>
      <c r="E599" s="43">
        <v>3.4990000000000001</v>
      </c>
    </row>
    <row r="600" spans="1:5">
      <c r="A600" s="20">
        <v>44614</v>
      </c>
      <c r="B600" s="43">
        <v>90.96</v>
      </c>
      <c r="C600" s="43"/>
      <c r="D600" s="20">
        <v>44614</v>
      </c>
      <c r="E600" s="43">
        <v>3.96</v>
      </c>
    </row>
    <row r="601" spans="1:5">
      <c r="A601" s="20">
        <v>44615</v>
      </c>
      <c r="B601" s="43">
        <v>91.39</v>
      </c>
      <c r="C601" s="43"/>
      <c r="D601" s="20">
        <v>44615</v>
      </c>
    </row>
    <row r="602" spans="1:5">
      <c r="A602" s="20">
        <v>44616</v>
      </c>
      <c r="B602" s="43">
        <v>91.43</v>
      </c>
      <c r="C602" s="43"/>
      <c r="D602" s="20">
        <v>44616</v>
      </c>
    </row>
    <row r="603" spans="1:5">
      <c r="A603" s="20">
        <v>44617</v>
      </c>
      <c r="B603" s="43">
        <v>91.54</v>
      </c>
      <c r="C603" s="43"/>
      <c r="D603" s="20">
        <v>44617</v>
      </c>
    </row>
    <row r="604" spans="1:5">
      <c r="A604" s="20">
        <v>44620</v>
      </c>
      <c r="B604" s="43">
        <v>91.41</v>
      </c>
      <c r="C604" s="43"/>
      <c r="D604" s="20">
        <v>44620</v>
      </c>
      <c r="E604" s="43">
        <v>3.92</v>
      </c>
    </row>
    <row r="605" spans="1:5">
      <c r="A605" s="20">
        <v>44621</v>
      </c>
      <c r="B605" s="43">
        <v>91.63</v>
      </c>
      <c r="C605" s="43"/>
      <c r="D605" s="20">
        <v>44621</v>
      </c>
    </row>
    <row r="606" spans="1:5">
      <c r="A606" s="20">
        <v>44622</v>
      </c>
      <c r="B606" s="43">
        <v>94.57</v>
      </c>
      <c r="C606" s="43"/>
      <c r="D606" s="20">
        <v>44622</v>
      </c>
    </row>
    <row r="607" spans="1:5">
      <c r="A607" s="20">
        <v>44623</v>
      </c>
      <c r="B607" s="43">
        <v>109.21</v>
      </c>
      <c r="C607" s="43"/>
      <c r="D607" s="20">
        <v>44623</v>
      </c>
      <c r="E607" s="43">
        <v>3.9</v>
      </c>
    </row>
    <row r="608" spans="1:5">
      <c r="A608" s="20">
        <v>44624</v>
      </c>
      <c r="B608" s="43">
        <v>106.68</v>
      </c>
      <c r="C608" s="43"/>
      <c r="D608" s="20">
        <v>44624</v>
      </c>
    </row>
    <row r="609" spans="1:5">
      <c r="A609" s="20">
        <v>44627</v>
      </c>
      <c r="B609" s="43">
        <v>113.49</v>
      </c>
      <c r="C609" s="43"/>
      <c r="D609" s="20">
        <v>44627</v>
      </c>
    </row>
    <row r="610" spans="1:5">
      <c r="A610" s="20">
        <v>44628</v>
      </c>
      <c r="B610" s="43">
        <v>116.55</v>
      </c>
      <c r="C610" s="43"/>
      <c r="D610" s="20">
        <v>44628</v>
      </c>
      <c r="E610" s="43">
        <v>3.85</v>
      </c>
    </row>
    <row r="611" spans="1:5">
      <c r="A611" s="20">
        <v>44629</v>
      </c>
      <c r="B611" s="43">
        <v>119.78</v>
      </c>
      <c r="C611" s="43"/>
      <c r="D611" s="20">
        <v>44629</v>
      </c>
    </row>
    <row r="612" spans="1:5">
      <c r="A612" s="20">
        <v>44630</v>
      </c>
      <c r="B612" s="43">
        <v>108.82</v>
      </c>
      <c r="C612" s="43"/>
      <c r="D612" s="20">
        <v>44630</v>
      </c>
    </row>
    <row r="613" spans="1:5">
      <c r="A613" s="20">
        <v>44631</v>
      </c>
      <c r="B613" s="43">
        <v>107.14</v>
      </c>
      <c r="C613" s="43"/>
      <c r="D613" s="20">
        <v>44631</v>
      </c>
      <c r="E613" s="43">
        <v>3.82</v>
      </c>
    </row>
    <row r="614" spans="1:5">
      <c r="A614" s="20">
        <v>44634</v>
      </c>
      <c r="B614" s="43">
        <v>109.3</v>
      </c>
      <c r="C614" s="43"/>
      <c r="D614" s="20">
        <v>44634</v>
      </c>
    </row>
    <row r="615" spans="1:5">
      <c r="A615" s="20">
        <v>44635</v>
      </c>
      <c r="B615" s="43">
        <v>102.67</v>
      </c>
      <c r="C615" s="43"/>
      <c r="D615" s="20">
        <v>44635</v>
      </c>
      <c r="E615" s="43">
        <v>4.1900000000000004</v>
      </c>
    </row>
    <row r="616" spans="1:5">
      <c r="A616" s="20">
        <v>44636</v>
      </c>
      <c r="B616" s="43">
        <v>99.91</v>
      </c>
      <c r="C616" s="43"/>
      <c r="D616" s="20">
        <v>44636</v>
      </c>
      <c r="E616" s="43">
        <v>3.8</v>
      </c>
    </row>
    <row r="617" spans="1:5">
      <c r="A617" s="20">
        <v>44637</v>
      </c>
      <c r="B617" s="43">
        <v>98.02</v>
      </c>
      <c r="C617" s="43"/>
      <c r="D617" s="20">
        <v>44637</v>
      </c>
    </row>
    <row r="618" spans="1:5">
      <c r="A618" s="20">
        <v>44638</v>
      </c>
      <c r="B618" s="43">
        <v>105.32</v>
      </c>
      <c r="C618" s="43"/>
      <c r="D618" s="20">
        <v>44638</v>
      </c>
    </row>
    <row r="619" spans="1:5">
      <c r="A619" s="20">
        <v>44641</v>
      </c>
      <c r="B619" s="43">
        <v>105.99</v>
      </c>
      <c r="C619" s="43"/>
      <c r="D619" s="20">
        <v>44641</v>
      </c>
    </row>
    <row r="620" spans="1:5">
      <c r="A620" s="20">
        <v>44642</v>
      </c>
      <c r="B620" s="43">
        <v>108.73</v>
      </c>
      <c r="C620" s="43"/>
      <c r="D620" s="20">
        <v>44642</v>
      </c>
      <c r="E620" s="43">
        <v>3.82</v>
      </c>
    </row>
    <row r="621" spans="1:5">
      <c r="A621" s="20">
        <v>44643</v>
      </c>
      <c r="B621" s="43">
        <v>108.5</v>
      </c>
      <c r="C621" s="43"/>
      <c r="D621" s="20">
        <v>44643</v>
      </c>
    </row>
    <row r="622" spans="1:5">
      <c r="A622" s="20">
        <v>44644</v>
      </c>
      <c r="B622" s="43">
        <v>110.22</v>
      </c>
      <c r="C622" s="43"/>
      <c r="D622" s="20">
        <v>44644</v>
      </c>
    </row>
    <row r="623" spans="1:5">
      <c r="A623" s="20">
        <v>44645</v>
      </c>
      <c r="B623" s="43">
        <v>109.54</v>
      </c>
      <c r="C623" s="43"/>
      <c r="D623" s="20">
        <v>44645</v>
      </c>
      <c r="E623" s="43">
        <v>3.83</v>
      </c>
    </row>
    <row r="624" spans="1:5">
      <c r="A624" s="20">
        <v>44648</v>
      </c>
      <c r="B624" s="43">
        <v>109.88</v>
      </c>
      <c r="C624" s="43"/>
      <c r="D624" s="20">
        <v>44648</v>
      </c>
    </row>
    <row r="625" spans="1:5">
      <c r="A625" s="20">
        <v>44649</v>
      </c>
      <c r="B625" s="43">
        <v>108.5</v>
      </c>
      <c r="C625" s="43"/>
      <c r="D625" s="20">
        <v>44649</v>
      </c>
    </row>
    <row r="626" spans="1:5">
      <c r="A626" s="20">
        <v>44650</v>
      </c>
      <c r="B626" s="43">
        <v>108.28</v>
      </c>
      <c r="C626" s="43"/>
      <c r="D626" s="20">
        <v>44650</v>
      </c>
      <c r="E626" s="43">
        <v>3.82</v>
      </c>
    </row>
    <row r="627" spans="1:5">
      <c r="A627" s="20">
        <v>44651</v>
      </c>
      <c r="B627" s="43">
        <v>107.74</v>
      </c>
      <c r="C627" s="43"/>
      <c r="D627" s="20">
        <v>44651</v>
      </c>
    </row>
    <row r="628" spans="1:5">
      <c r="A628" s="20">
        <v>44652</v>
      </c>
      <c r="B628" s="43">
        <v>104.93</v>
      </c>
      <c r="C628" s="43"/>
      <c r="D628" s="20">
        <v>44652</v>
      </c>
    </row>
    <row r="629" spans="1:5">
      <c r="A629" s="20">
        <v>44655</v>
      </c>
      <c r="B629" s="43">
        <v>89.06</v>
      </c>
      <c r="C629" s="43"/>
      <c r="D629" s="20">
        <v>44655</v>
      </c>
      <c r="E629" s="43">
        <v>3.78</v>
      </c>
    </row>
    <row r="630" spans="1:5">
      <c r="A630" s="20">
        <v>44656</v>
      </c>
      <c r="B630" s="43">
        <v>102.58</v>
      </c>
      <c r="C630" s="43"/>
      <c r="D630" s="20">
        <v>44656</v>
      </c>
    </row>
    <row r="631" spans="1:5">
      <c r="A631" s="20">
        <v>44657</v>
      </c>
      <c r="B631" s="43">
        <v>101.44</v>
      </c>
      <c r="C631" s="43"/>
      <c r="D631" s="20">
        <v>44657</v>
      </c>
    </row>
    <row r="632" spans="1:5">
      <c r="A632" s="20">
        <v>44658</v>
      </c>
      <c r="B632" s="43">
        <v>96.73</v>
      </c>
      <c r="C632" s="43"/>
      <c r="D632" s="20">
        <v>44658</v>
      </c>
      <c r="E632" s="43">
        <v>3.92</v>
      </c>
    </row>
    <row r="633" spans="1:5">
      <c r="A633" s="20">
        <v>44659</v>
      </c>
      <c r="B633" s="43">
        <v>96.68</v>
      </c>
      <c r="C633" s="43"/>
      <c r="D633" s="20">
        <v>44659</v>
      </c>
    </row>
    <row r="634" spans="1:5">
      <c r="A634" s="20">
        <v>44662</v>
      </c>
      <c r="B634" s="43">
        <v>98.35</v>
      </c>
      <c r="C634" s="43"/>
      <c r="D634" s="20">
        <v>44662</v>
      </c>
    </row>
    <row r="635" spans="1:5">
      <c r="A635" s="20">
        <v>44663</v>
      </c>
      <c r="B635" s="43">
        <v>95.63</v>
      </c>
      <c r="C635" s="43"/>
      <c r="D635" s="20">
        <v>44663</v>
      </c>
      <c r="E635" s="43">
        <v>3.96</v>
      </c>
    </row>
    <row r="636" spans="1:5">
      <c r="A636" s="20">
        <v>44664</v>
      </c>
      <c r="B636" s="43">
        <v>99.7</v>
      </c>
      <c r="C636" s="43"/>
      <c r="D636" s="20">
        <v>44664</v>
      </c>
    </row>
    <row r="637" spans="1:5">
      <c r="A637" s="20">
        <v>44665</v>
      </c>
      <c r="B637" s="43">
        <v>101.89</v>
      </c>
      <c r="C637" s="43"/>
      <c r="D637" s="20">
        <v>44665</v>
      </c>
    </row>
    <row r="638" spans="1:5">
      <c r="A638" s="20">
        <v>44669</v>
      </c>
      <c r="B638" s="43">
        <v>103.33</v>
      </c>
      <c r="C638" s="43"/>
      <c r="D638" s="20">
        <v>44669</v>
      </c>
    </row>
    <row r="639" spans="1:5">
      <c r="A639" s="20">
        <v>44670</v>
      </c>
      <c r="B639" s="43">
        <v>103.95</v>
      </c>
      <c r="C639" s="43"/>
      <c r="D639" s="20">
        <v>44670</v>
      </c>
      <c r="E639" s="43">
        <v>4.05</v>
      </c>
    </row>
    <row r="640" spans="1:5">
      <c r="A640" s="20">
        <v>44671</v>
      </c>
      <c r="B640" s="43">
        <v>101.44</v>
      </c>
      <c r="C640" s="43"/>
      <c r="D640" s="20">
        <v>44671</v>
      </c>
    </row>
    <row r="641" spans="1:5">
      <c r="A641" s="20">
        <v>44672</v>
      </c>
      <c r="B641" s="43">
        <v>101.5</v>
      </c>
      <c r="C641" s="43"/>
      <c r="D641" s="20">
        <v>44672</v>
      </c>
    </row>
    <row r="642" spans="1:5">
      <c r="A642" s="20">
        <v>44673</v>
      </c>
      <c r="B642" s="43">
        <v>102.06</v>
      </c>
      <c r="C642" s="43"/>
      <c r="D642" s="20">
        <v>44673</v>
      </c>
      <c r="E642" s="43">
        <v>4.17</v>
      </c>
    </row>
    <row r="643" spans="1:5">
      <c r="A643" s="20">
        <v>44676</v>
      </c>
      <c r="B643" s="43">
        <v>101.54</v>
      </c>
      <c r="C643" s="43"/>
      <c r="D643" s="20">
        <v>44676</v>
      </c>
    </row>
    <row r="644" spans="1:5">
      <c r="A644" s="20">
        <v>44677</v>
      </c>
      <c r="B644" s="43">
        <v>100.66</v>
      </c>
      <c r="C644" s="43"/>
      <c r="D644" s="20">
        <v>44677</v>
      </c>
    </row>
    <row r="645" spans="1:5">
      <c r="A645" s="20">
        <v>44678</v>
      </c>
      <c r="B645" s="43">
        <v>101.29</v>
      </c>
      <c r="C645" s="43"/>
      <c r="D645" s="20">
        <v>44678</v>
      </c>
      <c r="E645" s="43">
        <v>4.2300000000000004</v>
      </c>
    </row>
    <row r="646" spans="1:5">
      <c r="A646" s="20">
        <v>44679</v>
      </c>
      <c r="B646" s="43">
        <v>101.34</v>
      </c>
      <c r="C646" s="43"/>
      <c r="D646" s="20">
        <v>44679</v>
      </c>
    </row>
    <row r="647" spans="1:5">
      <c r="A647" s="20">
        <v>44680</v>
      </c>
      <c r="B647" s="43">
        <v>101.67</v>
      </c>
      <c r="C647" s="43"/>
      <c r="D647" s="20">
        <v>44680</v>
      </c>
      <c r="E647" s="43">
        <v>3.99</v>
      </c>
    </row>
    <row r="648" spans="1:5">
      <c r="A648" s="20">
        <v>44683</v>
      </c>
      <c r="B648" s="43">
        <v>101.64</v>
      </c>
      <c r="C648" s="43"/>
      <c r="D648" s="20">
        <v>44683</v>
      </c>
      <c r="E648" s="43">
        <v>4.24</v>
      </c>
    </row>
    <row r="649" spans="1:5">
      <c r="A649" s="20">
        <v>44684</v>
      </c>
      <c r="B649" s="43">
        <v>104.67</v>
      </c>
      <c r="C649" s="43"/>
      <c r="D649" s="20">
        <v>44684</v>
      </c>
    </row>
    <row r="650" spans="1:5">
      <c r="A650" s="20">
        <v>44685</v>
      </c>
      <c r="B650" s="43">
        <v>102.11</v>
      </c>
      <c r="C650" s="43"/>
      <c r="D650" s="20">
        <v>44685</v>
      </c>
      <c r="E650" s="43">
        <v>4.25</v>
      </c>
    </row>
    <row r="651" spans="1:5">
      <c r="A651" s="20">
        <v>44686</v>
      </c>
      <c r="B651" s="43">
        <v>106.97</v>
      </c>
      <c r="C651" s="43"/>
      <c r="D651" s="20">
        <v>44686</v>
      </c>
    </row>
    <row r="652" spans="1:5">
      <c r="A652" s="20">
        <v>44687</v>
      </c>
      <c r="B652" s="43">
        <v>107.38</v>
      </c>
      <c r="C652" s="43"/>
      <c r="D652" s="20">
        <v>44687</v>
      </c>
    </row>
    <row r="653" spans="1:5">
      <c r="A653" s="20">
        <v>44690</v>
      </c>
      <c r="B653" s="43">
        <v>108.62</v>
      </c>
      <c r="C653" s="43"/>
      <c r="D653" s="20">
        <v>44690</v>
      </c>
    </row>
    <row r="654" spans="1:5">
      <c r="A654" s="20">
        <v>44691</v>
      </c>
      <c r="B654" s="43">
        <v>103.57</v>
      </c>
      <c r="C654" s="43"/>
      <c r="D654" s="20">
        <v>44691</v>
      </c>
      <c r="E654" s="43">
        <v>4.37</v>
      </c>
    </row>
    <row r="655" spans="1:5">
      <c r="A655" s="20">
        <v>44692</v>
      </c>
      <c r="B655" s="43">
        <v>101.19</v>
      </c>
      <c r="C655" s="43"/>
      <c r="D655" s="20">
        <v>44692</v>
      </c>
    </row>
    <row r="656" spans="1:5">
      <c r="A656" s="20">
        <v>44693</v>
      </c>
      <c r="B656" s="43">
        <v>105.05</v>
      </c>
      <c r="C656" s="43"/>
      <c r="D656" s="20">
        <v>44693</v>
      </c>
    </row>
    <row r="657" spans="1:5">
      <c r="A657" s="20">
        <v>44694</v>
      </c>
      <c r="B657" s="43">
        <v>105.3</v>
      </c>
      <c r="C657" s="43"/>
      <c r="D657" s="20">
        <v>44694</v>
      </c>
    </row>
    <row r="658" spans="1:5">
      <c r="A658" s="20">
        <v>44697</v>
      </c>
      <c r="B658" s="43">
        <v>107.75</v>
      </c>
      <c r="C658" s="43"/>
      <c r="D658" s="20">
        <v>44697</v>
      </c>
      <c r="E658" s="43">
        <v>4.37</v>
      </c>
    </row>
    <row r="659" spans="1:5">
      <c r="A659" s="20">
        <v>44698</v>
      </c>
      <c r="B659" s="43">
        <v>109.55</v>
      </c>
      <c r="C659" s="43"/>
      <c r="D659" s="20">
        <v>44698</v>
      </c>
    </row>
    <row r="660" spans="1:5">
      <c r="A660" s="20">
        <v>44699</v>
      </c>
      <c r="B660" s="43">
        <v>108.58</v>
      </c>
      <c r="C660" s="43"/>
      <c r="D660" s="20">
        <v>44699</v>
      </c>
    </row>
    <row r="661" spans="1:5">
      <c r="A661" s="20">
        <v>44700</v>
      </c>
      <c r="B661" s="43">
        <v>107.44</v>
      </c>
      <c r="C661" s="43"/>
      <c r="D661" s="20">
        <v>44700</v>
      </c>
      <c r="E661" s="43">
        <v>4.3499999999999996</v>
      </c>
    </row>
    <row r="662" spans="1:5">
      <c r="A662" s="20">
        <v>44701</v>
      </c>
      <c r="B662" s="43">
        <v>108.5</v>
      </c>
      <c r="C662" s="43"/>
      <c r="D662" s="20">
        <v>44701</v>
      </c>
    </row>
    <row r="663" spans="1:5">
      <c r="A663" s="20">
        <v>44704</v>
      </c>
      <c r="B663" s="43">
        <v>108.66</v>
      </c>
      <c r="C663" s="43"/>
      <c r="D663" s="20">
        <v>44704</v>
      </c>
      <c r="E663" s="43">
        <v>4.3600000000000003</v>
      </c>
    </row>
    <row r="664" spans="1:5">
      <c r="A664" s="20">
        <v>44705</v>
      </c>
      <c r="B664" s="43">
        <v>108.67</v>
      </c>
      <c r="C664" s="43"/>
      <c r="D664" s="20">
        <v>44705</v>
      </c>
      <c r="E664" s="43">
        <v>4.3899999999999997</v>
      </c>
    </row>
    <row r="665" spans="1:5">
      <c r="A665" s="20">
        <v>44706</v>
      </c>
      <c r="B665" s="43">
        <v>108.54</v>
      </c>
      <c r="C665" s="43"/>
      <c r="D665" s="20">
        <v>44706</v>
      </c>
      <c r="E665" s="43">
        <v>4.4400000000000004</v>
      </c>
    </row>
    <row r="666" spans="1:5">
      <c r="A666" s="20">
        <v>44707</v>
      </c>
      <c r="B666" s="43">
        <v>108.65</v>
      </c>
      <c r="C666" s="43"/>
      <c r="D666" s="20">
        <v>44707</v>
      </c>
      <c r="E666" s="43">
        <v>4.51</v>
      </c>
    </row>
    <row r="667" spans="1:5">
      <c r="A667" s="20">
        <v>44708</v>
      </c>
      <c r="B667" s="43">
        <v>109.19</v>
      </c>
      <c r="C667" s="43"/>
      <c r="D667" s="20">
        <v>44708</v>
      </c>
      <c r="E667" s="43">
        <v>4.5199999999999996</v>
      </c>
    </row>
    <row r="668" spans="1:5">
      <c r="A668" s="20">
        <v>44711</v>
      </c>
      <c r="B668" s="43">
        <v>100.97</v>
      </c>
      <c r="C668" s="43"/>
      <c r="D668" s="20">
        <v>44711</v>
      </c>
      <c r="E668" s="43">
        <v>4.5199999999999996</v>
      </c>
    </row>
    <row r="669" spans="1:5">
      <c r="A669" s="20">
        <v>44712</v>
      </c>
      <c r="B669" s="43">
        <v>100.57</v>
      </c>
      <c r="C669" s="43"/>
      <c r="D669" s="20">
        <v>44712</v>
      </c>
      <c r="E669" s="43">
        <v>4.57</v>
      </c>
    </row>
    <row r="670" spans="1:5">
      <c r="A670" s="20">
        <v>44713</v>
      </c>
      <c r="B670" s="43">
        <v>101.16</v>
      </c>
      <c r="C670" s="43"/>
      <c r="D670" s="20">
        <v>44713</v>
      </c>
      <c r="E670" s="43">
        <v>4.6500000000000004</v>
      </c>
    </row>
    <row r="671" spans="1:5">
      <c r="A671" s="20">
        <v>44714</v>
      </c>
      <c r="B671" s="43">
        <v>102.77</v>
      </c>
      <c r="C671" s="43"/>
      <c r="D671" s="20">
        <v>44714</v>
      </c>
      <c r="E671" s="43">
        <v>4.68</v>
      </c>
    </row>
    <row r="672" spans="1:5">
      <c r="A672" s="20">
        <v>44715</v>
      </c>
      <c r="B672" s="43">
        <v>104.77</v>
      </c>
      <c r="C672" s="43"/>
      <c r="D672" s="20">
        <v>44715</v>
      </c>
      <c r="E672" s="43">
        <v>4.68</v>
      </c>
    </row>
    <row r="673" spans="1:5">
      <c r="A673" s="20">
        <v>44718</v>
      </c>
      <c r="B673" s="43">
        <v>104.4</v>
      </c>
      <c r="C673" s="43"/>
      <c r="D673" s="20">
        <v>44718</v>
      </c>
      <c r="E673" s="43">
        <v>4.6900000000000004</v>
      </c>
    </row>
    <row r="674" spans="1:5">
      <c r="A674" s="20">
        <v>44719</v>
      </c>
      <c r="B674" s="43">
        <v>105.31</v>
      </c>
      <c r="C674" s="43"/>
      <c r="D674" s="20">
        <v>44719</v>
      </c>
      <c r="E674" s="43">
        <v>4.68</v>
      </c>
    </row>
    <row r="675" spans="1:5">
      <c r="A675" s="20">
        <v>44720</v>
      </c>
      <c r="B675" s="43">
        <v>108.01</v>
      </c>
      <c r="C675" s="43"/>
      <c r="D675" s="20">
        <v>44720</v>
      </c>
      <c r="E675" s="43">
        <v>4.67</v>
      </c>
    </row>
    <row r="676" spans="1:5">
      <c r="A676" s="20">
        <v>44721</v>
      </c>
      <c r="B676" s="43">
        <v>107.41</v>
      </c>
      <c r="C676" s="43"/>
      <c r="D676" s="20">
        <v>44721</v>
      </c>
      <c r="E676" s="43">
        <v>4.6500000000000004</v>
      </c>
    </row>
    <row r="677" spans="1:5">
      <c r="A677" s="20">
        <v>44722</v>
      </c>
      <c r="B677" s="43">
        <v>106.57</v>
      </c>
      <c r="C677" s="43"/>
      <c r="D677" s="20">
        <v>44722</v>
      </c>
      <c r="E677" s="43">
        <v>4.67</v>
      </c>
    </row>
    <row r="678" spans="1:5">
      <c r="A678" s="20">
        <v>44725</v>
      </c>
      <c r="B678" s="43">
        <v>106.83</v>
      </c>
      <c r="C678" s="43"/>
      <c r="D678" s="20">
        <v>44725</v>
      </c>
      <c r="E678" s="43">
        <v>4.67</v>
      </c>
    </row>
    <row r="679" spans="1:5">
      <c r="A679" s="20">
        <v>44726</v>
      </c>
      <c r="B679" s="43">
        <v>104.83</v>
      </c>
      <c r="C679" s="43"/>
      <c r="D679" s="20">
        <v>44726</v>
      </c>
      <c r="E679" s="43">
        <v>4.66</v>
      </c>
    </row>
    <row r="680" spans="1:5">
      <c r="A680" s="20">
        <v>44727</v>
      </c>
      <c r="B680" s="43">
        <v>101.21</v>
      </c>
      <c r="C680" s="43"/>
      <c r="D680" s="20">
        <v>44727</v>
      </c>
      <c r="E680" s="43">
        <v>4.6399999999999997</v>
      </c>
    </row>
    <row r="681" spans="1:5">
      <c r="A681" s="20">
        <v>44728</v>
      </c>
      <c r="B681" s="43">
        <v>97.66</v>
      </c>
      <c r="C681" s="43"/>
      <c r="D681" s="20">
        <v>44728</v>
      </c>
      <c r="E681" s="43">
        <v>4.63</v>
      </c>
    </row>
    <row r="682" spans="1:5">
      <c r="A682" s="20">
        <v>44729</v>
      </c>
      <c r="B682" s="43">
        <v>96</v>
      </c>
      <c r="C682" s="43"/>
      <c r="D682" s="20">
        <v>44729</v>
      </c>
      <c r="E682" s="43">
        <v>4.63</v>
      </c>
    </row>
    <row r="683" spans="1:5">
      <c r="A683" s="20">
        <v>44733</v>
      </c>
      <c r="B683" s="43">
        <v>95.42</v>
      </c>
      <c r="C683" s="43"/>
      <c r="D683" s="20">
        <v>44733</v>
      </c>
      <c r="E683" s="43">
        <v>4.59</v>
      </c>
    </row>
    <row r="684" spans="1:5">
      <c r="A684" s="20">
        <v>44734</v>
      </c>
      <c r="B684" s="43">
        <v>92.09</v>
      </c>
      <c r="C684" s="43"/>
      <c r="D684" s="20">
        <v>44734</v>
      </c>
      <c r="E684" s="43">
        <v>4.5599999999999996</v>
      </c>
    </row>
    <row r="685" spans="1:5">
      <c r="A685" s="20">
        <v>44735</v>
      </c>
      <c r="B685" s="43">
        <v>90.17</v>
      </c>
      <c r="C685" s="43"/>
      <c r="D685" s="20">
        <v>44735</v>
      </c>
      <c r="E685" s="43">
        <v>4.54</v>
      </c>
    </row>
    <row r="686" spans="1:5">
      <c r="A686" s="20">
        <v>44736</v>
      </c>
      <c r="B686" s="43">
        <v>93.52</v>
      </c>
      <c r="C686" s="43"/>
      <c r="D686" s="20">
        <v>44736</v>
      </c>
      <c r="E686" s="43">
        <v>4.54</v>
      </c>
    </row>
    <row r="687" spans="1:5">
      <c r="A687" s="20">
        <v>44739</v>
      </c>
      <c r="B687" s="43">
        <v>97.66</v>
      </c>
      <c r="C687" s="43"/>
      <c r="D687" s="20">
        <v>44739</v>
      </c>
      <c r="E687" s="43">
        <v>4.5199999999999996</v>
      </c>
    </row>
  </sheetData>
  <pageMargins left="0.7" right="0.7" top="0.75" bottom="0.75" header="0.3" footer="0.3"/>
  <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4B8919-1F76-4CD2-A232-B7B7761BC050}">
  <sheetPr codeName="Sheet3"/>
  <dimension ref="A3:B687"/>
  <sheetViews>
    <sheetView zoomScaleNormal="100" workbookViewId="0">
      <selection activeCell="C36" sqref="C36"/>
    </sheetView>
  </sheetViews>
  <sheetFormatPr defaultRowHeight="15.75"/>
  <cols>
    <col min="1" max="1" width="12.125" bestFit="1" customWidth="1"/>
    <col min="2" max="2" width="14.125" bestFit="1" customWidth="1"/>
    <col min="3" max="3" width="15.125" bestFit="1" customWidth="1"/>
    <col min="4" max="4" width="16.625" bestFit="1" customWidth="1"/>
    <col min="5" max="5" width="23.75" bestFit="1" customWidth="1"/>
  </cols>
  <sheetData>
    <row r="3" spans="1:2">
      <c r="A3" s="1" t="s">
        <v>0</v>
      </c>
      <c r="B3" t="s">
        <v>3</v>
      </c>
    </row>
    <row r="4" spans="1:2">
      <c r="A4" s="20">
        <v>43769</v>
      </c>
      <c r="B4" s="43">
        <v>1.5871</v>
      </c>
    </row>
    <row r="5" spans="1:2">
      <c r="A5" s="20">
        <v>43770</v>
      </c>
      <c r="B5" s="43">
        <v>1.6233</v>
      </c>
    </row>
    <row r="6" spans="1:2">
      <c r="A6" s="20">
        <v>43773</v>
      </c>
      <c r="B6" s="43">
        <v>1.6388</v>
      </c>
    </row>
    <row r="7" spans="1:2">
      <c r="A7" s="20">
        <v>43774</v>
      </c>
      <c r="B7" s="43">
        <v>1.5702</v>
      </c>
    </row>
    <row r="8" spans="1:2">
      <c r="A8" s="20">
        <v>43775</v>
      </c>
      <c r="B8" s="43">
        <v>1.5704</v>
      </c>
    </row>
    <row r="9" spans="1:2">
      <c r="A9" s="20">
        <v>43776</v>
      </c>
      <c r="B9" s="43">
        <v>1.5842000000000001</v>
      </c>
    </row>
    <row r="10" spans="1:2">
      <c r="A10" s="20">
        <v>43777</v>
      </c>
      <c r="B10" s="43">
        <v>1.5819000000000001</v>
      </c>
    </row>
    <row r="11" spans="1:2">
      <c r="A11" s="20">
        <v>43780</v>
      </c>
      <c r="B11" s="43">
        <v>1.5778000000000001</v>
      </c>
    </row>
    <row r="12" spans="1:2">
      <c r="A12" s="20">
        <v>43781</v>
      </c>
      <c r="B12" s="43">
        <v>1.5637000000000001</v>
      </c>
    </row>
    <row r="13" spans="1:2">
      <c r="A13" s="20">
        <v>43782</v>
      </c>
      <c r="B13" s="43">
        <v>1.569</v>
      </c>
    </row>
    <row r="14" spans="1:2">
      <c r="A14" s="20">
        <v>43783</v>
      </c>
      <c r="B14" s="43">
        <v>1.6133</v>
      </c>
    </row>
    <row r="15" spans="1:2">
      <c r="A15" s="20">
        <v>43784</v>
      </c>
      <c r="B15" s="43">
        <v>1.6258999999999999</v>
      </c>
    </row>
    <row r="16" spans="1:2">
      <c r="A16" s="20">
        <v>43787</v>
      </c>
      <c r="B16" s="43">
        <v>1.6355999999999999</v>
      </c>
    </row>
    <row r="17" spans="1:2">
      <c r="A17" s="20">
        <v>43788</v>
      </c>
      <c r="B17" s="43">
        <v>1.6344000000000001</v>
      </c>
    </row>
    <row r="18" spans="1:2">
      <c r="A18" s="20">
        <v>43789</v>
      </c>
      <c r="B18" s="43">
        <v>1.6415999999999999</v>
      </c>
    </row>
    <row r="19" spans="1:2">
      <c r="A19" s="20">
        <v>43790</v>
      </c>
      <c r="B19" s="43">
        <v>1.6645000000000001</v>
      </c>
    </row>
    <row r="20" spans="1:2">
      <c r="A20" s="20">
        <v>43791</v>
      </c>
      <c r="B20" s="43">
        <v>1.5946</v>
      </c>
    </row>
    <row r="21" spans="1:2">
      <c r="A21" s="20">
        <v>43794</v>
      </c>
      <c r="B21" s="43">
        <v>1.6556999999999999</v>
      </c>
    </row>
    <row r="22" spans="1:2">
      <c r="A22" s="20">
        <v>43795</v>
      </c>
      <c r="B22" s="43">
        <v>1.6637</v>
      </c>
    </row>
    <row r="23" spans="1:2">
      <c r="A23" s="20">
        <v>43796</v>
      </c>
      <c r="B23" s="43">
        <v>1.6746000000000001</v>
      </c>
    </row>
    <row r="24" spans="1:2">
      <c r="A24" s="20">
        <v>43797</v>
      </c>
      <c r="B24" s="43">
        <v>1.6262000000000001</v>
      </c>
    </row>
    <row r="25" spans="1:2">
      <c r="A25" s="20">
        <v>43798</v>
      </c>
      <c r="B25" s="43">
        <v>1.6355</v>
      </c>
    </row>
    <row r="26" spans="1:2">
      <c r="A26" s="20">
        <v>43801</v>
      </c>
      <c r="B26" s="43">
        <v>1.6336999999999999</v>
      </c>
    </row>
    <row r="27" spans="1:2">
      <c r="A27" s="20">
        <v>43802</v>
      </c>
      <c r="B27" s="43">
        <v>1.6099000000000001</v>
      </c>
    </row>
    <row r="28" spans="1:2">
      <c r="A28" s="20">
        <v>43803</v>
      </c>
      <c r="B28" s="43">
        <v>1.6144000000000001</v>
      </c>
    </row>
    <row r="29" spans="1:2">
      <c r="A29" s="20">
        <v>43804</v>
      </c>
      <c r="B29" s="43">
        <v>1.6309</v>
      </c>
    </row>
    <row r="30" spans="1:2">
      <c r="A30" s="20">
        <v>43805</v>
      </c>
      <c r="B30" s="43">
        <v>1.6115999999999999</v>
      </c>
    </row>
    <row r="31" spans="1:2">
      <c r="A31" s="20">
        <v>43808</v>
      </c>
      <c r="B31" s="43">
        <v>1.6308</v>
      </c>
    </row>
    <row r="32" spans="1:2">
      <c r="A32" s="20">
        <v>43809</v>
      </c>
      <c r="B32" s="43">
        <v>1.6160000000000001</v>
      </c>
    </row>
    <row r="33" spans="1:2">
      <c r="A33" s="20">
        <v>43810</v>
      </c>
      <c r="B33" s="43">
        <v>1.6036999999999999</v>
      </c>
    </row>
    <row r="34" spans="1:2">
      <c r="A34" s="20">
        <v>43811</v>
      </c>
      <c r="B34" s="43">
        <v>1.6563000000000001</v>
      </c>
    </row>
    <row r="35" spans="1:2">
      <c r="A35" s="20">
        <v>43812</v>
      </c>
      <c r="B35" s="43">
        <v>1.6982999999999999</v>
      </c>
    </row>
    <row r="36" spans="1:2">
      <c r="A36" s="20">
        <v>43815</v>
      </c>
      <c r="B36" s="43">
        <v>1.6742999999999999</v>
      </c>
    </row>
    <row r="37" spans="1:2">
      <c r="A37" s="20">
        <v>43816</v>
      </c>
      <c r="B37" s="43">
        <v>1.6715</v>
      </c>
    </row>
    <row r="38" spans="1:2">
      <c r="A38" s="20">
        <v>43817</v>
      </c>
      <c r="B38" s="43">
        <v>1.6976</v>
      </c>
    </row>
    <row r="39" spans="1:2">
      <c r="A39" s="20">
        <v>43818</v>
      </c>
      <c r="B39" s="43">
        <v>1.6792</v>
      </c>
    </row>
    <row r="40" spans="1:2">
      <c r="A40" s="20">
        <v>43819</v>
      </c>
      <c r="B40" s="43">
        <v>1.591</v>
      </c>
    </row>
    <row r="41" spans="1:2">
      <c r="A41" s="20">
        <v>43822</v>
      </c>
      <c r="B41" s="43">
        <v>1.5732999999999999</v>
      </c>
    </row>
    <row r="42" spans="1:2">
      <c r="A42" s="20">
        <v>43823</v>
      </c>
      <c r="B42" s="43">
        <v>1.5629</v>
      </c>
    </row>
    <row r="43" spans="1:2">
      <c r="A43" s="20">
        <v>43825</v>
      </c>
      <c r="B43" s="43">
        <v>1.6042000000000001</v>
      </c>
    </row>
    <row r="44" spans="1:2">
      <c r="A44" s="20">
        <v>43826</v>
      </c>
      <c r="B44" s="43">
        <v>1.6211</v>
      </c>
    </row>
    <row r="45" spans="1:2">
      <c r="A45" s="20">
        <v>43829</v>
      </c>
      <c r="B45" s="43">
        <v>1.6474</v>
      </c>
    </row>
    <row r="46" spans="1:2">
      <c r="A46" s="20">
        <v>43830</v>
      </c>
      <c r="B46" s="43">
        <v>1.6548</v>
      </c>
    </row>
    <row r="47" spans="1:2">
      <c r="A47" s="20">
        <v>43832</v>
      </c>
      <c r="B47" s="43">
        <v>1.6525000000000001</v>
      </c>
    </row>
    <row r="48" spans="1:2">
      <c r="A48" s="20">
        <v>43833</v>
      </c>
      <c r="B48" s="43">
        <v>1.6261000000000001</v>
      </c>
    </row>
    <row r="49" spans="1:2">
      <c r="A49" s="20">
        <v>43836</v>
      </c>
      <c r="B49" s="43">
        <v>1.6283000000000001</v>
      </c>
    </row>
    <row r="50" spans="1:2">
      <c r="A50" s="20">
        <v>43837</v>
      </c>
      <c r="B50" s="43">
        <v>1.6632</v>
      </c>
    </row>
    <row r="51" spans="1:2">
      <c r="A51" s="20">
        <v>43838</v>
      </c>
      <c r="B51" s="43">
        <v>1.6677999999999999</v>
      </c>
    </row>
    <row r="52" spans="1:2">
      <c r="A52" s="20">
        <v>43839</v>
      </c>
      <c r="B52" s="43">
        <v>1.6899</v>
      </c>
    </row>
    <row r="53" spans="1:2">
      <c r="A53" s="20">
        <v>43840</v>
      </c>
      <c r="B53" s="43">
        <v>1.6904999999999999</v>
      </c>
    </row>
    <row r="54" spans="1:2">
      <c r="A54" s="20">
        <v>43843</v>
      </c>
      <c r="B54" s="43">
        <v>1.7097</v>
      </c>
    </row>
    <row r="55" spans="1:2">
      <c r="A55" s="20">
        <v>43844</v>
      </c>
      <c r="B55" s="43">
        <v>1.7072000000000001</v>
      </c>
    </row>
    <row r="56" spans="1:2">
      <c r="A56" s="20">
        <v>43845</v>
      </c>
      <c r="B56" s="43">
        <v>1.7064999999999999</v>
      </c>
    </row>
    <row r="57" spans="1:2">
      <c r="A57" s="20">
        <v>43846</v>
      </c>
      <c r="B57" s="43">
        <v>1.7274</v>
      </c>
    </row>
    <row r="58" spans="1:2">
      <c r="A58" s="20">
        <v>43847</v>
      </c>
      <c r="B58" s="43">
        <v>1.7539</v>
      </c>
    </row>
    <row r="59" spans="1:2">
      <c r="A59" s="20">
        <v>43850</v>
      </c>
      <c r="B59" s="43">
        <v>1.7446999999999999</v>
      </c>
    </row>
    <row r="60" spans="1:2">
      <c r="A60" s="20">
        <v>43851</v>
      </c>
      <c r="B60" s="43">
        <v>1.724</v>
      </c>
    </row>
    <row r="61" spans="1:2">
      <c r="A61" s="20">
        <v>43852</v>
      </c>
      <c r="B61" s="43">
        <v>1.6904999999999999</v>
      </c>
    </row>
    <row r="62" spans="1:2">
      <c r="A62" s="20">
        <v>43853</v>
      </c>
      <c r="B62" s="43">
        <v>1.7041999999999999</v>
      </c>
    </row>
    <row r="63" spans="1:2">
      <c r="A63" s="20">
        <v>43854</v>
      </c>
      <c r="B63" s="43">
        <v>1.7487999999999999</v>
      </c>
    </row>
    <row r="64" spans="1:2">
      <c r="A64" s="20">
        <v>43857</v>
      </c>
      <c r="B64" s="43">
        <v>1.7544</v>
      </c>
    </row>
    <row r="65" spans="1:2">
      <c r="A65" s="20">
        <v>43858</v>
      </c>
      <c r="B65" s="43">
        <v>1.7222</v>
      </c>
    </row>
    <row r="66" spans="1:2">
      <c r="A66" s="20">
        <v>43859</v>
      </c>
      <c r="B66" s="43">
        <v>1.6488</v>
      </c>
    </row>
    <row r="67" spans="1:2">
      <c r="A67" s="20">
        <v>43860</v>
      </c>
      <c r="B67" s="43">
        <v>1.6527000000000001</v>
      </c>
    </row>
    <row r="68" spans="1:2">
      <c r="A68" s="20">
        <v>43861</v>
      </c>
      <c r="B68" s="43">
        <v>1.6596</v>
      </c>
    </row>
    <row r="69" spans="1:2">
      <c r="A69" s="20">
        <v>43864</v>
      </c>
      <c r="B69" s="43">
        <v>1.6573</v>
      </c>
    </row>
    <row r="70" spans="1:2">
      <c r="A70" s="20">
        <v>43865</v>
      </c>
      <c r="B70" s="43">
        <v>1.6641999999999999</v>
      </c>
    </row>
    <row r="71" spans="1:2">
      <c r="A71" s="20">
        <v>43866</v>
      </c>
      <c r="B71" s="43">
        <v>1.6492</v>
      </c>
    </row>
    <row r="72" spans="1:2">
      <c r="A72" s="20">
        <v>43867</v>
      </c>
      <c r="B72" s="43">
        <v>1.667</v>
      </c>
    </row>
    <row r="73" spans="1:2">
      <c r="A73" s="20">
        <v>43868</v>
      </c>
      <c r="B73" s="43">
        <v>1.6549</v>
      </c>
    </row>
    <row r="74" spans="1:2">
      <c r="A74" s="20">
        <v>43871</v>
      </c>
      <c r="B74" s="43">
        <v>1.6365000000000001</v>
      </c>
    </row>
    <row r="75" spans="1:2">
      <c r="A75" s="20">
        <v>43872</v>
      </c>
      <c r="B75" s="43">
        <v>1.5933999999999999</v>
      </c>
    </row>
    <row r="76" spans="1:2">
      <c r="A76" s="20">
        <v>43873</v>
      </c>
      <c r="B76" s="43">
        <v>1.573</v>
      </c>
    </row>
    <row r="77" spans="1:2">
      <c r="A77" s="20">
        <v>43874</v>
      </c>
      <c r="B77" s="43">
        <v>1.5259</v>
      </c>
    </row>
    <row r="78" spans="1:2">
      <c r="A78" s="20">
        <v>43875</v>
      </c>
      <c r="B78" s="43">
        <v>1.4930000000000001</v>
      </c>
    </row>
    <row r="79" spans="1:2">
      <c r="A79" s="20">
        <v>43878</v>
      </c>
      <c r="B79" s="43">
        <v>1.5143</v>
      </c>
    </row>
    <row r="80" spans="1:2">
      <c r="A80" s="20">
        <v>43879</v>
      </c>
      <c r="B80" s="43">
        <v>1.5407999999999999</v>
      </c>
    </row>
    <row r="81" spans="1:2">
      <c r="A81" s="20">
        <v>43880</v>
      </c>
      <c r="B81" s="43">
        <v>1.5055000000000001</v>
      </c>
    </row>
    <row r="82" spans="1:2">
      <c r="A82" s="20">
        <v>43881</v>
      </c>
      <c r="B82" s="43">
        <v>1.5041</v>
      </c>
    </row>
    <row r="83" spans="1:2">
      <c r="A83" s="20">
        <v>43882</v>
      </c>
      <c r="B83" s="43">
        <v>1.4737</v>
      </c>
    </row>
    <row r="84" spans="1:2">
      <c r="A84" s="20">
        <v>43885</v>
      </c>
      <c r="B84" s="43">
        <v>1.4432</v>
      </c>
    </row>
    <row r="85" spans="1:2">
      <c r="A85" s="20">
        <v>43886</v>
      </c>
      <c r="B85" s="43">
        <v>1.4863</v>
      </c>
    </row>
    <row r="86" spans="1:2">
      <c r="A86" s="20">
        <v>43887</v>
      </c>
      <c r="B86" s="43">
        <v>1.498</v>
      </c>
    </row>
    <row r="87" spans="1:2">
      <c r="A87" s="20">
        <v>43888</v>
      </c>
      <c r="B87" s="43">
        <v>1.5239</v>
      </c>
    </row>
    <row r="88" spans="1:2">
      <c r="A88" s="20">
        <v>43889</v>
      </c>
      <c r="B88" s="43">
        <v>1.5213000000000001</v>
      </c>
    </row>
    <row r="89" spans="1:2">
      <c r="A89" s="20">
        <v>43892</v>
      </c>
      <c r="B89" s="43">
        <v>1.5142</v>
      </c>
    </row>
    <row r="90" spans="1:2">
      <c r="A90" s="20">
        <v>43893</v>
      </c>
      <c r="B90" s="43">
        <v>1.581</v>
      </c>
    </row>
    <row r="91" spans="1:2">
      <c r="A91" s="20">
        <v>43894</v>
      </c>
      <c r="B91" s="43">
        <v>1.7226999999999999</v>
      </c>
    </row>
    <row r="92" spans="1:2">
      <c r="A92" s="20">
        <v>43895</v>
      </c>
      <c r="B92" s="43">
        <v>1.5832999999999999</v>
      </c>
    </row>
    <row r="93" spans="1:2">
      <c r="A93" s="20">
        <v>43896</v>
      </c>
      <c r="B93" s="43">
        <v>1.6148</v>
      </c>
    </row>
    <row r="94" spans="1:2">
      <c r="A94" s="20">
        <v>43899</v>
      </c>
      <c r="B94" s="43">
        <v>1.7819</v>
      </c>
    </row>
    <row r="95" spans="1:2">
      <c r="A95" s="20">
        <v>43900</v>
      </c>
      <c r="B95" s="43">
        <v>1.7845</v>
      </c>
    </row>
    <row r="96" spans="1:2">
      <c r="A96" s="20">
        <v>43901</v>
      </c>
      <c r="B96" s="43">
        <v>1.7612000000000001</v>
      </c>
    </row>
    <row r="97" spans="1:2">
      <c r="A97" s="20">
        <v>43902</v>
      </c>
      <c r="B97" s="43">
        <v>1.7132000000000001</v>
      </c>
    </row>
    <row r="98" spans="1:2">
      <c r="A98" s="20">
        <v>43903</v>
      </c>
      <c r="B98" s="43">
        <v>1.6418999999999999</v>
      </c>
    </row>
    <row r="99" spans="1:2">
      <c r="A99" s="20">
        <v>43906</v>
      </c>
      <c r="B99" s="43">
        <v>1.5645</v>
      </c>
    </row>
    <row r="100" spans="1:2">
      <c r="A100" s="20">
        <v>43907</v>
      </c>
      <c r="B100" s="43">
        <v>1.5206</v>
      </c>
    </row>
    <row r="101" spans="1:2">
      <c r="A101" s="20">
        <v>43908</v>
      </c>
      <c r="B101" s="43">
        <v>1.4827999999999999</v>
      </c>
    </row>
    <row r="102" spans="1:2">
      <c r="A102" s="20">
        <v>43909</v>
      </c>
      <c r="B102" s="43">
        <v>1.5396000000000001</v>
      </c>
    </row>
    <row r="103" spans="1:2">
      <c r="A103" s="20">
        <v>43910</v>
      </c>
      <c r="B103" s="43">
        <v>1.5313000000000001</v>
      </c>
    </row>
    <row r="104" spans="1:2">
      <c r="A104" s="20">
        <v>43913</v>
      </c>
      <c r="B104" s="43">
        <v>1.5555000000000001</v>
      </c>
    </row>
    <row r="105" spans="1:2">
      <c r="A105" s="20">
        <v>43914</v>
      </c>
      <c r="B105" s="43">
        <v>1.5218</v>
      </c>
    </row>
    <row r="106" spans="1:2">
      <c r="A106" s="20">
        <v>43915</v>
      </c>
      <c r="B106" s="43">
        <v>1.389</v>
      </c>
    </row>
    <row r="107" spans="1:2">
      <c r="A107" s="20">
        <v>43916</v>
      </c>
      <c r="B107" s="43">
        <v>1.1369</v>
      </c>
    </row>
    <row r="108" spans="1:2">
      <c r="A108" s="20">
        <v>43917</v>
      </c>
      <c r="B108" s="43">
        <v>1.1571</v>
      </c>
    </row>
    <row r="109" spans="1:2">
      <c r="A109" s="20">
        <v>43920</v>
      </c>
      <c r="B109" s="43">
        <v>1.1103000000000001</v>
      </c>
    </row>
    <row r="110" spans="1:2">
      <c r="A110" s="20">
        <v>43921</v>
      </c>
      <c r="B110" s="43">
        <v>0.91900000000000004</v>
      </c>
    </row>
    <row r="111" spans="1:2">
      <c r="A111" s="20">
        <v>43922</v>
      </c>
      <c r="B111" s="43">
        <v>0.91349999999999998</v>
      </c>
    </row>
    <row r="112" spans="1:2">
      <c r="A112" s="20">
        <v>43923</v>
      </c>
      <c r="B112" s="43">
        <v>0.70169999999999999</v>
      </c>
    </row>
    <row r="113" spans="1:2">
      <c r="A113" s="20">
        <v>43924</v>
      </c>
      <c r="B113" s="43">
        <v>0.71140000000000003</v>
      </c>
    </row>
    <row r="114" spans="1:2">
      <c r="A114" s="20">
        <v>43927</v>
      </c>
      <c r="B114" s="43">
        <v>0.64590000000000003</v>
      </c>
    </row>
    <row r="115" spans="1:2">
      <c r="A115" s="20">
        <v>43928</v>
      </c>
      <c r="B115" s="43">
        <v>0.69320000000000004</v>
      </c>
    </row>
    <row r="116" spans="1:2">
      <c r="A116" s="20">
        <v>43929</v>
      </c>
      <c r="B116" s="43">
        <v>0.60540000000000005</v>
      </c>
    </row>
    <row r="117" spans="1:2">
      <c r="A117" s="20">
        <v>43930</v>
      </c>
      <c r="B117" s="43">
        <v>0.49469999999999997</v>
      </c>
    </row>
    <row r="118" spans="1:2">
      <c r="A118" s="20">
        <v>43934</v>
      </c>
      <c r="B118" s="43">
        <v>0.51049999999999995</v>
      </c>
    </row>
    <row r="119" spans="1:2">
      <c r="A119" s="20">
        <v>43935</v>
      </c>
      <c r="B119" s="43">
        <v>0.60540000000000005</v>
      </c>
    </row>
    <row r="120" spans="1:2">
      <c r="A120" s="20">
        <v>43936</v>
      </c>
      <c r="B120" s="43">
        <v>0.59799999999999998</v>
      </c>
    </row>
    <row r="121" spans="1:2">
      <c r="A121" s="20">
        <v>43937</v>
      </c>
      <c r="B121" s="43">
        <v>0.61360000000000003</v>
      </c>
    </row>
    <row r="122" spans="1:2">
      <c r="A122" s="20">
        <v>43938</v>
      </c>
      <c r="B122" s="43">
        <v>0.61680000000000001</v>
      </c>
    </row>
    <row r="123" spans="1:2">
      <c r="A123" s="20">
        <v>43941</v>
      </c>
      <c r="B123" s="43">
        <v>0.5927</v>
      </c>
    </row>
    <row r="124" spans="1:2">
      <c r="A124" s="20">
        <v>43942</v>
      </c>
      <c r="B124" s="43">
        <v>0.54649999999999999</v>
      </c>
    </row>
    <row r="125" spans="1:2">
      <c r="A125" s="20">
        <v>43943</v>
      </c>
      <c r="B125" s="43">
        <v>0.66279999999999994</v>
      </c>
    </row>
    <row r="126" spans="1:2">
      <c r="A126" s="20">
        <v>43944</v>
      </c>
      <c r="B126" s="43">
        <v>0.69159999999999999</v>
      </c>
    </row>
    <row r="127" spans="1:2">
      <c r="A127" s="20">
        <v>43945</v>
      </c>
      <c r="B127" s="43">
        <v>0.7016</v>
      </c>
    </row>
    <row r="128" spans="1:2">
      <c r="A128" s="20">
        <v>43948</v>
      </c>
      <c r="B128" s="43">
        <v>0.6482</v>
      </c>
    </row>
    <row r="129" spans="1:2">
      <c r="A129" s="20">
        <v>43949</v>
      </c>
      <c r="B129" s="43">
        <v>0.67800000000000005</v>
      </c>
    </row>
    <row r="130" spans="1:2">
      <c r="A130" s="20">
        <v>43950</v>
      </c>
      <c r="B130" s="43">
        <v>0.67730000000000001</v>
      </c>
    </row>
    <row r="131" spans="1:2">
      <c r="A131" s="20">
        <v>43951</v>
      </c>
      <c r="B131" s="43">
        <v>0.70330000000000004</v>
      </c>
    </row>
    <row r="132" spans="1:2">
      <c r="A132" s="20">
        <v>43952</v>
      </c>
      <c r="B132" s="43">
        <v>0.72</v>
      </c>
    </row>
    <row r="133" spans="1:2">
      <c r="A133" s="20">
        <v>43955</v>
      </c>
      <c r="B133" s="43">
        <v>0.72040000000000004</v>
      </c>
    </row>
    <row r="134" spans="1:2">
      <c r="A134" s="20">
        <v>43956</v>
      </c>
      <c r="B134" s="43">
        <v>0.75690000000000002</v>
      </c>
    </row>
    <row r="135" spans="1:2">
      <c r="A135" s="20">
        <v>43957</v>
      </c>
      <c r="B135" s="43">
        <v>0.76459999999999995</v>
      </c>
    </row>
    <row r="136" spans="1:2">
      <c r="A136" s="20">
        <v>43958</v>
      </c>
      <c r="B136" s="43">
        <v>0.72550000000000003</v>
      </c>
    </row>
    <row r="137" spans="1:2">
      <c r="A137" s="20">
        <v>43959</v>
      </c>
      <c r="B137" s="43">
        <v>0.62529999999999997</v>
      </c>
    </row>
    <row r="138" spans="1:2">
      <c r="A138" s="20">
        <v>43962</v>
      </c>
      <c r="B138" s="43">
        <v>0.6875</v>
      </c>
    </row>
    <row r="139" spans="1:2">
      <c r="A139" s="20">
        <v>43963</v>
      </c>
      <c r="B139" s="43">
        <v>0.68210000000000004</v>
      </c>
    </row>
    <row r="140" spans="1:2">
      <c r="A140" s="20">
        <v>43964</v>
      </c>
      <c r="B140" s="43">
        <v>0.70009999999999994</v>
      </c>
    </row>
    <row r="141" spans="1:2">
      <c r="A141" s="20">
        <v>43965</v>
      </c>
      <c r="B141" s="43">
        <v>0.68489999999999995</v>
      </c>
    </row>
    <row r="142" spans="1:2">
      <c r="A142" s="20">
        <v>43966</v>
      </c>
      <c r="B142" s="43">
        <v>0.70399999999999996</v>
      </c>
    </row>
    <row r="143" spans="1:2">
      <c r="A143" s="20">
        <v>43969</v>
      </c>
      <c r="B143" s="43">
        <v>0.72719999999999996</v>
      </c>
    </row>
    <row r="144" spans="1:2">
      <c r="A144" s="20">
        <v>43970</v>
      </c>
      <c r="B144" s="43">
        <v>0.78369999999999995</v>
      </c>
    </row>
    <row r="145" spans="1:2">
      <c r="A145" s="20">
        <v>43971</v>
      </c>
      <c r="B145" s="43">
        <v>0.76629999999999998</v>
      </c>
    </row>
    <row r="146" spans="1:2">
      <c r="A146" s="20">
        <v>43972</v>
      </c>
      <c r="B146" s="43">
        <v>0.82150000000000001</v>
      </c>
    </row>
    <row r="147" spans="1:2">
      <c r="A147" s="20">
        <v>43973</v>
      </c>
      <c r="B147" s="43">
        <v>0.90129999999999999</v>
      </c>
    </row>
    <row r="148" spans="1:2">
      <c r="A148" s="20">
        <v>43977</v>
      </c>
      <c r="B148" s="43">
        <v>0.87690000000000001</v>
      </c>
    </row>
    <row r="149" spans="1:2">
      <c r="A149" s="20">
        <v>43978</v>
      </c>
      <c r="B149" s="43">
        <v>0.93140000000000001</v>
      </c>
    </row>
    <row r="150" spans="1:2">
      <c r="A150" s="20">
        <v>43979</v>
      </c>
      <c r="B150" s="43">
        <v>0.95220000000000005</v>
      </c>
    </row>
    <row r="151" spans="1:2">
      <c r="A151" s="20">
        <v>43980</v>
      </c>
      <c r="B151" s="43">
        <v>0.92420000000000002</v>
      </c>
    </row>
    <row r="152" spans="1:2">
      <c r="A152" s="20">
        <v>43983</v>
      </c>
      <c r="B152" s="43">
        <v>0.93630000000000002</v>
      </c>
    </row>
    <row r="153" spans="1:2">
      <c r="A153" s="20">
        <v>43984</v>
      </c>
      <c r="B153" s="43">
        <v>0.88180000000000003</v>
      </c>
    </row>
    <row r="154" spans="1:2">
      <c r="A154" s="20">
        <v>43985</v>
      </c>
      <c r="B154" s="43">
        <v>0.93689999999999996</v>
      </c>
    </row>
    <row r="155" spans="1:2">
      <c r="A155" s="20">
        <v>43986</v>
      </c>
      <c r="B155" s="43">
        <v>0.98380000000000001</v>
      </c>
    </row>
    <row r="156" spans="1:2">
      <c r="A156" s="20">
        <v>43987</v>
      </c>
      <c r="B156" s="43">
        <v>1.0426</v>
      </c>
    </row>
    <row r="157" spans="1:2">
      <c r="A157" s="20">
        <v>43990</v>
      </c>
      <c r="B157" s="43">
        <v>1.0549999999999999</v>
      </c>
    </row>
    <row r="158" spans="1:2">
      <c r="A158" s="20">
        <v>43991</v>
      </c>
      <c r="B158" s="43">
        <v>1.0438000000000001</v>
      </c>
    </row>
    <row r="159" spans="1:2">
      <c r="A159" s="20">
        <v>43992</v>
      </c>
      <c r="B159" s="43">
        <v>1.0618000000000001</v>
      </c>
    </row>
    <row r="160" spans="1:2">
      <c r="A160" s="20">
        <v>43993</v>
      </c>
      <c r="B160" s="43">
        <v>1.0518000000000001</v>
      </c>
    </row>
    <row r="161" spans="1:2">
      <c r="A161" s="20">
        <v>43994</v>
      </c>
      <c r="B161" s="43">
        <v>1.0648</v>
      </c>
    </row>
    <row r="162" spans="1:2">
      <c r="A162" s="20">
        <v>43997</v>
      </c>
      <c r="B162" s="43">
        <v>1.0177</v>
      </c>
    </row>
    <row r="163" spans="1:2">
      <c r="A163" s="20">
        <v>43998</v>
      </c>
      <c r="B163" s="43">
        <v>1.026</v>
      </c>
    </row>
    <row r="164" spans="1:2">
      <c r="A164" s="20">
        <v>43999</v>
      </c>
      <c r="B164" s="43">
        <v>1.0785</v>
      </c>
    </row>
    <row r="165" spans="1:2">
      <c r="A165" s="20">
        <v>44000</v>
      </c>
      <c r="B165" s="43">
        <v>1.0667</v>
      </c>
    </row>
    <row r="166" spans="1:2">
      <c r="A166" s="20">
        <v>44001</v>
      </c>
      <c r="B166" s="43">
        <v>1.1183000000000001</v>
      </c>
    </row>
    <row r="167" spans="1:2">
      <c r="A167" s="20">
        <v>44004</v>
      </c>
      <c r="B167" s="43">
        <v>1.1193</v>
      </c>
    </row>
    <row r="168" spans="1:2">
      <c r="A168" s="20">
        <v>44005</v>
      </c>
      <c r="B168" s="43">
        <v>1.149</v>
      </c>
    </row>
    <row r="169" spans="1:2">
      <c r="A169" s="20">
        <v>44006</v>
      </c>
      <c r="B169" s="43">
        <v>1.2136</v>
      </c>
    </row>
    <row r="170" spans="1:2">
      <c r="A170" s="20">
        <v>44007</v>
      </c>
      <c r="B170" s="43">
        <v>1.1950000000000001</v>
      </c>
    </row>
    <row r="171" spans="1:2">
      <c r="A171" s="20">
        <v>44008</v>
      </c>
      <c r="B171" s="43">
        <v>1.2102999999999999</v>
      </c>
    </row>
    <row r="172" spans="1:2">
      <c r="A172" s="20">
        <v>44011</v>
      </c>
      <c r="B172" s="43">
        <v>1.2099</v>
      </c>
    </row>
    <row r="173" spans="1:2">
      <c r="A173" s="20">
        <v>44012</v>
      </c>
      <c r="B173" s="43">
        <v>1.1188</v>
      </c>
    </row>
    <row r="174" spans="1:2">
      <c r="A174" s="20">
        <v>44013</v>
      </c>
      <c r="B174" s="43">
        <v>1.1367</v>
      </c>
    </row>
    <row r="175" spans="1:2">
      <c r="A175" s="20">
        <v>44014</v>
      </c>
      <c r="B175" s="43">
        <v>1.1732</v>
      </c>
    </row>
    <row r="176" spans="1:2">
      <c r="A176" s="20">
        <v>44015</v>
      </c>
      <c r="B176" s="43">
        <v>1.2149000000000001</v>
      </c>
    </row>
    <row r="177" spans="1:2">
      <c r="A177" s="20">
        <v>44018</v>
      </c>
      <c r="B177" s="43">
        <v>1.2219</v>
      </c>
    </row>
    <row r="178" spans="1:2">
      <c r="A178" s="20">
        <v>44019</v>
      </c>
      <c r="B178" s="43">
        <v>1.2575000000000001</v>
      </c>
    </row>
    <row r="179" spans="1:2">
      <c r="A179" s="20">
        <v>44020</v>
      </c>
      <c r="B179" s="43">
        <v>1.2709999999999999</v>
      </c>
    </row>
    <row r="180" spans="1:2">
      <c r="A180" s="20">
        <v>44021</v>
      </c>
      <c r="B180" s="43">
        <v>1.2904</v>
      </c>
    </row>
    <row r="181" spans="1:2">
      <c r="A181" s="20">
        <v>44022</v>
      </c>
      <c r="B181" s="43">
        <v>1.2983</v>
      </c>
    </row>
    <row r="182" spans="1:2">
      <c r="A182" s="20">
        <v>44025</v>
      </c>
      <c r="B182" s="43">
        <v>1.1992</v>
      </c>
    </row>
    <row r="183" spans="1:2">
      <c r="A183" s="20">
        <v>44026</v>
      </c>
      <c r="B183" s="43">
        <v>1.1972</v>
      </c>
    </row>
    <row r="184" spans="1:2">
      <c r="A184" s="20">
        <v>44027</v>
      </c>
      <c r="B184" s="43">
        <v>1.1569</v>
      </c>
    </row>
    <row r="185" spans="1:2">
      <c r="A185" s="20">
        <v>44028</v>
      </c>
      <c r="B185" s="43">
        <v>1.1878</v>
      </c>
    </row>
    <row r="186" spans="1:2">
      <c r="A186" s="20">
        <v>44029</v>
      </c>
      <c r="B186" s="43">
        <v>1.2015</v>
      </c>
    </row>
    <row r="187" spans="1:2">
      <c r="A187" s="20">
        <v>44032</v>
      </c>
      <c r="B187" s="43">
        <v>1.2169000000000001</v>
      </c>
    </row>
    <row r="188" spans="1:2">
      <c r="A188" s="20">
        <v>44033</v>
      </c>
      <c r="B188" s="43">
        <v>1.2592000000000001</v>
      </c>
    </row>
    <row r="189" spans="1:2">
      <c r="A189" s="20">
        <v>44034</v>
      </c>
      <c r="B189" s="43">
        <v>1.2407999999999999</v>
      </c>
    </row>
    <row r="190" spans="1:2">
      <c r="A190" s="20">
        <v>44035</v>
      </c>
      <c r="B190" s="43">
        <v>1.2749999999999999</v>
      </c>
    </row>
    <row r="191" spans="1:2">
      <c r="A191" s="20">
        <v>44036</v>
      </c>
      <c r="B191" s="43">
        <v>1.2908999999999999</v>
      </c>
    </row>
    <row r="192" spans="1:2">
      <c r="A192" s="20">
        <v>44039</v>
      </c>
      <c r="B192" s="43">
        <v>1.2504999999999999</v>
      </c>
    </row>
    <row r="193" spans="1:2">
      <c r="A193" s="20">
        <v>44040</v>
      </c>
      <c r="B193" s="43">
        <v>1.2830999999999999</v>
      </c>
    </row>
    <row r="194" spans="1:2">
      <c r="A194" s="20">
        <v>44041</v>
      </c>
      <c r="B194" s="43">
        <v>1.2471000000000001</v>
      </c>
    </row>
    <row r="195" spans="1:2">
      <c r="A195" s="20">
        <v>44042</v>
      </c>
      <c r="B195" s="43">
        <v>1.2262</v>
      </c>
    </row>
    <row r="196" spans="1:2">
      <c r="A196" s="20">
        <v>44043</v>
      </c>
      <c r="B196" s="43">
        <v>1.2427999999999999</v>
      </c>
    </row>
    <row r="197" spans="1:2">
      <c r="A197" s="20">
        <v>44046</v>
      </c>
      <c r="B197" s="43">
        <v>1.2157</v>
      </c>
    </row>
    <row r="198" spans="1:2">
      <c r="A198" s="20">
        <v>44047</v>
      </c>
      <c r="B198" s="43">
        <v>1.2061999999999999</v>
      </c>
    </row>
    <row r="199" spans="1:2">
      <c r="A199" s="20">
        <v>44048</v>
      </c>
      <c r="B199" s="43">
        <v>1.2131000000000001</v>
      </c>
    </row>
    <row r="200" spans="1:2">
      <c r="A200" s="20">
        <v>44049</v>
      </c>
      <c r="B200" s="43">
        <v>1.2604</v>
      </c>
    </row>
    <row r="201" spans="1:2">
      <c r="A201" s="20">
        <v>44050</v>
      </c>
      <c r="B201" s="43">
        <v>1.2603</v>
      </c>
    </row>
    <row r="202" spans="1:2">
      <c r="A202" s="20">
        <v>44053</v>
      </c>
      <c r="B202" s="43">
        <v>1.2363</v>
      </c>
    </row>
    <row r="203" spans="1:2">
      <c r="A203" s="20">
        <v>44054</v>
      </c>
      <c r="B203" s="43">
        <v>1.256</v>
      </c>
    </row>
    <row r="204" spans="1:2">
      <c r="A204" s="20">
        <v>44055</v>
      </c>
      <c r="B204" s="43">
        <v>1.2446999999999999</v>
      </c>
    </row>
    <row r="205" spans="1:2">
      <c r="A205" s="20">
        <v>44056</v>
      </c>
      <c r="B205" s="43">
        <v>1.2352000000000001</v>
      </c>
    </row>
    <row r="206" spans="1:2">
      <c r="A206" s="20">
        <v>44057</v>
      </c>
      <c r="B206" s="43">
        <v>1.2132000000000001</v>
      </c>
    </row>
    <row r="207" spans="1:2">
      <c r="A207" s="20">
        <v>44060</v>
      </c>
      <c r="B207" s="43">
        <v>1.1908000000000001</v>
      </c>
    </row>
    <row r="208" spans="1:2">
      <c r="A208" s="20">
        <v>44061</v>
      </c>
      <c r="B208" s="43">
        <v>1.1711</v>
      </c>
    </row>
    <row r="209" spans="1:2">
      <c r="A209" s="20">
        <v>44062</v>
      </c>
      <c r="B209" s="43">
        <v>1.2131000000000001</v>
      </c>
    </row>
    <row r="210" spans="1:2">
      <c r="A210" s="20">
        <v>44063</v>
      </c>
      <c r="B210" s="43">
        <v>1.2142999999999999</v>
      </c>
    </row>
    <row r="211" spans="1:2">
      <c r="A211" s="20">
        <v>44064</v>
      </c>
      <c r="B211" s="43">
        <v>1.2228000000000001</v>
      </c>
    </row>
    <row r="212" spans="1:2">
      <c r="A212" s="20">
        <v>44067</v>
      </c>
      <c r="B212" s="43">
        <v>1.2281</v>
      </c>
    </row>
    <row r="213" spans="1:2">
      <c r="A213" s="20">
        <v>44068</v>
      </c>
      <c r="B213" s="43">
        <v>1.2076</v>
      </c>
    </row>
    <row r="214" spans="1:2">
      <c r="A214" s="20">
        <v>44069</v>
      </c>
      <c r="B214" s="43">
        <v>1.2293000000000001</v>
      </c>
    </row>
    <row r="215" spans="1:2">
      <c r="A215" s="20">
        <v>44070</v>
      </c>
      <c r="B215" s="43">
        <v>1.2044999999999999</v>
      </c>
    </row>
    <row r="216" spans="1:2">
      <c r="A216" s="20">
        <v>44071</v>
      </c>
      <c r="B216" s="43">
        <v>1.1858</v>
      </c>
    </row>
    <row r="217" spans="1:2">
      <c r="A217" s="20">
        <v>44074</v>
      </c>
      <c r="B217" s="43">
        <v>1.1789000000000001</v>
      </c>
    </row>
    <row r="218" spans="1:2">
      <c r="A218" s="20">
        <v>44075</v>
      </c>
      <c r="B218" s="43">
        <v>1.1879999999999999</v>
      </c>
    </row>
    <row r="219" spans="1:2">
      <c r="A219" s="20">
        <v>44076</v>
      </c>
      <c r="B219" s="43">
        <v>1.2134</v>
      </c>
    </row>
    <row r="220" spans="1:2">
      <c r="A220" s="20">
        <v>44077</v>
      </c>
      <c r="B220" s="43">
        <v>1.2249000000000001</v>
      </c>
    </row>
    <row r="221" spans="1:2">
      <c r="A221" s="20">
        <v>44078</v>
      </c>
      <c r="B221" s="43">
        <v>1.2284999999999999</v>
      </c>
    </row>
    <row r="222" spans="1:2">
      <c r="A222" s="20">
        <v>44081</v>
      </c>
      <c r="B222" s="43">
        <v>1.2263999999999999</v>
      </c>
    </row>
    <row r="223" spans="1:2">
      <c r="A223" s="20">
        <v>44082</v>
      </c>
      <c r="B223" s="43">
        <v>1.2130000000000001</v>
      </c>
    </row>
    <row r="224" spans="1:2">
      <c r="A224" s="20">
        <v>44083</v>
      </c>
      <c r="B224" s="43">
        <v>1.2598</v>
      </c>
    </row>
    <row r="225" spans="1:2">
      <c r="A225" s="20">
        <v>44084</v>
      </c>
      <c r="B225" s="43">
        <v>1.2685</v>
      </c>
    </row>
    <row r="226" spans="1:2">
      <c r="A226" s="20">
        <v>44085</v>
      </c>
      <c r="B226" s="43">
        <v>1.2634000000000001</v>
      </c>
    </row>
    <row r="227" spans="1:2">
      <c r="A227" s="20">
        <v>44088</v>
      </c>
      <c r="B227" s="43">
        <v>1.2181999999999999</v>
      </c>
    </row>
    <row r="228" spans="1:2">
      <c r="A228" s="20">
        <v>44089</v>
      </c>
      <c r="B228" s="43">
        <v>1.2464999999999999</v>
      </c>
    </row>
    <row r="229" spans="1:2">
      <c r="A229" s="20">
        <v>44090</v>
      </c>
      <c r="B229" s="43">
        <v>1.2137</v>
      </c>
    </row>
    <row r="230" spans="1:2">
      <c r="A230" s="20">
        <v>44091</v>
      </c>
      <c r="B230" s="43">
        <v>1.2246999999999999</v>
      </c>
    </row>
    <row r="231" spans="1:2">
      <c r="A231" s="20">
        <v>44092</v>
      </c>
      <c r="B231" s="43">
        <v>1.202</v>
      </c>
    </row>
    <row r="232" spans="1:2">
      <c r="A232" s="20">
        <v>44095</v>
      </c>
      <c r="B232" s="43">
        <v>1.2049000000000001</v>
      </c>
    </row>
    <row r="233" spans="1:2">
      <c r="A233" s="20">
        <v>44096</v>
      </c>
      <c r="B233" s="43">
        <v>1.1772</v>
      </c>
    </row>
    <row r="234" spans="1:2">
      <c r="A234" s="20">
        <v>44097</v>
      </c>
      <c r="B234" s="43">
        <v>1.1028</v>
      </c>
    </row>
    <row r="235" spans="1:2">
      <c r="A235" s="20">
        <v>44098</v>
      </c>
      <c r="B235" s="43">
        <v>1.1193</v>
      </c>
    </row>
    <row r="236" spans="1:2">
      <c r="A236" s="20">
        <v>44099</v>
      </c>
      <c r="B236" s="43">
        <v>1.0976999999999999</v>
      </c>
    </row>
    <row r="237" spans="1:2">
      <c r="A237" s="20">
        <v>44102</v>
      </c>
      <c r="B237" s="43">
        <v>1.0949</v>
      </c>
    </row>
    <row r="238" spans="1:2">
      <c r="A238" s="20">
        <v>44103</v>
      </c>
      <c r="B238" s="43">
        <v>1.0922000000000001</v>
      </c>
    </row>
    <row r="239" spans="1:2">
      <c r="A239" s="20">
        <v>44104</v>
      </c>
      <c r="B239" s="43">
        <v>1.1198999999999999</v>
      </c>
    </row>
    <row r="240" spans="1:2">
      <c r="A240" s="20">
        <v>44105</v>
      </c>
      <c r="B240" s="43">
        <v>1.1694</v>
      </c>
    </row>
    <row r="241" spans="1:2">
      <c r="A241" s="20">
        <v>44106</v>
      </c>
      <c r="B241" s="43">
        <v>1.2017</v>
      </c>
    </row>
    <row r="242" spans="1:2">
      <c r="A242" s="20">
        <v>44109</v>
      </c>
      <c r="B242" s="43">
        <v>1.2097</v>
      </c>
    </row>
    <row r="243" spans="1:2">
      <c r="A243" s="20">
        <v>44110</v>
      </c>
      <c r="B243" s="43">
        <v>1.1544000000000001</v>
      </c>
    </row>
    <row r="244" spans="1:2">
      <c r="A244" s="20">
        <v>44111</v>
      </c>
      <c r="B244" s="43">
        <v>1.1437999999999999</v>
      </c>
    </row>
    <row r="245" spans="1:2">
      <c r="A245" s="20">
        <v>44112</v>
      </c>
      <c r="B245" s="43">
        <v>1.1577999999999999</v>
      </c>
    </row>
    <row r="246" spans="1:2">
      <c r="A246" s="20">
        <v>44113</v>
      </c>
      <c r="B246" s="43">
        <v>1.1732</v>
      </c>
    </row>
    <row r="247" spans="1:2">
      <c r="A247" s="20">
        <v>44116</v>
      </c>
      <c r="B247" s="43">
        <v>1.1898</v>
      </c>
    </row>
    <row r="248" spans="1:2">
      <c r="A248" s="20">
        <v>44117</v>
      </c>
      <c r="B248" s="43">
        <v>1.2132000000000001</v>
      </c>
    </row>
    <row r="249" spans="1:2">
      <c r="A249" s="20">
        <v>44118</v>
      </c>
      <c r="B249" s="43">
        <v>1.1711</v>
      </c>
    </row>
    <row r="250" spans="1:2">
      <c r="A250" s="20">
        <v>44119</v>
      </c>
      <c r="B250" s="43">
        <v>1.1816</v>
      </c>
    </row>
    <row r="251" spans="1:2">
      <c r="A251" s="20">
        <v>44120</v>
      </c>
      <c r="B251" s="43">
        <v>1.1524000000000001</v>
      </c>
    </row>
    <row r="252" spans="1:2">
      <c r="A252" s="20">
        <v>44123</v>
      </c>
      <c r="B252" s="43">
        <v>1.1234999999999999</v>
      </c>
    </row>
    <row r="253" spans="1:2">
      <c r="A253" s="20">
        <v>44124</v>
      </c>
      <c r="B253" s="43">
        <v>1.1940999999999999</v>
      </c>
    </row>
    <row r="254" spans="1:2">
      <c r="A254" s="20">
        <v>44125</v>
      </c>
      <c r="B254" s="43">
        <v>1.2351000000000001</v>
      </c>
    </row>
    <row r="255" spans="1:2">
      <c r="A255" s="20">
        <v>44126</v>
      </c>
      <c r="B255" s="43">
        <v>1.2009000000000001</v>
      </c>
    </row>
    <row r="256" spans="1:2">
      <c r="A256" s="20">
        <v>44127</v>
      </c>
      <c r="B256" s="43">
        <v>1.2316</v>
      </c>
    </row>
    <row r="257" spans="1:2">
      <c r="A257" s="20">
        <v>44130</v>
      </c>
      <c r="B257" s="43">
        <v>1.2032</v>
      </c>
    </row>
    <row r="258" spans="1:2">
      <c r="A258" s="20">
        <v>44131</v>
      </c>
      <c r="B258" s="43">
        <v>1.1757</v>
      </c>
    </row>
    <row r="259" spans="1:2">
      <c r="A259" s="20">
        <v>44132</v>
      </c>
      <c r="B259" s="43">
        <v>1.1633</v>
      </c>
    </row>
    <row r="260" spans="1:2">
      <c r="A260" s="20">
        <v>44133</v>
      </c>
      <c r="B260" s="43">
        <v>1.1795</v>
      </c>
    </row>
    <row r="261" spans="1:2">
      <c r="A261" s="20">
        <v>44134</v>
      </c>
      <c r="B261" s="43">
        <v>1.1637</v>
      </c>
    </row>
    <row r="262" spans="1:2">
      <c r="A262" s="20">
        <v>44137</v>
      </c>
      <c r="B262" s="43">
        <v>1.1535</v>
      </c>
    </row>
    <row r="263" spans="1:2">
      <c r="A263" s="20">
        <v>44138</v>
      </c>
      <c r="B263" s="43">
        <v>1.1485000000000001</v>
      </c>
    </row>
    <row r="264" spans="1:2">
      <c r="A264" s="20">
        <v>44139</v>
      </c>
      <c r="B264" s="43">
        <v>1.1725000000000001</v>
      </c>
    </row>
    <row r="265" spans="1:2">
      <c r="A265" s="20">
        <v>44140</v>
      </c>
      <c r="B265" s="43">
        <v>1.1271</v>
      </c>
    </row>
    <row r="266" spans="1:2">
      <c r="A266" s="20">
        <v>44141</v>
      </c>
      <c r="B266" s="43">
        <v>1.1452</v>
      </c>
    </row>
    <row r="267" spans="1:2">
      <c r="A267" s="20">
        <v>44144</v>
      </c>
      <c r="B267" s="43">
        <v>1.127</v>
      </c>
    </row>
    <row r="268" spans="1:2">
      <c r="A268" s="20">
        <v>44145</v>
      </c>
      <c r="B268" s="43">
        <v>1.0969</v>
      </c>
    </row>
    <row r="269" spans="1:2">
      <c r="A269" s="20">
        <v>44146</v>
      </c>
      <c r="B269" s="43">
        <v>1.1288</v>
      </c>
    </row>
    <row r="270" spans="1:2">
      <c r="A270" s="20">
        <v>44147</v>
      </c>
      <c r="B270" s="43">
        <v>1.0636000000000001</v>
      </c>
    </row>
    <row r="271" spans="1:2">
      <c r="A271" s="20">
        <v>44148</v>
      </c>
      <c r="B271" s="43">
        <v>1.028</v>
      </c>
    </row>
    <row r="272" spans="1:2">
      <c r="A272" s="20">
        <v>44151</v>
      </c>
      <c r="B272" s="43">
        <v>1.0322</v>
      </c>
    </row>
    <row r="273" spans="1:2">
      <c r="A273" s="20">
        <v>44152</v>
      </c>
      <c r="B273" s="43">
        <v>1.052</v>
      </c>
    </row>
    <row r="274" spans="1:2">
      <c r="A274" s="20">
        <v>44153</v>
      </c>
      <c r="B274" s="43">
        <v>1.0769</v>
      </c>
    </row>
    <row r="275" spans="1:2">
      <c r="A275" s="20">
        <v>44154</v>
      </c>
      <c r="B275" s="43">
        <v>1.1081000000000001</v>
      </c>
    </row>
    <row r="276" spans="1:2">
      <c r="A276" s="20">
        <v>44155</v>
      </c>
      <c r="B276" s="43">
        <v>1.1158999999999999</v>
      </c>
    </row>
    <row r="277" spans="1:2">
      <c r="A277" s="20">
        <v>44158</v>
      </c>
      <c r="B277" s="43">
        <v>1.0844</v>
      </c>
    </row>
    <row r="278" spans="1:2">
      <c r="A278" s="20">
        <v>44159</v>
      </c>
      <c r="B278" s="43">
        <v>1.1607000000000001</v>
      </c>
    </row>
    <row r="279" spans="1:2">
      <c r="A279" s="20">
        <v>44160</v>
      </c>
      <c r="B279" s="43">
        <v>1.1940999999999999</v>
      </c>
    </row>
    <row r="280" spans="1:2">
      <c r="A280" s="20">
        <v>44161</v>
      </c>
      <c r="B280" s="43">
        <v>1.1758999999999999</v>
      </c>
    </row>
    <row r="281" spans="1:2">
      <c r="A281" s="20">
        <v>44162</v>
      </c>
      <c r="B281" s="43">
        <v>1.1557999999999999</v>
      </c>
    </row>
    <row r="282" spans="1:2">
      <c r="A282" s="20">
        <v>44165</v>
      </c>
      <c r="B282" s="43">
        <v>1.125</v>
      </c>
    </row>
    <row r="283" spans="1:2">
      <c r="A283" s="20">
        <v>44166</v>
      </c>
      <c r="B283" s="43">
        <v>1.147</v>
      </c>
    </row>
    <row r="284" spans="1:2">
      <c r="A284" s="20">
        <v>44167</v>
      </c>
      <c r="B284" s="43">
        <v>1.1528</v>
      </c>
    </row>
    <row r="285" spans="1:2">
      <c r="A285" s="20">
        <v>44168</v>
      </c>
      <c r="B285" s="43">
        <v>1.1626000000000001</v>
      </c>
    </row>
    <row r="286" spans="1:2">
      <c r="A286" s="20">
        <v>44169</v>
      </c>
      <c r="B286" s="43">
        <v>1.1596</v>
      </c>
    </row>
    <row r="287" spans="1:2">
      <c r="A287" s="20">
        <v>44172</v>
      </c>
      <c r="B287" s="43">
        <v>1.1702999999999999</v>
      </c>
    </row>
    <row r="288" spans="1:2">
      <c r="A288" s="20">
        <v>44173</v>
      </c>
      <c r="B288" s="43">
        <v>1.1971000000000001</v>
      </c>
    </row>
    <row r="289" spans="1:2">
      <c r="A289" s="20">
        <v>44174</v>
      </c>
      <c r="B289" s="43">
        <v>1.2509999999999999</v>
      </c>
    </row>
    <row r="290" spans="1:2">
      <c r="A290" s="20">
        <v>44175</v>
      </c>
      <c r="B290" s="43">
        <v>1.2709999999999999</v>
      </c>
    </row>
    <row r="291" spans="1:2">
      <c r="A291" s="20">
        <v>44176</v>
      </c>
      <c r="B291" s="43">
        <v>1.266</v>
      </c>
    </row>
    <row r="292" spans="1:2">
      <c r="A292" s="20">
        <v>44179</v>
      </c>
      <c r="B292" s="43">
        <v>1.2416</v>
      </c>
    </row>
    <row r="293" spans="1:2">
      <c r="A293" s="20">
        <v>44180</v>
      </c>
      <c r="B293" s="43">
        <v>1.2203999999999999</v>
      </c>
    </row>
    <row r="294" spans="1:2">
      <c r="A294" s="20">
        <v>44181</v>
      </c>
      <c r="B294" s="43">
        <v>1.2399</v>
      </c>
    </row>
    <row r="295" spans="1:2">
      <c r="A295" s="20">
        <v>44182</v>
      </c>
      <c r="B295" s="43">
        <v>1.2617</v>
      </c>
    </row>
    <row r="296" spans="1:2">
      <c r="A296" s="20">
        <v>44183</v>
      </c>
      <c r="B296" s="43">
        <v>1.2685</v>
      </c>
    </row>
    <row r="297" spans="1:2">
      <c r="A297" s="20">
        <v>44186</v>
      </c>
      <c r="B297" s="43">
        <v>1.2558</v>
      </c>
    </row>
    <row r="298" spans="1:2">
      <c r="A298" s="20">
        <v>44187</v>
      </c>
      <c r="B298" s="43">
        <v>1.2559</v>
      </c>
    </row>
    <row r="299" spans="1:2">
      <c r="A299" s="20">
        <v>44188</v>
      </c>
      <c r="B299" s="43">
        <v>1.2759</v>
      </c>
    </row>
    <row r="300" spans="1:2">
      <c r="A300" s="20">
        <v>44189</v>
      </c>
      <c r="B300" s="43">
        <v>1.3166</v>
      </c>
    </row>
    <row r="301" spans="1:2">
      <c r="A301" s="20">
        <v>44193</v>
      </c>
      <c r="B301" s="43">
        <v>1.3077000000000001</v>
      </c>
    </row>
    <row r="302" spans="1:2">
      <c r="A302" s="20">
        <v>44194</v>
      </c>
      <c r="B302" s="43">
        <v>1.3190999999999999</v>
      </c>
    </row>
    <row r="303" spans="1:2">
      <c r="A303" s="20">
        <v>44195</v>
      </c>
      <c r="B303" s="43">
        <v>1.3268</v>
      </c>
    </row>
    <row r="304" spans="1:2">
      <c r="A304" s="20">
        <v>44196</v>
      </c>
      <c r="B304" s="43">
        <v>1.3514999999999999</v>
      </c>
    </row>
    <row r="305" spans="1:2">
      <c r="A305" s="20">
        <v>44200</v>
      </c>
      <c r="B305" s="43">
        <v>1.3816999999999999</v>
      </c>
    </row>
    <row r="306" spans="1:2">
      <c r="A306" s="20">
        <v>44201</v>
      </c>
      <c r="B306" s="43">
        <v>1.391</v>
      </c>
    </row>
    <row r="307" spans="1:2">
      <c r="A307" s="20">
        <v>44202</v>
      </c>
      <c r="B307" s="43">
        <v>1.3548</v>
      </c>
    </row>
    <row r="308" spans="1:2">
      <c r="A308" s="20">
        <v>44203</v>
      </c>
      <c r="B308" s="43">
        <v>1.3354999999999999</v>
      </c>
    </row>
    <row r="309" spans="1:2">
      <c r="A309" s="20">
        <v>44204</v>
      </c>
      <c r="B309" s="43">
        <v>1.3762000000000001</v>
      </c>
    </row>
    <row r="310" spans="1:2">
      <c r="A310" s="20">
        <v>44207</v>
      </c>
      <c r="B310" s="43">
        <v>1.3722000000000001</v>
      </c>
    </row>
    <row r="311" spans="1:2">
      <c r="A311" s="20">
        <v>44208</v>
      </c>
      <c r="B311" s="43">
        <v>1.3607</v>
      </c>
    </row>
    <row r="312" spans="1:2">
      <c r="A312" s="20">
        <v>44209</v>
      </c>
      <c r="B312" s="43">
        <v>1.3783000000000001</v>
      </c>
    </row>
    <row r="313" spans="1:2">
      <c r="A313" s="20">
        <v>44210</v>
      </c>
      <c r="B313" s="43">
        <v>1.4013</v>
      </c>
    </row>
    <row r="314" spans="1:2">
      <c r="A314" s="20">
        <v>44211</v>
      </c>
      <c r="B314" s="43">
        <v>1.4100999999999999</v>
      </c>
    </row>
    <row r="315" spans="1:2">
      <c r="A315" s="20">
        <v>44214</v>
      </c>
      <c r="B315" s="43">
        <v>1.3729</v>
      </c>
    </row>
    <row r="316" spans="1:2">
      <c r="A316" s="20">
        <v>44215</v>
      </c>
      <c r="B316" s="43">
        <v>1.4520999999999999</v>
      </c>
    </row>
    <row r="317" spans="1:2">
      <c r="A317" s="20">
        <v>44216</v>
      </c>
      <c r="B317" s="43">
        <v>1.4750000000000001</v>
      </c>
    </row>
    <row r="318" spans="1:2">
      <c r="A318" s="20">
        <v>44217</v>
      </c>
      <c r="B318" s="43">
        <v>1.4826999999999999</v>
      </c>
    </row>
    <row r="319" spans="1:2">
      <c r="A319" s="20">
        <v>44218</v>
      </c>
      <c r="B319" s="43">
        <v>1.5423</v>
      </c>
    </row>
    <row r="320" spans="1:2">
      <c r="A320" s="20">
        <v>44221</v>
      </c>
      <c r="B320" s="43">
        <v>1.5207999999999999</v>
      </c>
    </row>
    <row r="321" spans="1:2">
      <c r="A321" s="20">
        <v>44222</v>
      </c>
      <c r="B321" s="43">
        <v>1.5518000000000001</v>
      </c>
    </row>
    <row r="322" spans="1:2">
      <c r="A322" s="20">
        <v>44223</v>
      </c>
      <c r="B322" s="43">
        <v>1.5467</v>
      </c>
    </row>
    <row r="323" spans="1:2">
      <c r="A323" s="20">
        <v>44224</v>
      </c>
      <c r="B323" s="43">
        <v>1.5538000000000001</v>
      </c>
    </row>
    <row r="324" spans="1:2">
      <c r="A324" s="20">
        <v>44225</v>
      </c>
      <c r="B324" s="43">
        <v>1.5277000000000001</v>
      </c>
    </row>
    <row r="325" spans="1:2">
      <c r="A325" s="20">
        <v>44228</v>
      </c>
      <c r="B325" s="43">
        <v>1.5379</v>
      </c>
    </row>
    <row r="326" spans="1:2">
      <c r="A326" s="20">
        <v>44229</v>
      </c>
      <c r="B326" s="43">
        <v>1.5437000000000001</v>
      </c>
    </row>
    <row r="327" spans="1:2">
      <c r="A327" s="20">
        <v>44230</v>
      </c>
      <c r="B327" s="43">
        <v>1.5471999999999999</v>
      </c>
    </row>
    <row r="328" spans="1:2">
      <c r="A328" s="20">
        <v>44231</v>
      </c>
      <c r="B328" s="43">
        <v>1.5449999999999999</v>
      </c>
    </row>
    <row r="329" spans="1:2">
      <c r="A329" s="20">
        <v>44232</v>
      </c>
      <c r="B329" s="43">
        <v>1.5579000000000001</v>
      </c>
    </row>
    <row r="330" spans="1:2">
      <c r="A330" s="20">
        <v>44235</v>
      </c>
      <c r="B330" s="43">
        <v>1.5748</v>
      </c>
    </row>
    <row r="331" spans="1:2">
      <c r="A331" s="20">
        <v>44236</v>
      </c>
      <c r="B331" s="43">
        <v>1.5716000000000001</v>
      </c>
    </row>
    <row r="332" spans="1:2">
      <c r="A332" s="20">
        <v>44237</v>
      </c>
      <c r="B332" s="43">
        <v>1.5753999999999999</v>
      </c>
    </row>
    <row r="333" spans="1:2">
      <c r="A333" s="20">
        <v>44238</v>
      </c>
      <c r="B333" s="43">
        <v>1.5527</v>
      </c>
    </row>
    <row r="334" spans="1:2">
      <c r="A334" s="20">
        <v>44239</v>
      </c>
      <c r="B334" s="43">
        <v>1.5901000000000001</v>
      </c>
    </row>
    <row r="335" spans="1:2">
      <c r="A335" s="20">
        <v>44242</v>
      </c>
      <c r="B335" s="43">
        <v>1.6160000000000001</v>
      </c>
    </row>
    <row r="336" spans="1:2">
      <c r="A336" s="20">
        <v>44243</v>
      </c>
      <c r="B336" s="43">
        <v>1.6486000000000001</v>
      </c>
    </row>
    <row r="337" spans="1:2">
      <c r="A337" s="20">
        <v>44244</v>
      </c>
      <c r="B337" s="43">
        <v>1.6448</v>
      </c>
    </row>
    <row r="338" spans="1:2">
      <c r="A338" s="20">
        <v>44245</v>
      </c>
      <c r="B338" s="43">
        <v>1.6493</v>
      </c>
    </row>
    <row r="339" spans="1:2">
      <c r="A339" s="20">
        <v>44246</v>
      </c>
      <c r="B339" s="43">
        <v>1.6748000000000001</v>
      </c>
    </row>
    <row r="340" spans="1:2">
      <c r="A340" s="20">
        <v>44249</v>
      </c>
      <c r="B340" s="43">
        <v>1.6736</v>
      </c>
    </row>
    <row r="341" spans="1:2">
      <c r="A341" s="20">
        <v>44250</v>
      </c>
      <c r="B341" s="43">
        <v>1.7841</v>
      </c>
    </row>
    <row r="342" spans="1:2">
      <c r="A342" s="20">
        <v>44251</v>
      </c>
      <c r="B342" s="43">
        <v>1.7786</v>
      </c>
    </row>
    <row r="343" spans="1:2">
      <c r="A343" s="20">
        <v>44252</v>
      </c>
      <c r="B343" s="43">
        <v>1.8139000000000001</v>
      </c>
    </row>
    <row r="344" spans="1:2">
      <c r="A344" s="20">
        <v>44253</v>
      </c>
      <c r="B344" s="43">
        <v>1.8636999999999999</v>
      </c>
    </row>
    <row r="345" spans="1:2">
      <c r="A345" s="20">
        <v>44256</v>
      </c>
      <c r="B345" s="43">
        <v>1.8937999999999999</v>
      </c>
    </row>
    <row r="346" spans="1:2">
      <c r="A346" s="20">
        <v>44257</v>
      </c>
      <c r="B346" s="43">
        <v>1.8872</v>
      </c>
    </row>
    <row r="347" spans="1:2">
      <c r="A347" s="20">
        <v>44258</v>
      </c>
      <c r="B347" s="43">
        <v>1.8889</v>
      </c>
    </row>
    <row r="348" spans="1:2">
      <c r="A348" s="20">
        <v>44259</v>
      </c>
      <c r="B348" s="43">
        <v>1.9309000000000001</v>
      </c>
    </row>
    <row r="349" spans="1:2">
      <c r="A349" s="20">
        <v>44260</v>
      </c>
      <c r="B349" s="43">
        <v>1.9424999999999999</v>
      </c>
    </row>
    <row r="350" spans="1:2">
      <c r="A350" s="20">
        <v>44263</v>
      </c>
      <c r="B350" s="43">
        <v>1.9777</v>
      </c>
    </row>
    <row r="351" spans="1:2">
      <c r="A351" s="20">
        <v>44264</v>
      </c>
      <c r="B351" s="43">
        <v>1.9763999999999999</v>
      </c>
    </row>
    <row r="352" spans="1:2">
      <c r="A352" s="20">
        <v>44265</v>
      </c>
      <c r="B352" s="43">
        <v>1.9504999999999999</v>
      </c>
    </row>
    <row r="353" spans="1:2">
      <c r="A353" s="20">
        <v>44266</v>
      </c>
      <c r="B353" s="43">
        <v>1.9429000000000001</v>
      </c>
    </row>
    <row r="354" spans="1:2">
      <c r="A354" s="20">
        <v>44267</v>
      </c>
      <c r="B354" s="43">
        <v>1.9363999999999999</v>
      </c>
    </row>
    <row r="355" spans="1:2">
      <c r="A355" s="20">
        <v>44270</v>
      </c>
      <c r="B355" s="43">
        <v>1.9518</v>
      </c>
    </row>
    <row r="356" spans="1:2">
      <c r="A356" s="20">
        <v>44271</v>
      </c>
      <c r="B356" s="43">
        <v>1.9979</v>
      </c>
    </row>
    <row r="357" spans="1:2">
      <c r="A357" s="20">
        <v>44272</v>
      </c>
      <c r="B357" s="43">
        <v>2.0647000000000002</v>
      </c>
    </row>
    <row r="358" spans="1:2">
      <c r="A358" s="20">
        <v>44273</v>
      </c>
      <c r="B358" s="43">
        <v>2.0487000000000002</v>
      </c>
    </row>
    <row r="359" spans="1:2">
      <c r="A359" s="20">
        <v>44274</v>
      </c>
      <c r="B359" s="43">
        <v>2.0501999999999998</v>
      </c>
    </row>
    <row r="360" spans="1:2">
      <c r="A360" s="20">
        <v>44277</v>
      </c>
      <c r="B360" s="43">
        <v>2.0747</v>
      </c>
    </row>
    <row r="361" spans="1:2">
      <c r="A361" s="20">
        <v>44278</v>
      </c>
      <c r="B361" s="43">
        <v>2.1273</v>
      </c>
    </row>
    <row r="362" spans="1:2">
      <c r="A362" s="20">
        <v>44279</v>
      </c>
      <c r="B362" s="43">
        <v>2.1347999999999998</v>
      </c>
    </row>
    <row r="363" spans="1:2">
      <c r="A363" s="20">
        <v>44280</v>
      </c>
      <c r="B363" s="43">
        <v>2.0994000000000002</v>
      </c>
    </row>
    <row r="364" spans="1:2">
      <c r="A364" s="20">
        <v>44281</v>
      </c>
      <c r="B364" s="43">
        <v>2.0956999999999999</v>
      </c>
    </row>
    <row r="365" spans="1:2">
      <c r="A365" s="20">
        <v>44284</v>
      </c>
      <c r="B365" s="43">
        <v>2.0474999999999999</v>
      </c>
    </row>
    <row r="366" spans="1:2">
      <c r="A366" s="20">
        <v>44285</v>
      </c>
      <c r="B366" s="43">
        <v>1.9407000000000001</v>
      </c>
    </row>
    <row r="367" spans="1:2">
      <c r="A367" s="20">
        <v>44286</v>
      </c>
      <c r="B367" s="43">
        <v>1.9437</v>
      </c>
    </row>
    <row r="368" spans="1:2">
      <c r="A368" s="20">
        <v>44287</v>
      </c>
      <c r="B368" s="43">
        <v>1.9583999999999999</v>
      </c>
    </row>
    <row r="369" spans="1:2">
      <c r="A369" s="20">
        <v>44291</v>
      </c>
      <c r="B369" s="43">
        <v>1.8958999999999999</v>
      </c>
    </row>
    <row r="370" spans="1:2">
      <c r="A370" s="20">
        <v>44292</v>
      </c>
      <c r="B370" s="43">
        <v>1.9875</v>
      </c>
    </row>
    <row r="371" spans="1:2">
      <c r="A371" s="20">
        <v>44293</v>
      </c>
      <c r="B371" s="43">
        <v>1.9196</v>
      </c>
    </row>
    <row r="372" spans="1:2">
      <c r="A372" s="20">
        <v>44294</v>
      </c>
      <c r="B372" s="43">
        <v>1.9709000000000001</v>
      </c>
    </row>
    <row r="373" spans="1:2">
      <c r="A373" s="20">
        <v>44295</v>
      </c>
      <c r="B373" s="43">
        <v>2.0009000000000001</v>
      </c>
    </row>
    <row r="374" spans="1:2">
      <c r="A374" s="20">
        <v>44298</v>
      </c>
      <c r="B374" s="43">
        <v>1.9964</v>
      </c>
    </row>
    <row r="375" spans="1:2">
      <c r="A375" s="20">
        <v>44299</v>
      </c>
      <c r="B375" s="43">
        <v>1.9597</v>
      </c>
    </row>
    <row r="376" spans="1:2">
      <c r="A376" s="20">
        <v>44300</v>
      </c>
      <c r="B376" s="43">
        <v>2.0223</v>
      </c>
    </row>
    <row r="377" spans="1:2">
      <c r="A377" s="20">
        <v>44301</v>
      </c>
      <c r="B377" s="43">
        <v>1.9611000000000001</v>
      </c>
    </row>
    <row r="378" spans="1:2">
      <c r="A378" s="20">
        <v>44302</v>
      </c>
      <c r="B378" s="43">
        <v>1.9662999999999999</v>
      </c>
    </row>
    <row r="379" spans="1:2">
      <c r="A379" s="20">
        <v>44305</v>
      </c>
      <c r="B379" s="43">
        <v>1.9518</v>
      </c>
    </row>
    <row r="380" spans="1:2">
      <c r="A380" s="20">
        <v>44306</v>
      </c>
      <c r="B380" s="43">
        <v>1.9593</v>
      </c>
    </row>
    <row r="381" spans="1:2">
      <c r="A381" s="20">
        <v>44307</v>
      </c>
      <c r="B381" s="43">
        <v>1.9621</v>
      </c>
    </row>
    <row r="382" spans="1:2">
      <c r="A382" s="20">
        <v>44308</v>
      </c>
      <c r="B382" s="43">
        <v>1.97</v>
      </c>
    </row>
    <row r="383" spans="1:2">
      <c r="A383" s="20">
        <v>44309</v>
      </c>
      <c r="B383" s="43">
        <v>1.9757</v>
      </c>
    </row>
    <row r="384" spans="1:2">
      <c r="A384" s="20">
        <v>44312</v>
      </c>
      <c r="B384" s="43">
        <v>2.0409000000000002</v>
      </c>
    </row>
    <row r="385" spans="1:2">
      <c r="A385" s="20">
        <v>44313</v>
      </c>
      <c r="B385" s="43">
        <v>2.0526</v>
      </c>
    </row>
    <row r="386" spans="1:2">
      <c r="A386" s="20">
        <v>44314</v>
      </c>
      <c r="B386" s="43">
        <v>2.0426000000000002</v>
      </c>
    </row>
    <row r="387" spans="1:2">
      <c r="A387" s="20">
        <v>44315</v>
      </c>
      <c r="B387" s="43">
        <v>2.0463</v>
      </c>
    </row>
    <row r="388" spans="1:2">
      <c r="A388" s="20">
        <v>44316</v>
      </c>
      <c r="B388" s="43">
        <v>2.0209000000000001</v>
      </c>
    </row>
    <row r="389" spans="1:2">
      <c r="A389" s="20">
        <v>44319</v>
      </c>
      <c r="B389" s="43">
        <v>1.9881</v>
      </c>
    </row>
    <row r="390" spans="1:2">
      <c r="A390" s="20">
        <v>44320</v>
      </c>
      <c r="B390" s="43">
        <v>1.9811000000000001</v>
      </c>
    </row>
    <row r="391" spans="1:2">
      <c r="A391" s="20">
        <v>44321</v>
      </c>
      <c r="B391" s="43">
        <v>2.0051000000000001</v>
      </c>
    </row>
    <row r="392" spans="1:2">
      <c r="A392" s="20">
        <v>44322</v>
      </c>
      <c r="B392" s="43">
        <v>1.9902</v>
      </c>
    </row>
    <row r="393" spans="1:2">
      <c r="A393" s="20">
        <v>44323</v>
      </c>
      <c r="B393" s="43">
        <v>2.0287999999999999</v>
      </c>
    </row>
    <row r="394" spans="1:2">
      <c r="A394" s="20">
        <v>44326</v>
      </c>
      <c r="B394" s="43">
        <v>2.0743</v>
      </c>
    </row>
    <row r="395" spans="1:2">
      <c r="A395" s="20">
        <v>44327</v>
      </c>
      <c r="B395" s="43">
        <v>2.0988000000000002</v>
      </c>
    </row>
    <row r="396" spans="1:2">
      <c r="A396" s="20">
        <v>44328</v>
      </c>
      <c r="B396" s="43">
        <v>2.0762999999999998</v>
      </c>
    </row>
    <row r="397" spans="1:2">
      <c r="A397" s="20">
        <v>44329</v>
      </c>
      <c r="B397" s="43">
        <v>2.1015000000000001</v>
      </c>
    </row>
    <row r="398" spans="1:2">
      <c r="A398" s="20">
        <v>44330</v>
      </c>
      <c r="B398" s="43">
        <v>2.1511999999999998</v>
      </c>
    </row>
    <row r="399" spans="1:2">
      <c r="A399" s="20">
        <v>44333</v>
      </c>
      <c r="B399" s="43">
        <v>2.1513</v>
      </c>
    </row>
    <row r="400" spans="1:2">
      <c r="A400" s="20">
        <v>44334</v>
      </c>
      <c r="B400" s="43">
        <v>2.1137000000000001</v>
      </c>
    </row>
    <row r="401" spans="1:2">
      <c r="A401" s="20">
        <v>44335</v>
      </c>
      <c r="B401" s="43">
        <v>2.1269</v>
      </c>
    </row>
    <row r="402" spans="1:2">
      <c r="A402" s="20">
        <v>44336</v>
      </c>
      <c r="B402" s="43">
        <v>2.1334</v>
      </c>
    </row>
    <row r="403" spans="1:2">
      <c r="A403" s="20">
        <v>44337</v>
      </c>
      <c r="B403" s="43">
        <v>2.1398999999999999</v>
      </c>
    </row>
    <row r="404" spans="1:2">
      <c r="A404" s="20">
        <v>44340</v>
      </c>
      <c r="B404" s="43">
        <v>2.161</v>
      </c>
    </row>
    <row r="405" spans="1:2">
      <c r="A405" s="20">
        <v>44341</v>
      </c>
      <c r="B405" s="43">
        <v>2.093</v>
      </c>
    </row>
    <row r="406" spans="1:2">
      <c r="A406" s="20">
        <v>44342</v>
      </c>
      <c r="B406" s="43">
        <v>2.1223999999999998</v>
      </c>
    </row>
    <row r="407" spans="1:2">
      <c r="A407" s="20">
        <v>44343</v>
      </c>
      <c r="B407" s="43">
        <v>2.1536</v>
      </c>
    </row>
    <row r="408" spans="1:2">
      <c r="A408" s="20">
        <v>44344</v>
      </c>
      <c r="B408" s="43">
        <v>2.1554000000000002</v>
      </c>
    </row>
    <row r="409" spans="1:2">
      <c r="A409" s="20">
        <v>44347</v>
      </c>
      <c r="B409" s="43">
        <v>2.0979000000000001</v>
      </c>
    </row>
    <row r="410" spans="1:2">
      <c r="A410" s="20">
        <v>44348</v>
      </c>
      <c r="B410" s="43">
        <v>2.0461999999999998</v>
      </c>
    </row>
    <row r="411" spans="1:2">
      <c r="A411" s="20">
        <v>44349</v>
      </c>
      <c r="B411" s="43">
        <v>2.0709</v>
      </c>
    </row>
    <row r="412" spans="1:2">
      <c r="A412" s="20">
        <v>44350</v>
      </c>
      <c r="B412" s="43">
        <v>2.1217000000000001</v>
      </c>
    </row>
    <row r="413" spans="1:2">
      <c r="A413" s="20">
        <v>44351</v>
      </c>
      <c r="B413" s="43">
        <v>2.1229</v>
      </c>
    </row>
    <row r="414" spans="1:2">
      <c r="A414" s="20">
        <v>44354</v>
      </c>
      <c r="B414" s="43">
        <v>2.1511999999999998</v>
      </c>
    </row>
    <row r="415" spans="1:2">
      <c r="A415" s="20">
        <v>44355</v>
      </c>
      <c r="B415" s="43">
        <v>2.1551999999999998</v>
      </c>
    </row>
    <row r="416" spans="1:2">
      <c r="A416" s="20">
        <v>44356</v>
      </c>
      <c r="B416" s="43">
        <v>2.1368999999999998</v>
      </c>
    </row>
    <row r="417" spans="1:2">
      <c r="A417" s="20">
        <v>44357</v>
      </c>
      <c r="B417" s="43">
        <v>2.1703999999999999</v>
      </c>
    </row>
    <row r="418" spans="1:2">
      <c r="A418" s="20">
        <v>44358</v>
      </c>
      <c r="B418" s="43">
        <v>2.1941000000000002</v>
      </c>
    </row>
    <row r="419" spans="1:2">
      <c r="A419" s="20">
        <v>44361</v>
      </c>
      <c r="B419" s="43">
        <v>2.2018</v>
      </c>
    </row>
    <row r="420" spans="1:2">
      <c r="A420" s="20">
        <v>44362</v>
      </c>
      <c r="B420" s="43">
        <v>2.2115</v>
      </c>
    </row>
    <row r="421" spans="1:2">
      <c r="A421" s="20">
        <v>44363</v>
      </c>
      <c r="B421" s="43">
        <v>2.1930999999999998</v>
      </c>
    </row>
    <row r="422" spans="1:2">
      <c r="A422" s="20">
        <v>44364</v>
      </c>
      <c r="B422" s="43">
        <v>2.2189999999999999</v>
      </c>
    </row>
    <row r="423" spans="1:2">
      <c r="A423" s="20">
        <v>44365</v>
      </c>
      <c r="B423" s="43">
        <v>2.2025000000000001</v>
      </c>
    </row>
    <row r="424" spans="1:2">
      <c r="A424" s="20">
        <v>44368</v>
      </c>
      <c r="B424" s="43">
        <v>2.2122000000000002</v>
      </c>
    </row>
    <row r="425" spans="1:2">
      <c r="A425" s="20">
        <v>44369</v>
      </c>
      <c r="B425" s="43">
        <v>2.1861000000000002</v>
      </c>
    </row>
    <row r="426" spans="1:2">
      <c r="A426" s="20">
        <v>44370</v>
      </c>
      <c r="B426" s="43">
        <v>2.173</v>
      </c>
    </row>
    <row r="427" spans="1:2">
      <c r="A427" s="20">
        <v>44371</v>
      </c>
      <c r="B427" s="43">
        <v>2.1728999999999998</v>
      </c>
    </row>
    <row r="428" spans="1:2">
      <c r="A428" s="20">
        <v>44372</v>
      </c>
      <c r="B428" s="43">
        <v>2.16</v>
      </c>
    </row>
    <row r="429" spans="1:2">
      <c r="A429" s="20">
        <v>44375</v>
      </c>
      <c r="B429" s="43">
        <v>2.1387999999999998</v>
      </c>
    </row>
    <row r="430" spans="1:2">
      <c r="A430" s="20">
        <v>44376</v>
      </c>
      <c r="B430" s="43">
        <v>2.1739999999999999</v>
      </c>
    </row>
    <row r="431" spans="1:2">
      <c r="A431" s="20">
        <v>44377</v>
      </c>
      <c r="B431" s="43">
        <v>2.2031000000000001</v>
      </c>
    </row>
    <row r="432" spans="1:2">
      <c r="A432" s="20">
        <v>44378</v>
      </c>
      <c r="B432" s="43">
        <v>2.2301000000000002</v>
      </c>
    </row>
    <row r="433" spans="1:2">
      <c r="A433" s="20">
        <v>44379</v>
      </c>
      <c r="B433" s="43">
        <v>2.2698999999999998</v>
      </c>
    </row>
    <row r="434" spans="1:2">
      <c r="A434" s="20">
        <v>44382</v>
      </c>
      <c r="B434" s="43">
        <v>2.2799999999999998</v>
      </c>
    </row>
    <row r="435" spans="1:2">
      <c r="A435" s="20">
        <v>44383</v>
      </c>
      <c r="B435" s="43">
        <v>2.2612000000000001</v>
      </c>
    </row>
    <row r="436" spans="1:2">
      <c r="A436" s="20">
        <v>44384</v>
      </c>
      <c r="B436" s="43">
        <v>2.2176999999999998</v>
      </c>
    </row>
    <row r="437" spans="1:2">
      <c r="A437" s="20">
        <v>44385</v>
      </c>
      <c r="B437" s="43">
        <v>2.2414999999999998</v>
      </c>
    </row>
    <row r="438" spans="1:2">
      <c r="A438" s="20">
        <v>44386</v>
      </c>
      <c r="B438" s="43">
        <v>2.2418</v>
      </c>
    </row>
    <row r="439" spans="1:2">
      <c r="A439" s="20">
        <v>44389</v>
      </c>
      <c r="B439" s="43">
        <v>2.2675999999999998</v>
      </c>
    </row>
    <row r="440" spans="1:2">
      <c r="A440" s="20">
        <v>44390</v>
      </c>
      <c r="B440" s="43">
        <v>2.2997999999999998</v>
      </c>
    </row>
    <row r="441" spans="1:2">
      <c r="A441" s="20">
        <v>44391</v>
      </c>
      <c r="B441" s="43">
        <v>2.2282000000000002</v>
      </c>
    </row>
    <row r="442" spans="1:2">
      <c r="A442" s="20">
        <v>44392</v>
      </c>
      <c r="B442" s="43">
        <v>2.206</v>
      </c>
    </row>
    <row r="443" spans="1:2">
      <c r="A443" s="20">
        <v>44393</v>
      </c>
      <c r="B443" s="43">
        <v>2.2551999999999999</v>
      </c>
    </row>
    <row r="444" spans="1:2">
      <c r="A444" s="20">
        <v>44396</v>
      </c>
      <c r="B444" s="43">
        <v>2.2919999999999998</v>
      </c>
    </row>
    <row r="445" spans="1:2">
      <c r="A445" s="20">
        <v>44397</v>
      </c>
      <c r="B445" s="43">
        <v>2.2772000000000001</v>
      </c>
    </row>
    <row r="446" spans="1:2">
      <c r="A446" s="20">
        <v>44398</v>
      </c>
      <c r="B446" s="43">
        <v>2.3016999999999999</v>
      </c>
    </row>
    <row r="447" spans="1:2">
      <c r="A447" s="20">
        <v>44399</v>
      </c>
      <c r="B447" s="43">
        <v>2.2722000000000002</v>
      </c>
    </row>
    <row r="448" spans="1:2">
      <c r="A448" s="20">
        <v>44400</v>
      </c>
      <c r="B448" s="43">
        <v>2.2317999999999998</v>
      </c>
    </row>
    <row r="449" spans="1:2">
      <c r="A449" s="20">
        <v>44403</v>
      </c>
      <c r="B449" s="43">
        <v>2.2345000000000002</v>
      </c>
    </row>
    <row r="450" spans="1:2">
      <c r="A450" s="20">
        <v>44404</v>
      </c>
      <c r="B450" s="43">
        <v>2.0903</v>
      </c>
    </row>
    <row r="451" spans="1:2">
      <c r="A451" s="20">
        <v>44405</v>
      </c>
      <c r="B451" s="43">
        <v>2.1103999999999998</v>
      </c>
    </row>
    <row r="452" spans="1:2">
      <c r="A452" s="20">
        <v>44406</v>
      </c>
      <c r="B452" s="43">
        <v>2.1941000000000002</v>
      </c>
    </row>
    <row r="453" spans="1:2">
      <c r="A453" s="20">
        <v>44407</v>
      </c>
      <c r="B453" s="43">
        <v>2.2473999999999998</v>
      </c>
    </row>
    <row r="454" spans="1:2">
      <c r="A454" s="20">
        <v>44410</v>
      </c>
      <c r="B454" s="43">
        <v>2.2612000000000001</v>
      </c>
    </row>
    <row r="455" spans="1:2">
      <c r="A455" s="20">
        <v>44411</v>
      </c>
      <c r="B455" s="43">
        <v>2.2753999999999999</v>
      </c>
    </row>
    <row r="456" spans="1:2">
      <c r="A456" s="20">
        <v>44412</v>
      </c>
      <c r="B456" s="43">
        <v>2.2812999999999999</v>
      </c>
    </row>
    <row r="457" spans="1:2">
      <c r="A457" s="20">
        <v>44413</v>
      </c>
      <c r="B457" s="43">
        <v>2.282</v>
      </c>
    </row>
    <row r="458" spans="1:2">
      <c r="A458" s="20">
        <v>44414</v>
      </c>
      <c r="B458" s="43">
        <v>2.3250999999999999</v>
      </c>
    </row>
    <row r="459" spans="1:2">
      <c r="A459" s="20">
        <v>44417</v>
      </c>
      <c r="B459" s="43">
        <v>2.3347000000000002</v>
      </c>
    </row>
    <row r="460" spans="1:2">
      <c r="A460" s="20">
        <v>44418</v>
      </c>
      <c r="B460" s="43">
        <v>2.2747000000000002</v>
      </c>
    </row>
    <row r="461" spans="1:2">
      <c r="A461" s="20">
        <v>44419</v>
      </c>
      <c r="B461" s="43">
        <v>2.2707999999999999</v>
      </c>
    </row>
    <row r="462" spans="1:2">
      <c r="A462" s="20">
        <v>44420</v>
      </c>
      <c r="B462" s="43">
        <v>2.25</v>
      </c>
    </row>
    <row r="463" spans="1:2">
      <c r="A463" s="20">
        <v>44421</v>
      </c>
      <c r="B463" s="43">
        <v>2.294</v>
      </c>
    </row>
    <row r="464" spans="1:2">
      <c r="A464" s="20">
        <v>44424</v>
      </c>
      <c r="B464" s="43">
        <v>2.2568999999999999</v>
      </c>
    </row>
    <row r="465" spans="1:2">
      <c r="A465" s="20">
        <v>44425</v>
      </c>
      <c r="B465" s="43">
        <v>2.2347999999999999</v>
      </c>
    </row>
    <row r="466" spans="1:2">
      <c r="A466" s="20">
        <v>44426</v>
      </c>
      <c r="B466" s="43">
        <v>2.2679</v>
      </c>
    </row>
    <row r="467" spans="1:2">
      <c r="A467" s="20">
        <v>44427</v>
      </c>
      <c r="B467" s="43">
        <v>2.3022</v>
      </c>
    </row>
    <row r="468" spans="1:2">
      <c r="A468" s="20">
        <v>44428</v>
      </c>
      <c r="B468" s="43">
        <v>2.13</v>
      </c>
    </row>
    <row r="469" spans="1:2">
      <c r="A469" s="20">
        <v>44431</v>
      </c>
      <c r="B469" s="43">
        <v>2.1128999999999998</v>
      </c>
    </row>
    <row r="470" spans="1:2">
      <c r="A470" s="20">
        <v>44432</v>
      </c>
      <c r="B470" s="43">
        <v>2.0668000000000002</v>
      </c>
    </row>
    <row r="471" spans="1:2">
      <c r="A471" s="20">
        <v>44433</v>
      </c>
      <c r="B471" s="43">
        <v>2.0396999999999998</v>
      </c>
    </row>
    <row r="472" spans="1:2">
      <c r="A472" s="20">
        <v>44434</v>
      </c>
      <c r="B472" s="43">
        <v>2.0162</v>
      </c>
    </row>
    <row r="473" spans="1:2">
      <c r="A473" s="20">
        <v>44435</v>
      </c>
      <c r="B473" s="43">
        <v>1.9524999999999999</v>
      </c>
    </row>
    <row r="474" spans="1:2">
      <c r="A474" s="20">
        <v>44438</v>
      </c>
      <c r="B474" s="43">
        <v>1.8902000000000001</v>
      </c>
    </row>
    <row r="475" spans="1:2">
      <c r="A475" s="20">
        <v>44439</v>
      </c>
      <c r="B475" s="43">
        <v>1.9865999999999999</v>
      </c>
    </row>
    <row r="476" spans="1:2">
      <c r="A476" s="20">
        <v>44440</v>
      </c>
      <c r="B476" s="43">
        <v>2.0575999999999999</v>
      </c>
    </row>
    <row r="477" spans="1:2">
      <c r="A477" s="20">
        <v>44441</v>
      </c>
      <c r="B477" s="43">
        <v>2.145</v>
      </c>
    </row>
    <row r="478" spans="1:2">
      <c r="A478" s="20">
        <v>44442</v>
      </c>
      <c r="B478" s="43">
        <v>2.0922999999999998</v>
      </c>
    </row>
    <row r="479" spans="1:2">
      <c r="A479" s="20">
        <v>44445</v>
      </c>
      <c r="B479" s="43">
        <v>2.1196000000000002</v>
      </c>
    </row>
    <row r="480" spans="1:2">
      <c r="A480" s="20">
        <v>44446</v>
      </c>
      <c r="B480" s="43">
        <v>2.1537999999999999</v>
      </c>
    </row>
    <row r="481" spans="1:2">
      <c r="A481" s="20">
        <v>44447</v>
      </c>
      <c r="B481" s="43">
        <v>2.1419000000000001</v>
      </c>
    </row>
    <row r="482" spans="1:2">
      <c r="A482" s="20">
        <v>44448</v>
      </c>
      <c r="B482" s="43">
        <v>2.1109</v>
      </c>
    </row>
    <row r="483" spans="1:2">
      <c r="A483" s="20">
        <v>44449</v>
      </c>
      <c r="B483" s="43">
        <v>2.1635</v>
      </c>
    </row>
    <row r="484" spans="1:2">
      <c r="A484" s="20">
        <v>44452</v>
      </c>
      <c r="B484" s="43">
        <v>2.1539999999999999</v>
      </c>
    </row>
    <row r="485" spans="1:2">
      <c r="A485" s="20">
        <v>44453</v>
      </c>
      <c r="B485" s="43">
        <v>2.13</v>
      </c>
    </row>
    <row r="486" spans="1:2">
      <c r="A486" s="20">
        <v>44454</v>
      </c>
      <c r="B486" s="43">
        <v>2.1320999999999999</v>
      </c>
    </row>
    <row r="487" spans="1:2">
      <c r="A487" s="20">
        <v>44455</v>
      </c>
      <c r="B487" s="43">
        <v>2.0996999999999999</v>
      </c>
    </row>
    <row r="488" spans="1:2">
      <c r="A488" s="20">
        <v>44456</v>
      </c>
      <c r="B488" s="43">
        <v>2.1539999999999999</v>
      </c>
    </row>
    <row r="489" spans="1:2">
      <c r="A489" s="20">
        <v>44459</v>
      </c>
      <c r="B489" s="43">
        <v>2.1608999999999998</v>
      </c>
    </row>
    <row r="490" spans="1:2">
      <c r="A490" s="20">
        <v>44460</v>
      </c>
      <c r="B490" s="43">
        <v>2.1118999999999999</v>
      </c>
    </row>
    <row r="491" spans="1:2">
      <c r="A491" s="20">
        <v>44461</v>
      </c>
      <c r="B491" s="43">
        <v>2.1438000000000001</v>
      </c>
    </row>
    <row r="492" spans="1:2">
      <c r="A492" s="20">
        <v>44462</v>
      </c>
      <c r="B492" s="43">
        <v>2.1269</v>
      </c>
    </row>
    <row r="493" spans="1:2">
      <c r="A493" s="20">
        <v>44463</v>
      </c>
      <c r="B493" s="43">
        <v>2.1156999999999999</v>
      </c>
    </row>
    <row r="494" spans="1:2">
      <c r="A494" s="20">
        <v>44466</v>
      </c>
      <c r="B494" s="43">
        <v>2.0602999999999998</v>
      </c>
    </row>
    <row r="495" spans="1:2">
      <c r="A495" s="20">
        <v>44467</v>
      </c>
      <c r="B495" s="43">
        <v>2.0598000000000001</v>
      </c>
    </row>
    <row r="496" spans="1:2">
      <c r="A496" s="20">
        <v>44468</v>
      </c>
      <c r="B496" s="43">
        <v>2.0836999999999999</v>
      </c>
    </row>
    <row r="497" spans="1:2">
      <c r="A497" s="20">
        <v>44469</v>
      </c>
      <c r="B497" s="43">
        <v>2.1261000000000001</v>
      </c>
    </row>
    <row r="498" spans="1:2">
      <c r="A498" s="20">
        <v>44470</v>
      </c>
      <c r="B498" s="43">
        <v>2.1377000000000002</v>
      </c>
    </row>
    <row r="499" spans="1:2">
      <c r="A499" s="20">
        <v>44473</v>
      </c>
      <c r="B499" s="43">
        <v>2.17</v>
      </c>
    </row>
    <row r="500" spans="1:2">
      <c r="A500" s="20">
        <v>44474</v>
      </c>
      <c r="B500" s="43">
        <v>2.1475</v>
      </c>
    </row>
    <row r="501" spans="1:2">
      <c r="A501" s="20">
        <v>44475</v>
      </c>
      <c r="B501" s="43">
        <v>2.1749999999999998</v>
      </c>
    </row>
    <row r="502" spans="1:2">
      <c r="A502" s="20">
        <v>44476</v>
      </c>
      <c r="B502" s="43">
        <v>2.194</v>
      </c>
    </row>
    <row r="503" spans="1:2">
      <c r="A503" s="20">
        <v>44477</v>
      </c>
      <c r="B503" s="43">
        <v>2.25</v>
      </c>
    </row>
    <row r="504" spans="1:2">
      <c r="A504" s="20">
        <v>44480</v>
      </c>
      <c r="B504" s="43">
        <v>2.3085</v>
      </c>
    </row>
    <row r="505" spans="1:2">
      <c r="A505" s="20">
        <v>44481</v>
      </c>
      <c r="B505" s="43">
        <v>2.3578999999999999</v>
      </c>
    </row>
    <row r="506" spans="1:2">
      <c r="A506" s="20">
        <v>44482</v>
      </c>
      <c r="B506" s="43">
        <v>2.3081999999999998</v>
      </c>
    </row>
    <row r="507" spans="1:2">
      <c r="A507" s="20">
        <v>44483</v>
      </c>
      <c r="B507" s="43">
        <v>2.3344</v>
      </c>
    </row>
    <row r="508" spans="1:2">
      <c r="A508" s="20">
        <v>44484</v>
      </c>
      <c r="B508" s="43">
        <v>2.3662000000000001</v>
      </c>
    </row>
    <row r="509" spans="1:2">
      <c r="A509" s="20">
        <v>44487</v>
      </c>
      <c r="B509" s="43">
        <v>2.3778999999999999</v>
      </c>
    </row>
    <row r="510" spans="1:2">
      <c r="A510" s="20">
        <v>44488</v>
      </c>
      <c r="B510" s="43">
        <v>2.3828999999999998</v>
      </c>
    </row>
    <row r="511" spans="1:2">
      <c r="A511" s="20">
        <v>44489</v>
      </c>
      <c r="B511" s="43">
        <v>2.4055</v>
      </c>
    </row>
    <row r="512" spans="1:2">
      <c r="A512" s="20">
        <v>44490</v>
      </c>
      <c r="B512" s="43">
        <v>2.3824000000000001</v>
      </c>
    </row>
    <row r="513" spans="1:2">
      <c r="A513" s="20">
        <v>44491</v>
      </c>
      <c r="B513" s="43">
        <v>2.4251</v>
      </c>
    </row>
    <row r="514" spans="1:2">
      <c r="A514" s="20">
        <v>44494</v>
      </c>
      <c r="B514" s="43">
        <v>2.4222999999999999</v>
      </c>
    </row>
    <row r="515" spans="1:2">
      <c r="A515" s="20">
        <v>44495</v>
      </c>
      <c r="B515" s="43">
        <v>2.4176000000000002</v>
      </c>
    </row>
    <row r="516" spans="1:2">
      <c r="A516" s="20">
        <v>44496</v>
      </c>
      <c r="B516" s="43">
        <v>2.4468999999999999</v>
      </c>
    </row>
    <row r="517" spans="1:2">
      <c r="A517" s="20">
        <v>44497</v>
      </c>
      <c r="B517" s="43">
        <v>2.419</v>
      </c>
    </row>
    <row r="518" spans="1:2">
      <c r="A518" s="20">
        <v>44498</v>
      </c>
      <c r="B518" s="43">
        <v>2.4156</v>
      </c>
    </row>
    <row r="519" spans="1:2">
      <c r="A519" s="20">
        <v>44501</v>
      </c>
      <c r="B519" s="43">
        <v>2.4426999999999999</v>
      </c>
    </row>
    <row r="520" spans="1:2">
      <c r="A520" s="20">
        <v>44502</v>
      </c>
      <c r="B520" s="43">
        <v>2.4472</v>
      </c>
    </row>
    <row r="521" spans="1:2">
      <c r="A521" s="20">
        <v>44503</v>
      </c>
      <c r="B521" s="43">
        <v>2.3792</v>
      </c>
    </row>
    <row r="522" spans="1:2">
      <c r="A522" s="20">
        <v>44504</v>
      </c>
      <c r="B522" s="43">
        <v>2.3589000000000002</v>
      </c>
    </row>
    <row r="523" spans="1:2">
      <c r="A523" s="20">
        <v>44505</v>
      </c>
      <c r="B523" s="43">
        <v>2.3696999999999999</v>
      </c>
    </row>
    <row r="524" spans="1:2">
      <c r="A524" s="20">
        <v>44508</v>
      </c>
      <c r="B524" s="43">
        <v>2.4093</v>
      </c>
    </row>
    <row r="525" spans="1:2">
      <c r="A525" s="20">
        <v>44509</v>
      </c>
      <c r="B525" s="43">
        <v>2.4500999999999999</v>
      </c>
    </row>
    <row r="526" spans="1:2">
      <c r="A526" s="20">
        <v>44510</v>
      </c>
      <c r="B526" s="43">
        <v>2.3384999999999998</v>
      </c>
    </row>
    <row r="527" spans="1:2">
      <c r="A527" s="20">
        <v>44511</v>
      </c>
      <c r="B527" s="43">
        <v>2.2926000000000002</v>
      </c>
    </row>
    <row r="528" spans="1:2">
      <c r="A528" s="20">
        <v>44512</v>
      </c>
      <c r="B528" s="43">
        <v>2.3209</v>
      </c>
    </row>
    <row r="529" spans="1:2">
      <c r="A529" s="20">
        <v>44515</v>
      </c>
      <c r="B529" s="43">
        <v>2.3222</v>
      </c>
    </row>
    <row r="530" spans="1:2">
      <c r="A530" s="20">
        <v>44516</v>
      </c>
      <c r="B530" s="43">
        <v>2.3752</v>
      </c>
    </row>
    <row r="531" spans="1:2">
      <c r="A531" s="20">
        <v>44517</v>
      </c>
      <c r="B531" s="43">
        <v>2.2646000000000002</v>
      </c>
    </row>
    <row r="532" spans="1:2">
      <c r="A532" s="20">
        <v>44518</v>
      </c>
      <c r="B532" s="43">
        <v>2.2806000000000002</v>
      </c>
    </row>
    <row r="533" spans="1:2">
      <c r="A533" s="20">
        <v>44519</v>
      </c>
      <c r="B533" s="43">
        <v>2.2685</v>
      </c>
    </row>
    <row r="534" spans="1:2">
      <c r="A534" s="20">
        <v>44522</v>
      </c>
      <c r="B534" s="43">
        <v>2.2761999999999998</v>
      </c>
    </row>
    <row r="535" spans="1:2">
      <c r="A535" s="20">
        <v>44523</v>
      </c>
      <c r="B535" s="43">
        <v>2.2936000000000001</v>
      </c>
    </row>
    <row r="536" spans="1:2">
      <c r="A536" s="20">
        <v>44524</v>
      </c>
      <c r="B536" s="43">
        <v>2.2305000000000001</v>
      </c>
    </row>
    <row r="537" spans="1:2">
      <c r="A537" s="20">
        <v>44525</v>
      </c>
      <c r="B537" s="43">
        <v>2.2427000000000001</v>
      </c>
    </row>
    <row r="538" spans="1:2">
      <c r="A538" s="20">
        <v>44526</v>
      </c>
      <c r="B538" s="43">
        <v>2.1568999999999998</v>
      </c>
    </row>
    <row r="539" spans="1:2">
      <c r="A539" s="20">
        <v>44529</v>
      </c>
      <c r="B539" s="43">
        <v>2.2033</v>
      </c>
    </row>
    <row r="540" spans="1:2">
      <c r="A540" s="20">
        <v>44530</v>
      </c>
      <c r="B540" s="43">
        <v>2.2783000000000002</v>
      </c>
    </row>
    <row r="541" spans="1:2">
      <c r="A541" s="20">
        <v>44531</v>
      </c>
      <c r="B541" s="43">
        <v>2.2658999999999998</v>
      </c>
    </row>
    <row r="542" spans="1:2">
      <c r="A542" s="20">
        <v>44532</v>
      </c>
      <c r="B542" s="43">
        <v>1.9811000000000001</v>
      </c>
    </row>
    <row r="543" spans="1:2">
      <c r="A543" s="20">
        <v>44533</v>
      </c>
      <c r="B543" s="43">
        <v>2.0329999999999999</v>
      </c>
    </row>
    <row r="544" spans="1:2">
      <c r="A544" s="20">
        <v>44536</v>
      </c>
      <c r="B544" s="43">
        <v>1.9400999999999999</v>
      </c>
    </row>
    <row r="545" spans="1:2">
      <c r="A545" s="20">
        <v>44537</v>
      </c>
      <c r="B545" s="43">
        <v>1.9511000000000001</v>
      </c>
    </row>
    <row r="546" spans="1:2">
      <c r="A546" s="20">
        <v>44538</v>
      </c>
      <c r="B546" s="43">
        <v>1.9677</v>
      </c>
    </row>
    <row r="547" spans="1:2">
      <c r="A547" s="20">
        <v>44539</v>
      </c>
      <c r="B547" s="43">
        <v>1.9529000000000001</v>
      </c>
    </row>
    <row r="548" spans="1:2">
      <c r="A548" s="20">
        <v>44540</v>
      </c>
      <c r="B548" s="43">
        <v>2.0432999999999999</v>
      </c>
    </row>
    <row r="549" spans="1:2">
      <c r="A549" s="20">
        <v>44543</v>
      </c>
      <c r="B549" s="43">
        <v>2.1</v>
      </c>
    </row>
    <row r="550" spans="1:2">
      <c r="A550" s="20">
        <v>44544</v>
      </c>
      <c r="B550" s="43">
        <v>2.1484999999999999</v>
      </c>
    </row>
    <row r="551" spans="1:2">
      <c r="A551" s="20">
        <v>44545</v>
      </c>
      <c r="B551" s="43">
        <v>2.1284000000000001</v>
      </c>
    </row>
    <row r="552" spans="1:2">
      <c r="A552" s="20">
        <v>44546</v>
      </c>
      <c r="B552" s="43">
        <v>2.1372</v>
      </c>
    </row>
    <row r="553" spans="1:2">
      <c r="A553" s="20">
        <v>44547</v>
      </c>
      <c r="B553" s="43">
        <v>2.1164999999999998</v>
      </c>
    </row>
    <row r="554" spans="1:2">
      <c r="A554" s="20">
        <v>44550</v>
      </c>
      <c r="B554" s="43">
        <v>2.1107999999999998</v>
      </c>
    </row>
    <row r="555" spans="1:2">
      <c r="A555" s="20">
        <v>44551</v>
      </c>
      <c r="B555" s="43">
        <v>2.1122999999999998</v>
      </c>
    </row>
    <row r="556" spans="1:2">
      <c r="A556" s="20">
        <v>44552</v>
      </c>
      <c r="B556" s="43">
        <v>2.1644000000000001</v>
      </c>
    </row>
    <row r="557" spans="1:2">
      <c r="A557" s="20">
        <v>44553</v>
      </c>
      <c r="B557" s="43">
        <v>2.1126</v>
      </c>
    </row>
    <row r="558" spans="1:2">
      <c r="A558" s="20">
        <v>44554</v>
      </c>
      <c r="B558" s="43">
        <v>2.0785999999999998</v>
      </c>
    </row>
    <row r="559" spans="1:2">
      <c r="A559" s="20">
        <v>44557</v>
      </c>
      <c r="B559" s="43">
        <v>2.1448</v>
      </c>
    </row>
    <row r="560" spans="1:2">
      <c r="A560" s="20">
        <v>44558</v>
      </c>
      <c r="B560" s="43">
        <v>2.165</v>
      </c>
    </row>
    <row r="561" spans="1:2">
      <c r="A561" s="20">
        <v>44559</v>
      </c>
      <c r="B561" s="43">
        <v>2.2033</v>
      </c>
    </row>
    <row r="562" spans="1:2">
      <c r="A562" s="20">
        <v>44560</v>
      </c>
      <c r="B562" s="43">
        <v>2.2303999999999999</v>
      </c>
    </row>
    <row r="563" spans="1:2">
      <c r="A563" s="20">
        <v>44561</v>
      </c>
      <c r="B563" s="43">
        <v>2.246</v>
      </c>
    </row>
    <row r="564" spans="1:2">
      <c r="A564" s="20">
        <v>44564</v>
      </c>
      <c r="B564" s="43">
        <v>2.2665999999999999</v>
      </c>
    </row>
    <row r="565" spans="1:2">
      <c r="A565" s="20">
        <v>44565</v>
      </c>
      <c r="B565" s="43">
        <v>2.2913999999999999</v>
      </c>
    </row>
    <row r="566" spans="1:2">
      <c r="A566" s="20">
        <v>44566</v>
      </c>
      <c r="B566" s="43">
        <v>2.2246000000000001</v>
      </c>
    </row>
    <row r="567" spans="1:2">
      <c r="A567" s="20">
        <v>44567</v>
      </c>
      <c r="B567" s="43">
        <v>2.2565</v>
      </c>
    </row>
    <row r="568" spans="1:2">
      <c r="A568" s="20">
        <v>44568</v>
      </c>
      <c r="B568" s="43">
        <v>2.2763</v>
      </c>
    </row>
    <row r="569" spans="1:2">
      <c r="A569" s="20">
        <v>44571</v>
      </c>
      <c r="B569" s="43">
        <v>2.2921</v>
      </c>
    </row>
    <row r="570" spans="1:2">
      <c r="A570" s="20">
        <v>44572</v>
      </c>
      <c r="B570" s="43">
        <v>2.3043</v>
      </c>
    </row>
    <row r="571" spans="1:2">
      <c r="A571" s="20">
        <v>44573</v>
      </c>
      <c r="B571" s="43">
        <v>2.2989000000000002</v>
      </c>
    </row>
    <row r="572" spans="1:2">
      <c r="A572" s="20">
        <v>44574</v>
      </c>
      <c r="B572" s="43">
        <v>2.2753999999999999</v>
      </c>
    </row>
    <row r="573" spans="1:2">
      <c r="A573" s="20">
        <v>44575</v>
      </c>
      <c r="B573" s="43">
        <v>2.3574000000000002</v>
      </c>
    </row>
    <row r="574" spans="1:2">
      <c r="A574" s="20">
        <v>44578</v>
      </c>
      <c r="B574" s="43">
        <v>2.3908</v>
      </c>
    </row>
    <row r="575" spans="1:2">
      <c r="A575" s="20">
        <v>44579</v>
      </c>
      <c r="B575" s="43">
        <v>2.3877000000000002</v>
      </c>
    </row>
    <row r="576" spans="1:2">
      <c r="A576" s="20">
        <v>44580</v>
      </c>
      <c r="B576" s="43">
        <v>2.4237000000000002</v>
      </c>
    </row>
    <row r="577" spans="1:2">
      <c r="A577" s="20">
        <v>44581</v>
      </c>
      <c r="B577" s="43">
        <v>2.4386999999999999</v>
      </c>
    </row>
    <row r="578" spans="1:2">
      <c r="A578" s="20">
        <v>44582</v>
      </c>
      <c r="B578" s="43">
        <v>2.4615</v>
      </c>
    </row>
    <row r="579" spans="1:2">
      <c r="A579" s="20">
        <v>44585</v>
      </c>
      <c r="B579" s="43">
        <v>2.4662000000000002</v>
      </c>
    </row>
    <row r="580" spans="1:2">
      <c r="A580" s="20">
        <v>44586</v>
      </c>
      <c r="B580" s="43">
        <v>2.4464999999999999</v>
      </c>
    </row>
    <row r="581" spans="1:2">
      <c r="A581" s="20">
        <v>44587</v>
      </c>
      <c r="B581" s="43">
        <v>2.4020999999999999</v>
      </c>
    </row>
    <row r="582" spans="1:2">
      <c r="A582" s="20">
        <v>44588</v>
      </c>
      <c r="B582" s="43">
        <v>2.4626000000000001</v>
      </c>
    </row>
    <row r="583" spans="1:2">
      <c r="A583" s="20">
        <v>44589</v>
      </c>
      <c r="B583" s="43">
        <v>2.5232000000000001</v>
      </c>
    </row>
    <row r="584" spans="1:2">
      <c r="A584" s="20">
        <v>44592</v>
      </c>
      <c r="B584" s="43">
        <v>2.5209999999999999</v>
      </c>
    </row>
    <row r="585" spans="1:2">
      <c r="A585" s="20">
        <v>44593</v>
      </c>
      <c r="B585" s="43">
        <v>2.5379</v>
      </c>
    </row>
    <row r="586" spans="1:2">
      <c r="A586" s="20">
        <v>44594</v>
      </c>
      <c r="B586" s="43">
        <v>2.5543999999999998</v>
      </c>
    </row>
    <row r="587" spans="1:2">
      <c r="A587" s="20">
        <v>44595</v>
      </c>
      <c r="B587" s="43">
        <v>2.5752000000000002</v>
      </c>
    </row>
    <row r="588" spans="1:2">
      <c r="A588" s="20">
        <v>44596</v>
      </c>
      <c r="B588" s="43">
        <v>2.6070000000000002</v>
      </c>
    </row>
    <row r="589" spans="1:2">
      <c r="A589" s="20">
        <v>44599</v>
      </c>
      <c r="B589" s="43">
        <v>2.6427</v>
      </c>
    </row>
    <row r="590" spans="1:2">
      <c r="A590" s="20">
        <v>44600</v>
      </c>
      <c r="B590" s="43">
        <v>2.6785000000000001</v>
      </c>
    </row>
    <row r="591" spans="1:2">
      <c r="A591" s="20">
        <v>44601</v>
      </c>
      <c r="B591" s="43">
        <v>2.6852999999999998</v>
      </c>
    </row>
    <row r="592" spans="1:2">
      <c r="A592" s="20">
        <v>44602</v>
      </c>
      <c r="B592" s="43">
        <v>2.6251000000000002</v>
      </c>
    </row>
    <row r="593" spans="1:2">
      <c r="A593" s="20">
        <v>44603</v>
      </c>
      <c r="B593" s="43">
        <v>2.6534</v>
      </c>
    </row>
    <row r="594" spans="1:2">
      <c r="A594" s="20">
        <v>44606</v>
      </c>
      <c r="B594" s="43">
        <v>2.6654</v>
      </c>
    </row>
    <row r="595" spans="1:2">
      <c r="A595" s="20">
        <v>44607</v>
      </c>
      <c r="B595" s="43">
        <v>2.7385999999999999</v>
      </c>
    </row>
    <row r="596" spans="1:2">
      <c r="A596" s="20">
        <v>44608</v>
      </c>
      <c r="B596" s="43">
        <v>2.9068000000000001</v>
      </c>
    </row>
    <row r="597" spans="1:2">
      <c r="A597" s="20">
        <v>44609</v>
      </c>
      <c r="B597" s="43">
        <v>2.8094999999999999</v>
      </c>
    </row>
    <row r="598" spans="1:2">
      <c r="A598" s="20">
        <v>44610</v>
      </c>
      <c r="B598" s="43">
        <v>2.8283</v>
      </c>
    </row>
    <row r="599" spans="1:2">
      <c r="A599" s="20">
        <v>44613</v>
      </c>
      <c r="B599" s="43">
        <v>2.7959999999999998</v>
      </c>
    </row>
    <row r="600" spans="1:2">
      <c r="A600" s="20">
        <v>44614</v>
      </c>
      <c r="B600" s="43">
        <v>2.8119000000000001</v>
      </c>
    </row>
    <row r="601" spans="1:2">
      <c r="A601" s="20">
        <v>44615</v>
      </c>
      <c r="B601" s="43">
        <v>2.8542999999999998</v>
      </c>
    </row>
    <row r="602" spans="1:2">
      <c r="A602" s="20">
        <v>44616</v>
      </c>
      <c r="B602" s="43">
        <v>2.8759999999999999</v>
      </c>
    </row>
    <row r="603" spans="1:2">
      <c r="A603" s="20">
        <v>44617</v>
      </c>
      <c r="B603" s="43">
        <v>2.9165000000000001</v>
      </c>
    </row>
    <row r="604" spans="1:2">
      <c r="A604" s="20">
        <v>44620</v>
      </c>
      <c r="B604" s="43">
        <v>2.8740999999999999</v>
      </c>
    </row>
    <row r="605" spans="1:2">
      <c r="A605" s="20">
        <v>44621</v>
      </c>
      <c r="B605" s="43">
        <v>2.9325000000000001</v>
      </c>
    </row>
    <row r="606" spans="1:2">
      <c r="A606" s="20">
        <v>44622</v>
      </c>
      <c r="B606" s="43">
        <v>3.0886999999999998</v>
      </c>
    </row>
    <row r="607" spans="1:2">
      <c r="A607" s="20">
        <v>44623</v>
      </c>
      <c r="B607" s="43">
        <v>3.3083</v>
      </c>
    </row>
    <row r="608" spans="1:2">
      <c r="A608" s="20">
        <v>44624</v>
      </c>
      <c r="B608" s="43">
        <v>3.2844000000000002</v>
      </c>
    </row>
    <row r="609" spans="1:2">
      <c r="A609" s="20">
        <v>44627</v>
      </c>
      <c r="B609" s="43">
        <v>3.544</v>
      </c>
    </row>
    <row r="610" spans="1:2">
      <c r="A610" s="20">
        <v>44628</v>
      </c>
      <c r="B610" s="43">
        <v>3.5720999999999998</v>
      </c>
    </row>
    <row r="611" spans="1:2">
      <c r="A611" s="20">
        <v>44629</v>
      </c>
      <c r="B611" s="43">
        <v>3.6825999999999999</v>
      </c>
    </row>
    <row r="612" spans="1:2">
      <c r="A612" s="20">
        <v>44630</v>
      </c>
      <c r="B612" s="43">
        <v>3.2938000000000001</v>
      </c>
    </row>
    <row r="613" spans="1:2">
      <c r="A613" s="20">
        <v>44631</v>
      </c>
      <c r="B613" s="43">
        <v>3.1566999999999998</v>
      </c>
    </row>
    <row r="614" spans="1:2">
      <c r="A614" s="20">
        <v>44634</v>
      </c>
      <c r="B614" s="43">
        <v>3.3121</v>
      </c>
    </row>
    <row r="615" spans="1:2">
      <c r="A615" s="20">
        <v>44635</v>
      </c>
      <c r="B615" s="43">
        <v>3.1339000000000001</v>
      </c>
    </row>
    <row r="616" spans="1:2">
      <c r="A616" s="20">
        <v>44636</v>
      </c>
      <c r="B616" s="43">
        <v>2.9657</v>
      </c>
    </row>
    <row r="617" spans="1:2">
      <c r="A617" s="20">
        <v>44637</v>
      </c>
      <c r="B617" s="43">
        <v>2.952</v>
      </c>
    </row>
    <row r="618" spans="1:2">
      <c r="A618" s="20">
        <v>44638</v>
      </c>
      <c r="B618" s="43">
        <v>3.1821999999999999</v>
      </c>
    </row>
    <row r="619" spans="1:2">
      <c r="A619" s="20">
        <v>44641</v>
      </c>
      <c r="B619" s="43">
        <v>3.2059000000000002</v>
      </c>
    </row>
    <row r="620" spans="1:2">
      <c r="A620" s="20">
        <v>44642</v>
      </c>
      <c r="B620" s="43">
        <v>3.3378999999999999</v>
      </c>
    </row>
    <row r="621" spans="1:2">
      <c r="A621" s="20">
        <v>44643</v>
      </c>
      <c r="B621" s="43">
        <v>3.3046000000000002</v>
      </c>
    </row>
    <row r="622" spans="1:2">
      <c r="A622" s="20">
        <v>44644</v>
      </c>
      <c r="B622" s="43">
        <v>3.4195000000000002</v>
      </c>
    </row>
    <row r="623" spans="1:2">
      <c r="A623" s="20">
        <v>44645</v>
      </c>
      <c r="B623" s="43">
        <v>3.3689</v>
      </c>
    </row>
    <row r="624" spans="1:2">
      <c r="A624" s="20">
        <v>44648</v>
      </c>
      <c r="B624" s="43">
        <v>3.4363000000000001</v>
      </c>
    </row>
    <row r="625" spans="1:2">
      <c r="A625" s="20">
        <v>44649</v>
      </c>
      <c r="B625" s="43">
        <v>3.1962000000000002</v>
      </c>
    </row>
    <row r="626" spans="1:2">
      <c r="A626" s="20">
        <v>44650</v>
      </c>
      <c r="B626" s="43">
        <v>3.1766999999999999</v>
      </c>
    </row>
    <row r="627" spans="1:2">
      <c r="A627" s="20">
        <v>44651</v>
      </c>
      <c r="B627" s="43">
        <v>3.2864</v>
      </c>
    </row>
    <row r="628" spans="1:2">
      <c r="A628" s="20">
        <v>44652</v>
      </c>
      <c r="B628" s="43">
        <v>3.1509</v>
      </c>
    </row>
    <row r="629" spans="1:2">
      <c r="A629" s="20">
        <v>44655</v>
      </c>
      <c r="B629" s="43">
        <v>3.1535000000000002</v>
      </c>
    </row>
    <row r="630" spans="1:2">
      <c r="A630" s="20">
        <v>44656</v>
      </c>
      <c r="B630" s="43">
        <v>3.1981000000000002</v>
      </c>
    </row>
    <row r="631" spans="1:2">
      <c r="A631" s="20">
        <v>44657</v>
      </c>
      <c r="B631" s="43">
        <v>3.1648999999999998</v>
      </c>
    </row>
    <row r="632" spans="1:2">
      <c r="A632" s="20">
        <v>44658</v>
      </c>
      <c r="B632" s="43">
        <v>3.0461999999999998</v>
      </c>
    </row>
    <row r="633" spans="1:2">
      <c r="A633" s="20">
        <v>44659</v>
      </c>
      <c r="B633" s="43">
        <v>3.0398000000000001</v>
      </c>
    </row>
    <row r="634" spans="1:2">
      <c r="A634" s="20">
        <v>44662</v>
      </c>
      <c r="B634" s="43">
        <v>3.1316000000000002</v>
      </c>
    </row>
    <row r="635" spans="1:2">
      <c r="A635" s="20">
        <v>44663</v>
      </c>
      <c r="B635" s="43">
        <v>3.0030999999999999</v>
      </c>
    </row>
    <row r="636" spans="1:2">
      <c r="A636" s="20">
        <v>44664</v>
      </c>
      <c r="B636" s="43">
        <v>3.1537999999999999</v>
      </c>
    </row>
    <row r="637" spans="1:2">
      <c r="A637" s="20">
        <v>44665</v>
      </c>
      <c r="B637" s="43">
        <v>3.2913000000000001</v>
      </c>
    </row>
    <row r="638" spans="1:2">
      <c r="A638" s="20">
        <v>44669</v>
      </c>
      <c r="B638" s="43">
        <v>3.3814000000000002</v>
      </c>
    </row>
    <row r="639" spans="1:2">
      <c r="A639" s="20">
        <v>44670</v>
      </c>
      <c r="B639" s="43">
        <v>3.3580000000000001</v>
      </c>
    </row>
    <row r="640" spans="1:2">
      <c r="A640" s="20">
        <v>44671</v>
      </c>
      <c r="B640" s="43">
        <v>3.2288999999999999</v>
      </c>
    </row>
    <row r="641" spans="1:2">
      <c r="A641" s="20">
        <v>44672</v>
      </c>
      <c r="B641" s="43">
        <v>3.2618</v>
      </c>
    </row>
    <row r="642" spans="1:2">
      <c r="A642" s="20">
        <v>44673</v>
      </c>
      <c r="B642" s="43">
        <v>3.3174999999999999</v>
      </c>
    </row>
    <row r="643" spans="1:2">
      <c r="A643" s="20">
        <v>44676</v>
      </c>
      <c r="B643" s="43">
        <v>3.286</v>
      </c>
    </row>
    <row r="644" spans="1:2">
      <c r="A644" s="20">
        <v>44677</v>
      </c>
      <c r="B644" s="43">
        <v>3.2206000000000001</v>
      </c>
    </row>
    <row r="645" spans="1:2">
      <c r="A645" s="20">
        <v>44678</v>
      </c>
      <c r="B645" s="43">
        <v>3.3109999999999999</v>
      </c>
    </row>
    <row r="646" spans="1:2">
      <c r="A646" s="20">
        <v>44679</v>
      </c>
      <c r="B646" s="43">
        <v>3.4135</v>
      </c>
    </row>
    <row r="647" spans="1:2">
      <c r="A647" s="20">
        <v>44680</v>
      </c>
      <c r="B647" s="43">
        <v>3.4759000000000002</v>
      </c>
    </row>
    <row r="648" spans="1:2">
      <c r="A648" s="20">
        <v>44683</v>
      </c>
      <c r="B648" s="43">
        <v>3.4424000000000001</v>
      </c>
    </row>
    <row r="649" spans="1:2">
      <c r="A649" s="20">
        <v>44684</v>
      </c>
      <c r="B649" s="43">
        <v>3.5101</v>
      </c>
    </row>
    <row r="650" spans="1:2">
      <c r="A650" s="20">
        <v>44685</v>
      </c>
      <c r="B650" s="43">
        <v>3.5011999999999999</v>
      </c>
    </row>
    <row r="651" spans="1:2">
      <c r="A651" s="20">
        <v>44686</v>
      </c>
      <c r="B651" s="43">
        <v>3.6522999999999999</v>
      </c>
    </row>
    <row r="652" spans="1:2">
      <c r="A652" s="20">
        <v>44687</v>
      </c>
      <c r="B652" s="43">
        <v>3.6587000000000001</v>
      </c>
    </row>
    <row r="653" spans="1:2">
      <c r="A653" s="20">
        <v>44690</v>
      </c>
      <c r="B653" s="43">
        <v>3.7589999999999999</v>
      </c>
    </row>
    <row r="654" spans="1:2">
      <c r="A654" s="20">
        <v>44691</v>
      </c>
      <c r="B654" s="43">
        <v>3.6419000000000001</v>
      </c>
    </row>
    <row r="655" spans="1:2">
      <c r="A655" s="20">
        <v>44692</v>
      </c>
      <c r="B655" s="43">
        <v>3.5415000000000001</v>
      </c>
    </row>
    <row r="656" spans="1:2">
      <c r="A656" s="20">
        <v>44693</v>
      </c>
      <c r="B656" s="43">
        <v>3.6855000000000002</v>
      </c>
    </row>
    <row r="657" spans="1:2">
      <c r="A657" s="20">
        <v>44694</v>
      </c>
      <c r="B657" s="43">
        <v>3.7917000000000001</v>
      </c>
    </row>
    <row r="658" spans="1:2">
      <c r="A658" s="20">
        <v>44697</v>
      </c>
      <c r="B658" s="43">
        <v>3.9578000000000002</v>
      </c>
    </row>
    <row r="659" spans="1:2">
      <c r="A659" s="20">
        <v>44698</v>
      </c>
      <c r="B659" s="43">
        <v>3.8405</v>
      </c>
    </row>
    <row r="660" spans="1:2">
      <c r="A660" s="20">
        <v>44699</v>
      </c>
      <c r="B660" s="43">
        <v>3.7763</v>
      </c>
    </row>
    <row r="661" spans="1:2">
      <c r="A661" s="20">
        <v>44700</v>
      </c>
      <c r="B661" s="43">
        <v>3.5912999999999999</v>
      </c>
    </row>
    <row r="662" spans="1:2">
      <c r="A662" s="20">
        <v>44701</v>
      </c>
      <c r="B662" s="43">
        <v>3.6776</v>
      </c>
    </row>
    <row r="663" spans="1:2">
      <c r="A663" s="20">
        <v>44704</v>
      </c>
      <c r="B663" s="43">
        <v>3.6897000000000002</v>
      </c>
    </row>
    <row r="664" spans="1:2">
      <c r="A664" s="20">
        <v>44705</v>
      </c>
      <c r="B664" s="43">
        <v>3.6802000000000001</v>
      </c>
    </row>
    <row r="665" spans="1:2">
      <c r="A665" s="20">
        <v>44706</v>
      </c>
      <c r="B665" s="43">
        <v>3.6897000000000002</v>
      </c>
    </row>
    <row r="666" spans="1:2">
      <c r="A666" s="20">
        <v>44707</v>
      </c>
      <c r="B666" s="43">
        <v>3.7252999999999998</v>
      </c>
    </row>
    <row r="667" spans="1:2">
      <c r="A667" s="20">
        <v>44708</v>
      </c>
      <c r="B667" s="43">
        <v>3.7924000000000002</v>
      </c>
    </row>
    <row r="668" spans="1:2">
      <c r="A668" s="20">
        <v>44711</v>
      </c>
      <c r="B668" s="43">
        <v>3.9119000000000002</v>
      </c>
    </row>
    <row r="669" spans="1:2">
      <c r="A669" s="20">
        <v>44712</v>
      </c>
      <c r="B669" s="43">
        <v>3.9161999999999999</v>
      </c>
    </row>
    <row r="670" spans="1:2">
      <c r="A670" s="20">
        <v>44713</v>
      </c>
      <c r="B670" s="43">
        <v>4.0716000000000001</v>
      </c>
    </row>
    <row r="671" spans="1:2">
      <c r="A671" s="20">
        <v>44714</v>
      </c>
      <c r="B671" s="43">
        <v>4.1909000000000001</v>
      </c>
    </row>
    <row r="672" spans="1:2">
      <c r="A672" s="20">
        <v>44715</v>
      </c>
      <c r="B672" s="43">
        <v>4.2522000000000002</v>
      </c>
    </row>
    <row r="673" spans="1:2">
      <c r="A673" s="20">
        <v>44718</v>
      </c>
      <c r="B673" s="43">
        <v>4.1929999999999996</v>
      </c>
    </row>
    <row r="674" spans="1:2">
      <c r="A674" s="20">
        <v>44719</v>
      </c>
      <c r="B674" s="43">
        <v>4.1577000000000002</v>
      </c>
    </row>
    <row r="675" spans="1:2">
      <c r="A675" s="20">
        <v>44720</v>
      </c>
      <c r="B675" s="43">
        <v>4.2218999999999998</v>
      </c>
    </row>
    <row r="676" spans="1:2">
      <c r="A676" s="20">
        <v>44721</v>
      </c>
      <c r="B676" s="43">
        <v>4.2762000000000002</v>
      </c>
    </row>
    <row r="677" spans="1:2">
      <c r="A677" s="20">
        <v>44722</v>
      </c>
      <c r="B677" s="43">
        <v>4.1722000000000001</v>
      </c>
    </row>
    <row r="678" spans="1:2">
      <c r="A678" s="20">
        <v>44725</v>
      </c>
      <c r="B678" s="43">
        <v>4.0353000000000003</v>
      </c>
    </row>
    <row r="679" spans="1:2">
      <c r="A679" s="20">
        <v>44726</v>
      </c>
      <c r="B679" s="43">
        <v>3.9937999999999998</v>
      </c>
    </row>
    <row r="680" spans="1:2">
      <c r="A680" s="20">
        <v>44727</v>
      </c>
      <c r="B680" s="43">
        <v>3.8942000000000001</v>
      </c>
    </row>
    <row r="681" spans="1:2">
      <c r="A681" s="20">
        <v>44728</v>
      </c>
      <c r="B681" s="43">
        <v>3.9558</v>
      </c>
    </row>
    <row r="682" spans="1:2">
      <c r="A682" s="20">
        <v>44729</v>
      </c>
      <c r="B682" s="43">
        <v>3.7930000000000001</v>
      </c>
    </row>
    <row r="683" spans="1:2">
      <c r="A683" s="20">
        <v>44733</v>
      </c>
      <c r="B683" s="43">
        <v>3.69</v>
      </c>
    </row>
    <row r="684" spans="1:2">
      <c r="A684" s="20">
        <v>44734</v>
      </c>
      <c r="B684" s="43">
        <v>3.7298</v>
      </c>
    </row>
    <row r="685" spans="1:2">
      <c r="A685" s="20">
        <v>44735</v>
      </c>
      <c r="B685" s="43">
        <v>3.661</v>
      </c>
    </row>
    <row r="686" spans="1:2">
      <c r="A686" s="20">
        <v>44736</v>
      </c>
      <c r="B686" s="43">
        <v>3.72</v>
      </c>
    </row>
    <row r="687" spans="1:2">
      <c r="A687" s="20">
        <v>44739</v>
      </c>
      <c r="B687" s="43">
        <v>3.73</v>
      </c>
    </row>
  </sheetData>
  <pageMargins left="0.7" right="0.7" top="0.75" bottom="0.75" header="0.3" footer="0.3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8B16D4-E1DB-4310-B4A7-4EA914062D2F}">
  <sheetPr codeName="Sheet4"/>
  <dimension ref="A1:M687"/>
  <sheetViews>
    <sheetView topLeftCell="A73" workbookViewId="0">
      <selection activeCell="L99" sqref="L99"/>
    </sheetView>
  </sheetViews>
  <sheetFormatPr defaultRowHeight="15.75"/>
  <cols>
    <col min="1" max="1" width="12.375" bestFit="1" customWidth="1"/>
    <col min="2" max="2" width="11.5" style="43" bestFit="1" customWidth="1"/>
    <col min="3" max="3" width="9" style="104"/>
    <col min="4" max="4" width="12.375" style="104" bestFit="1" customWidth="1"/>
    <col min="5" max="5" width="8.5" style="105" bestFit="1" customWidth="1"/>
    <col min="6" max="6" width="9.125" style="105" bestFit="1" customWidth="1"/>
    <col min="7" max="7" width="9.25" style="105" bestFit="1" customWidth="1"/>
    <col min="8" max="9" width="9" style="104"/>
    <col min="10" max="10" width="12.375" style="104" bestFit="1" customWidth="1"/>
    <col min="11" max="11" width="13.125" style="104" bestFit="1" customWidth="1"/>
    <col min="12" max="12" width="8.75" style="104" bestFit="1" customWidth="1"/>
    <col min="13" max="13" width="11.5" style="104" bestFit="1" customWidth="1"/>
    <col min="14" max="16384" width="9" style="104"/>
  </cols>
  <sheetData>
    <row r="1" spans="1:13">
      <c r="D1" s="1" t="s">
        <v>0</v>
      </c>
      <c r="E1" s="43" t="s">
        <v>72</v>
      </c>
      <c r="F1" s="43" t="s">
        <v>71</v>
      </c>
      <c r="G1"/>
      <c r="J1" s="1" t="s">
        <v>0</v>
      </c>
      <c r="K1" s="43" t="s">
        <v>73</v>
      </c>
      <c r="L1" s="43" t="s">
        <v>74</v>
      </c>
      <c r="M1"/>
    </row>
    <row r="2" spans="1:13">
      <c r="D2" s="20">
        <v>43769</v>
      </c>
      <c r="E2" s="43">
        <v>52.66</v>
      </c>
      <c r="F2" s="43">
        <v>1.5871</v>
      </c>
      <c r="G2"/>
      <c r="J2" s="20">
        <v>43769</v>
      </c>
      <c r="K2" s="43">
        <v>1.5871</v>
      </c>
      <c r="L2" s="43"/>
      <c r="M2"/>
    </row>
    <row r="3" spans="1:13">
      <c r="A3" s="1" t="s">
        <v>0</v>
      </c>
      <c r="B3" s="43" t="s">
        <v>69</v>
      </c>
      <c r="D3" s="20">
        <v>43770</v>
      </c>
      <c r="E3" s="43">
        <v>53.32</v>
      </c>
      <c r="F3" s="43">
        <v>1.6233</v>
      </c>
      <c r="G3"/>
      <c r="J3" s="20">
        <v>43770</v>
      </c>
      <c r="K3" s="43">
        <v>1.6233</v>
      </c>
      <c r="L3" s="43"/>
      <c r="M3"/>
    </row>
    <row r="4" spans="1:13">
      <c r="A4" s="20">
        <v>43769</v>
      </c>
      <c r="D4" s="20">
        <v>43773</v>
      </c>
      <c r="E4" s="43">
        <v>54.09</v>
      </c>
      <c r="F4" s="43">
        <v>1.6388</v>
      </c>
      <c r="G4"/>
      <c r="J4" s="20">
        <v>43773</v>
      </c>
      <c r="K4" s="43">
        <v>1.6388</v>
      </c>
      <c r="L4" s="43"/>
      <c r="M4"/>
    </row>
    <row r="5" spans="1:13">
      <c r="A5" s="20">
        <v>43770</v>
      </c>
      <c r="D5" s="20">
        <v>43774</v>
      </c>
      <c r="E5" s="43">
        <v>53.41</v>
      </c>
      <c r="F5" s="43">
        <v>1.5702</v>
      </c>
      <c r="G5"/>
      <c r="J5" s="20">
        <v>43774</v>
      </c>
      <c r="K5" s="43">
        <v>1.5702</v>
      </c>
      <c r="L5" s="43"/>
      <c r="M5"/>
    </row>
    <row r="6" spans="1:13">
      <c r="A6" s="20">
        <v>43773</v>
      </c>
      <c r="D6" s="20">
        <v>43775</v>
      </c>
      <c r="E6" s="43">
        <v>52.97</v>
      </c>
      <c r="F6" s="43">
        <v>1.5704</v>
      </c>
      <c r="G6"/>
      <c r="J6" s="20">
        <v>43775</v>
      </c>
      <c r="K6" s="43">
        <v>1.5704</v>
      </c>
      <c r="L6" s="43"/>
      <c r="M6"/>
    </row>
    <row r="7" spans="1:13">
      <c r="A7" s="20">
        <v>43774</v>
      </c>
      <c r="D7" s="20">
        <v>43776</v>
      </c>
      <c r="E7" s="43">
        <v>53.26</v>
      </c>
      <c r="F7" s="43">
        <v>1.5842000000000001</v>
      </c>
      <c r="G7"/>
      <c r="J7" s="20">
        <v>43776</v>
      </c>
      <c r="K7" s="43">
        <v>1.5842000000000001</v>
      </c>
      <c r="L7" s="43"/>
      <c r="M7"/>
    </row>
    <row r="8" spans="1:13">
      <c r="A8" s="20">
        <v>43775</v>
      </c>
      <c r="D8" s="20">
        <v>43777</v>
      </c>
      <c r="E8" s="43">
        <v>53.54</v>
      </c>
      <c r="F8" s="43">
        <v>1.5819000000000001</v>
      </c>
      <c r="G8"/>
      <c r="J8" s="20">
        <v>43777</v>
      </c>
      <c r="K8" s="43">
        <v>1.5819000000000001</v>
      </c>
      <c r="L8" s="43"/>
      <c r="M8"/>
    </row>
    <row r="9" spans="1:13">
      <c r="A9" s="20">
        <v>43776</v>
      </c>
      <c r="D9" s="20">
        <v>43780</v>
      </c>
      <c r="E9" s="43">
        <v>53.47</v>
      </c>
      <c r="F9" s="43">
        <v>1.5778000000000001</v>
      </c>
      <c r="G9"/>
      <c r="J9" s="20">
        <v>43780</v>
      </c>
      <c r="K9" s="43">
        <v>1.5778000000000001</v>
      </c>
      <c r="L9" s="43"/>
      <c r="M9"/>
    </row>
    <row r="10" spans="1:13">
      <c r="A10" s="20">
        <v>43777</v>
      </c>
      <c r="D10" s="20">
        <v>43781</v>
      </c>
      <c r="E10" s="43">
        <v>53.32</v>
      </c>
      <c r="F10" s="43">
        <v>1.5637000000000001</v>
      </c>
      <c r="G10"/>
      <c r="J10" s="20">
        <v>43781</v>
      </c>
      <c r="K10" s="43">
        <v>1.5637000000000001</v>
      </c>
      <c r="L10" s="43"/>
      <c r="M10"/>
    </row>
    <row r="11" spans="1:13">
      <c r="A11" s="20">
        <v>43780</v>
      </c>
      <c r="D11" s="20">
        <v>43782</v>
      </c>
      <c r="E11" s="43">
        <v>53.65</v>
      </c>
      <c r="F11" s="43">
        <v>1.569</v>
      </c>
      <c r="G11"/>
      <c r="J11" s="20">
        <v>43782</v>
      </c>
      <c r="K11" s="43">
        <v>1.569</v>
      </c>
      <c r="L11" s="43"/>
      <c r="M11"/>
    </row>
    <row r="12" spans="1:13">
      <c r="A12" s="20">
        <v>43781</v>
      </c>
      <c r="D12" s="20">
        <v>43783</v>
      </c>
      <c r="E12" s="43">
        <v>54.11</v>
      </c>
      <c r="F12" s="43">
        <v>1.6133</v>
      </c>
      <c r="G12"/>
      <c r="J12" s="20">
        <v>43783</v>
      </c>
      <c r="K12" s="43">
        <v>1.6133</v>
      </c>
      <c r="L12" s="43"/>
      <c r="M12"/>
    </row>
    <row r="13" spans="1:13">
      <c r="A13" s="20">
        <v>43782</v>
      </c>
      <c r="D13" s="20">
        <v>43784</v>
      </c>
      <c r="E13" s="43">
        <v>54.18</v>
      </c>
      <c r="F13" s="43">
        <v>1.6258999999999999</v>
      </c>
      <c r="G13"/>
      <c r="J13" s="20">
        <v>43784</v>
      </c>
      <c r="K13" s="43">
        <v>1.6258999999999999</v>
      </c>
      <c r="L13" s="43"/>
      <c r="M13"/>
    </row>
    <row r="14" spans="1:13">
      <c r="A14" s="20">
        <v>43783</v>
      </c>
      <c r="D14" s="20">
        <v>43787</v>
      </c>
      <c r="E14" s="43">
        <v>54.27</v>
      </c>
      <c r="F14" s="43">
        <v>1.6355999999999999</v>
      </c>
      <c r="G14"/>
      <c r="J14" s="20">
        <v>43787</v>
      </c>
      <c r="K14" s="43">
        <v>1.6355999999999999</v>
      </c>
      <c r="L14" s="43"/>
      <c r="M14"/>
    </row>
    <row r="15" spans="1:13">
      <c r="A15" s="20">
        <v>43784</v>
      </c>
      <c r="D15" s="20">
        <v>43788</v>
      </c>
      <c r="E15" s="43">
        <v>54.12</v>
      </c>
      <c r="F15" s="43">
        <v>1.6344000000000001</v>
      </c>
      <c r="G15"/>
      <c r="J15" s="20">
        <v>43788</v>
      </c>
      <c r="K15" s="43">
        <v>1.6344000000000001</v>
      </c>
      <c r="L15" s="43"/>
      <c r="M15"/>
    </row>
    <row r="16" spans="1:13">
      <c r="A16" s="20">
        <v>43787</v>
      </c>
      <c r="D16" s="20">
        <v>43789</v>
      </c>
      <c r="E16" s="43">
        <v>54.09</v>
      </c>
      <c r="F16" s="43">
        <v>1.6415999999999999</v>
      </c>
      <c r="G16"/>
      <c r="J16" s="20">
        <v>43789</v>
      </c>
      <c r="K16" s="43">
        <v>1.6415999999999999</v>
      </c>
      <c r="L16" s="43"/>
      <c r="M16"/>
    </row>
    <row r="17" spans="1:13">
      <c r="A17" s="20">
        <v>43788</v>
      </c>
      <c r="D17" s="20">
        <v>43790</v>
      </c>
      <c r="E17" s="43">
        <v>54.04</v>
      </c>
      <c r="F17" s="43">
        <v>1.6645000000000001</v>
      </c>
      <c r="G17"/>
      <c r="J17" s="20">
        <v>43790</v>
      </c>
      <c r="K17" s="43">
        <v>1.6645000000000001</v>
      </c>
      <c r="L17" s="43"/>
      <c r="M17"/>
    </row>
    <row r="18" spans="1:13">
      <c r="A18" s="20">
        <v>43789</v>
      </c>
      <c r="D18" s="20">
        <v>43791</v>
      </c>
      <c r="E18" s="43">
        <v>54.01</v>
      </c>
      <c r="F18" s="43">
        <v>1.5946</v>
      </c>
      <c r="G18"/>
      <c r="J18" s="20">
        <v>43791</v>
      </c>
      <c r="K18" s="43">
        <v>1.5946</v>
      </c>
      <c r="L18" s="43"/>
      <c r="M18"/>
    </row>
    <row r="19" spans="1:13">
      <c r="A19" s="20">
        <v>43790</v>
      </c>
      <c r="D19" s="20">
        <v>43794</v>
      </c>
      <c r="E19" s="43">
        <v>56.22</v>
      </c>
      <c r="F19" s="43">
        <v>1.6556999999999999</v>
      </c>
      <c r="G19"/>
      <c r="J19" s="20">
        <v>43794</v>
      </c>
      <c r="K19" s="43">
        <v>1.6556999999999999</v>
      </c>
      <c r="L19" s="43"/>
      <c r="M19"/>
    </row>
    <row r="20" spans="1:13">
      <c r="A20" s="20">
        <v>43791</v>
      </c>
      <c r="D20" s="20">
        <v>43795</v>
      </c>
      <c r="E20" s="43">
        <v>56.54</v>
      </c>
      <c r="F20" s="43">
        <v>1.6637</v>
      </c>
      <c r="G20"/>
      <c r="J20" s="20">
        <v>43795</v>
      </c>
      <c r="K20" s="43">
        <v>1.6637</v>
      </c>
      <c r="L20" s="43"/>
      <c r="M20"/>
    </row>
    <row r="21" spans="1:13">
      <c r="A21" s="20">
        <v>43794</v>
      </c>
      <c r="D21" s="20">
        <v>43796</v>
      </c>
      <c r="E21" s="43">
        <v>57.16</v>
      </c>
      <c r="F21" s="43">
        <v>1.6746000000000001</v>
      </c>
      <c r="G21"/>
      <c r="J21" s="20">
        <v>43796</v>
      </c>
      <c r="K21" s="43">
        <v>1.6746000000000001</v>
      </c>
      <c r="L21" s="43"/>
      <c r="M21"/>
    </row>
    <row r="22" spans="1:13">
      <c r="A22" s="20">
        <v>43795</v>
      </c>
      <c r="D22" s="20">
        <v>43797</v>
      </c>
      <c r="E22" s="43">
        <v>56.41</v>
      </c>
      <c r="F22" s="43">
        <v>1.6262000000000001</v>
      </c>
      <c r="G22"/>
      <c r="J22" s="20">
        <v>43797</v>
      </c>
      <c r="K22" s="43">
        <v>1.6262000000000001</v>
      </c>
      <c r="L22" s="43"/>
      <c r="M22"/>
    </row>
    <row r="23" spans="1:13">
      <c r="A23" s="20">
        <v>43796</v>
      </c>
      <c r="D23" s="20">
        <v>43798</v>
      </c>
      <c r="E23" s="43">
        <v>57.04</v>
      </c>
      <c r="F23" s="43">
        <v>1.6355</v>
      </c>
      <c r="G23"/>
      <c r="J23" s="20">
        <v>43798</v>
      </c>
      <c r="K23" s="43">
        <v>1.6355</v>
      </c>
      <c r="L23" s="43"/>
      <c r="M23"/>
    </row>
    <row r="24" spans="1:13">
      <c r="A24" s="20">
        <v>43797</v>
      </c>
      <c r="D24" s="20">
        <v>43801</v>
      </c>
      <c r="E24" s="43">
        <v>57.11</v>
      </c>
      <c r="F24" s="43">
        <v>1.6336999999999999</v>
      </c>
      <c r="G24"/>
      <c r="J24" s="20">
        <v>43801</v>
      </c>
      <c r="K24" s="43">
        <v>1.6336999999999999</v>
      </c>
      <c r="L24" s="43"/>
      <c r="M24"/>
    </row>
    <row r="25" spans="1:13">
      <c r="A25" s="20">
        <v>43798</v>
      </c>
      <c r="D25" s="20">
        <v>43802</v>
      </c>
      <c r="E25" s="43">
        <v>56.85</v>
      </c>
      <c r="F25" s="43">
        <v>1.6099000000000001</v>
      </c>
      <c r="G25"/>
      <c r="J25" s="20">
        <v>43802</v>
      </c>
      <c r="K25" s="43">
        <v>1.6099000000000001</v>
      </c>
      <c r="L25" s="43"/>
      <c r="M25"/>
    </row>
    <row r="26" spans="1:13">
      <c r="A26" s="20">
        <v>43801</v>
      </c>
      <c r="D26" s="20">
        <v>43803</v>
      </c>
      <c r="E26" s="43">
        <v>56.81</v>
      </c>
      <c r="F26" s="43">
        <v>1.6144000000000001</v>
      </c>
      <c r="G26"/>
      <c r="J26" s="20">
        <v>43803</v>
      </c>
      <c r="K26" s="43">
        <v>1.6144000000000001</v>
      </c>
      <c r="L26" s="43"/>
      <c r="M26"/>
    </row>
    <row r="27" spans="1:13">
      <c r="A27" s="20">
        <v>43802</v>
      </c>
      <c r="D27" s="20">
        <v>43804</v>
      </c>
      <c r="E27" s="43">
        <v>57.01</v>
      </c>
      <c r="F27" s="43">
        <v>1.6309</v>
      </c>
      <c r="G27"/>
      <c r="J27" s="20">
        <v>43804</v>
      </c>
      <c r="K27" s="43">
        <v>1.6309</v>
      </c>
      <c r="L27" s="43"/>
      <c r="M27"/>
    </row>
    <row r="28" spans="1:13">
      <c r="A28" s="20">
        <v>43803</v>
      </c>
      <c r="D28" s="20">
        <v>43805</v>
      </c>
      <c r="E28" s="43">
        <v>56.83</v>
      </c>
      <c r="F28" s="43">
        <v>1.6115999999999999</v>
      </c>
      <c r="G28"/>
      <c r="J28" s="20">
        <v>43805</v>
      </c>
      <c r="K28" s="43">
        <v>1.6115999999999999</v>
      </c>
      <c r="L28" s="43"/>
      <c r="M28"/>
    </row>
    <row r="29" spans="1:13">
      <c r="A29" s="20">
        <v>43804</v>
      </c>
      <c r="D29" s="20">
        <v>43808</v>
      </c>
      <c r="E29" s="43">
        <v>57.31</v>
      </c>
      <c r="F29" s="43">
        <v>1.6308</v>
      </c>
      <c r="G29"/>
      <c r="J29" s="20">
        <v>43808</v>
      </c>
      <c r="K29" s="43">
        <v>1.6308</v>
      </c>
      <c r="L29" s="43"/>
      <c r="M29"/>
    </row>
    <row r="30" spans="1:13">
      <c r="A30" s="20">
        <v>43805</v>
      </c>
      <c r="D30" s="20">
        <v>43809</v>
      </c>
      <c r="E30" s="43">
        <v>57</v>
      </c>
      <c r="F30" s="43">
        <v>1.6160000000000001</v>
      </c>
      <c r="G30"/>
      <c r="J30" s="20">
        <v>43809</v>
      </c>
      <c r="K30" s="43">
        <v>1.6160000000000001</v>
      </c>
      <c r="L30" s="43"/>
      <c r="M30"/>
    </row>
    <row r="31" spans="1:13">
      <c r="A31" s="20">
        <v>43808</v>
      </c>
      <c r="D31" s="20">
        <v>43810</v>
      </c>
      <c r="E31" s="43">
        <v>56.28</v>
      </c>
      <c r="F31" s="43">
        <v>1.6036999999999999</v>
      </c>
      <c r="G31"/>
      <c r="J31" s="20">
        <v>43810</v>
      </c>
      <c r="K31" s="43">
        <v>1.6036999999999999</v>
      </c>
      <c r="L31" s="43"/>
      <c r="M31"/>
    </row>
    <row r="32" spans="1:13">
      <c r="A32" s="20">
        <v>43809</v>
      </c>
      <c r="D32" s="20">
        <v>43811</v>
      </c>
      <c r="E32" s="43">
        <v>56.87</v>
      </c>
      <c r="F32" s="43">
        <v>1.6563000000000001</v>
      </c>
      <c r="G32"/>
      <c r="J32" s="20">
        <v>43811</v>
      </c>
      <c r="K32" s="43">
        <v>1.6563000000000001</v>
      </c>
      <c r="L32" s="43"/>
      <c r="M32"/>
    </row>
    <row r="33" spans="1:13">
      <c r="A33" s="20">
        <v>43810</v>
      </c>
      <c r="D33" s="20">
        <v>43812</v>
      </c>
      <c r="E33" s="43">
        <v>57.34</v>
      </c>
      <c r="F33" s="43">
        <v>1.6982999999999999</v>
      </c>
      <c r="G33"/>
      <c r="J33" s="20">
        <v>43812</v>
      </c>
      <c r="K33" s="43">
        <v>1.6982999999999999</v>
      </c>
      <c r="L33" s="43"/>
      <c r="M33"/>
    </row>
    <row r="34" spans="1:13">
      <c r="A34" s="20">
        <v>43811</v>
      </c>
      <c r="D34" s="20">
        <v>43815</v>
      </c>
      <c r="E34" s="43">
        <v>57.14</v>
      </c>
      <c r="F34" s="43">
        <v>1.6742999999999999</v>
      </c>
      <c r="G34"/>
      <c r="J34" s="20">
        <v>43815</v>
      </c>
      <c r="K34" s="43">
        <v>1.6742999999999999</v>
      </c>
      <c r="L34" s="43"/>
      <c r="M34"/>
    </row>
    <row r="35" spans="1:13">
      <c r="A35" s="20">
        <v>43812</v>
      </c>
      <c r="D35" s="20">
        <v>43816</v>
      </c>
      <c r="E35" s="43">
        <v>57.19</v>
      </c>
      <c r="F35" s="43">
        <v>1.6715</v>
      </c>
      <c r="G35"/>
      <c r="J35" s="20">
        <v>43816</v>
      </c>
      <c r="K35" s="43">
        <v>1.6715</v>
      </c>
      <c r="L35" s="43"/>
      <c r="M35"/>
    </row>
    <row r="36" spans="1:13">
      <c r="A36" s="20">
        <v>43815</v>
      </c>
      <c r="D36" s="20">
        <v>43817</v>
      </c>
      <c r="E36" s="43">
        <v>57.25</v>
      </c>
      <c r="F36" s="43">
        <v>1.6976</v>
      </c>
      <c r="G36"/>
      <c r="J36" s="20">
        <v>43817</v>
      </c>
      <c r="K36" s="43">
        <v>1.6976</v>
      </c>
      <c r="L36" s="43"/>
      <c r="M36"/>
    </row>
    <row r="37" spans="1:13">
      <c r="A37" s="20">
        <v>43816</v>
      </c>
      <c r="D37" s="20">
        <v>43818</v>
      </c>
      <c r="E37" s="43">
        <v>57.22</v>
      </c>
      <c r="F37" s="43">
        <v>1.6792</v>
      </c>
      <c r="G37"/>
      <c r="J37" s="20">
        <v>43818</v>
      </c>
      <c r="K37" s="43">
        <v>1.6792</v>
      </c>
      <c r="L37" s="43"/>
      <c r="M37"/>
    </row>
    <row r="38" spans="1:13">
      <c r="A38" s="20">
        <v>43817</v>
      </c>
      <c r="D38" s="20">
        <v>43819</v>
      </c>
      <c r="E38" s="43">
        <v>57.07</v>
      </c>
      <c r="F38" s="43">
        <v>1.591</v>
      </c>
      <c r="G38"/>
      <c r="J38" s="20">
        <v>43819</v>
      </c>
      <c r="K38" s="43">
        <v>1.591</v>
      </c>
      <c r="L38" s="43"/>
      <c r="M38"/>
    </row>
    <row r="39" spans="1:13">
      <c r="A39" s="20">
        <v>43818</v>
      </c>
      <c r="D39" s="20">
        <v>43822</v>
      </c>
      <c r="E39" s="43">
        <v>55.94</v>
      </c>
      <c r="F39" s="43">
        <v>1.5732999999999999</v>
      </c>
      <c r="G39"/>
      <c r="J39" s="20">
        <v>43822</v>
      </c>
      <c r="K39" s="43">
        <v>1.5732999999999999</v>
      </c>
      <c r="L39" s="43"/>
      <c r="M39"/>
    </row>
    <row r="40" spans="1:13">
      <c r="A40" s="20">
        <v>43819</v>
      </c>
      <c r="D40" s="20">
        <v>43823</v>
      </c>
      <c r="E40" s="43">
        <v>56.07</v>
      </c>
      <c r="F40" s="43">
        <v>1.5629</v>
      </c>
      <c r="G40"/>
      <c r="J40" s="20">
        <v>43823</v>
      </c>
      <c r="K40" s="43">
        <v>1.5629</v>
      </c>
      <c r="L40" s="43"/>
      <c r="M40"/>
    </row>
    <row r="41" spans="1:13">
      <c r="A41" s="20">
        <v>43822</v>
      </c>
      <c r="D41" s="20">
        <v>43825</v>
      </c>
      <c r="E41" s="43">
        <v>58.17</v>
      </c>
      <c r="F41" s="43">
        <v>1.6042000000000001</v>
      </c>
      <c r="G41"/>
      <c r="J41" s="20">
        <v>43825</v>
      </c>
      <c r="K41" s="43">
        <v>1.6042000000000001</v>
      </c>
      <c r="L41" s="43"/>
      <c r="M41"/>
    </row>
    <row r="42" spans="1:13">
      <c r="A42" s="20">
        <v>43823</v>
      </c>
      <c r="D42" s="20">
        <v>43826</v>
      </c>
      <c r="E42" s="43">
        <v>58.17</v>
      </c>
      <c r="F42" s="43">
        <v>1.6211</v>
      </c>
      <c r="G42"/>
      <c r="J42" s="20">
        <v>43826</v>
      </c>
      <c r="K42" s="43">
        <v>1.6211</v>
      </c>
      <c r="L42" s="43"/>
      <c r="M42"/>
    </row>
    <row r="43" spans="1:13">
      <c r="A43" s="20">
        <v>43825</v>
      </c>
      <c r="D43" s="20">
        <v>43829</v>
      </c>
      <c r="E43" s="43">
        <v>58.79</v>
      </c>
      <c r="F43" s="43">
        <v>1.6474</v>
      </c>
      <c r="G43"/>
      <c r="J43" s="20">
        <v>43829</v>
      </c>
      <c r="K43" s="43">
        <v>1.6474</v>
      </c>
      <c r="L43" s="43"/>
      <c r="M43"/>
    </row>
    <row r="44" spans="1:13">
      <c r="A44" s="20">
        <v>43826</v>
      </c>
      <c r="D44" s="20">
        <v>43830</v>
      </c>
      <c r="E44" s="43">
        <v>58.65</v>
      </c>
      <c r="F44" s="43">
        <v>1.6548</v>
      </c>
      <c r="G44"/>
      <c r="J44" s="20">
        <v>43830</v>
      </c>
      <c r="K44" s="43">
        <v>1.6548</v>
      </c>
      <c r="L44" s="43"/>
      <c r="M44"/>
    </row>
    <row r="45" spans="1:13">
      <c r="A45" s="20">
        <v>43829</v>
      </c>
      <c r="D45" s="20">
        <v>43832</v>
      </c>
      <c r="E45" s="43">
        <v>58.81</v>
      </c>
      <c r="F45" s="43">
        <v>1.6525000000000001</v>
      </c>
      <c r="G45"/>
      <c r="J45" s="20">
        <v>43832</v>
      </c>
      <c r="K45" s="43">
        <v>1.6525000000000001</v>
      </c>
      <c r="L45" s="43"/>
      <c r="M45"/>
    </row>
    <row r="46" spans="1:13">
      <c r="A46" s="20">
        <v>43830</v>
      </c>
      <c r="D46" s="20">
        <v>43833</v>
      </c>
      <c r="E46" s="43">
        <v>58.49</v>
      </c>
      <c r="F46" s="43">
        <v>1.6261000000000001</v>
      </c>
      <c r="G46"/>
      <c r="J46" s="20">
        <v>43833</v>
      </c>
      <c r="K46" s="43">
        <v>1.6261000000000001</v>
      </c>
      <c r="L46" s="43"/>
      <c r="M46"/>
    </row>
    <row r="47" spans="1:13">
      <c r="A47" s="20">
        <v>43832</v>
      </c>
      <c r="D47" s="20">
        <v>43836</v>
      </c>
      <c r="E47" s="43">
        <v>58.74</v>
      </c>
      <c r="F47" s="43">
        <v>1.6283000000000001</v>
      </c>
      <c r="G47"/>
      <c r="J47" s="20">
        <v>43836</v>
      </c>
      <c r="K47" s="43">
        <v>1.6283000000000001</v>
      </c>
      <c r="L47" s="43"/>
      <c r="M47"/>
    </row>
    <row r="48" spans="1:13">
      <c r="A48" s="20">
        <v>43833</v>
      </c>
      <c r="D48" s="20">
        <v>43837</v>
      </c>
      <c r="E48" s="43">
        <v>59.26</v>
      </c>
      <c r="F48" s="43">
        <v>1.6632</v>
      </c>
      <c r="G48"/>
      <c r="J48" s="20">
        <v>43837</v>
      </c>
      <c r="K48" s="43">
        <v>1.6632</v>
      </c>
      <c r="L48" s="43"/>
      <c r="M48"/>
    </row>
    <row r="49" spans="1:13">
      <c r="A49" s="20">
        <v>43836</v>
      </c>
      <c r="D49" s="20">
        <v>43838</v>
      </c>
      <c r="E49" s="43">
        <v>59.34</v>
      </c>
      <c r="F49" s="43">
        <v>1.6677999999999999</v>
      </c>
      <c r="G49"/>
      <c r="J49" s="20">
        <v>43838</v>
      </c>
      <c r="K49" s="43">
        <v>1.6677999999999999</v>
      </c>
      <c r="L49" s="43"/>
      <c r="M49"/>
    </row>
    <row r="50" spans="1:13">
      <c r="A50" s="20">
        <v>43837</v>
      </c>
      <c r="D50" s="20">
        <v>43839</v>
      </c>
      <c r="E50" s="43">
        <v>59.69</v>
      </c>
      <c r="F50" s="43">
        <v>1.6899</v>
      </c>
      <c r="G50"/>
      <c r="J50" s="20">
        <v>43839</v>
      </c>
      <c r="K50" s="43">
        <v>1.6899</v>
      </c>
      <c r="L50" s="43"/>
      <c r="M50"/>
    </row>
    <row r="51" spans="1:13">
      <c r="A51" s="20">
        <v>43838</v>
      </c>
      <c r="D51" s="20">
        <v>43840</v>
      </c>
      <c r="E51" s="43">
        <v>59.68</v>
      </c>
      <c r="F51" s="43">
        <v>1.6904999999999999</v>
      </c>
      <c r="G51"/>
      <c r="J51" s="20">
        <v>43840</v>
      </c>
      <c r="K51" s="43">
        <v>1.6904999999999999</v>
      </c>
      <c r="L51" s="43"/>
      <c r="M51"/>
    </row>
    <row r="52" spans="1:13">
      <c r="A52" s="20">
        <v>43839</v>
      </c>
      <c r="D52" s="20">
        <v>43843</v>
      </c>
      <c r="E52" s="43">
        <v>59.81</v>
      </c>
      <c r="F52" s="43">
        <v>1.7097</v>
      </c>
      <c r="G52"/>
      <c r="J52" s="20">
        <v>43843</v>
      </c>
      <c r="K52" s="43">
        <v>1.7097</v>
      </c>
      <c r="L52" s="43"/>
      <c r="M52"/>
    </row>
    <row r="53" spans="1:13">
      <c r="A53" s="20">
        <v>43840</v>
      </c>
      <c r="D53" s="20">
        <v>43844</v>
      </c>
      <c r="E53" s="43">
        <v>59.56</v>
      </c>
      <c r="F53" s="43">
        <v>1.7072000000000001</v>
      </c>
      <c r="G53"/>
      <c r="J53" s="20">
        <v>43844</v>
      </c>
      <c r="K53" s="43">
        <v>1.7072000000000001</v>
      </c>
      <c r="L53" s="43"/>
      <c r="M53"/>
    </row>
    <row r="54" spans="1:13">
      <c r="A54" s="20">
        <v>43843</v>
      </c>
      <c r="D54" s="20">
        <v>43845</v>
      </c>
      <c r="E54" s="43">
        <v>59.58</v>
      </c>
      <c r="F54" s="43">
        <v>1.7064999999999999</v>
      </c>
      <c r="G54"/>
      <c r="J54" s="20">
        <v>43845</v>
      </c>
      <c r="K54" s="43">
        <v>1.7064999999999999</v>
      </c>
      <c r="L54" s="43"/>
      <c r="M54"/>
    </row>
    <row r="55" spans="1:13">
      <c r="A55" s="20">
        <v>43844</v>
      </c>
      <c r="D55" s="20">
        <v>43846</v>
      </c>
      <c r="E55" s="43">
        <v>59.72</v>
      </c>
      <c r="F55" s="43">
        <v>1.7274</v>
      </c>
      <c r="G55"/>
      <c r="J55" s="20">
        <v>43846</v>
      </c>
      <c r="K55" s="43">
        <v>1.7274</v>
      </c>
      <c r="L55" s="43"/>
      <c r="M55"/>
    </row>
    <row r="56" spans="1:13">
      <c r="A56" s="20">
        <v>43845</v>
      </c>
      <c r="D56" s="20">
        <v>43847</v>
      </c>
      <c r="E56" s="43">
        <v>59.83</v>
      </c>
      <c r="F56" s="43">
        <v>1.7539</v>
      </c>
      <c r="G56"/>
      <c r="J56" s="20">
        <v>43847</v>
      </c>
      <c r="K56" s="43">
        <v>1.7539</v>
      </c>
      <c r="L56" s="43"/>
      <c r="M56"/>
    </row>
    <row r="57" spans="1:13">
      <c r="A57" s="20">
        <v>43846</v>
      </c>
      <c r="D57" s="20">
        <v>43850</v>
      </c>
      <c r="E57" s="43">
        <v>59.84</v>
      </c>
      <c r="F57" s="43">
        <v>1.7446999999999999</v>
      </c>
      <c r="G57"/>
      <c r="J57" s="20">
        <v>43850</v>
      </c>
      <c r="K57" s="43">
        <v>1.7446999999999999</v>
      </c>
      <c r="L57" s="43"/>
      <c r="M57"/>
    </row>
    <row r="58" spans="1:13">
      <c r="A58" s="20">
        <v>43847</v>
      </c>
      <c r="D58" s="20">
        <v>43851</v>
      </c>
      <c r="E58" s="43">
        <v>59.83</v>
      </c>
      <c r="F58" s="43">
        <v>1.724</v>
      </c>
      <c r="G58"/>
      <c r="J58" s="20">
        <v>43851</v>
      </c>
      <c r="K58" s="43">
        <v>1.724</v>
      </c>
      <c r="L58" s="43"/>
      <c r="M58"/>
    </row>
    <row r="59" spans="1:13">
      <c r="A59" s="20">
        <v>43850</v>
      </c>
      <c r="D59" s="20">
        <v>43852</v>
      </c>
      <c r="E59" s="43">
        <v>59.8</v>
      </c>
      <c r="F59" s="43">
        <v>1.6904999999999999</v>
      </c>
      <c r="G59"/>
      <c r="J59" s="20">
        <v>43852</v>
      </c>
      <c r="K59" s="43">
        <v>1.6904999999999999</v>
      </c>
      <c r="L59" s="43"/>
      <c r="M59"/>
    </row>
    <row r="60" spans="1:13">
      <c r="A60" s="20">
        <v>43851</v>
      </c>
      <c r="D60" s="20">
        <v>43853</v>
      </c>
      <c r="E60" s="43">
        <v>61.09</v>
      </c>
      <c r="F60" s="43">
        <v>1.7041999999999999</v>
      </c>
      <c r="G60"/>
      <c r="J60" s="20">
        <v>43853</v>
      </c>
      <c r="K60" s="43">
        <v>1.7041999999999999</v>
      </c>
      <c r="L60" s="43"/>
      <c r="M60"/>
    </row>
    <row r="61" spans="1:13">
      <c r="A61" s="20">
        <v>43852</v>
      </c>
      <c r="D61" s="20">
        <v>43854</v>
      </c>
      <c r="E61" s="43">
        <v>62.52</v>
      </c>
      <c r="F61" s="43">
        <v>1.7487999999999999</v>
      </c>
      <c r="G61"/>
      <c r="J61" s="20">
        <v>43854</v>
      </c>
      <c r="K61" s="43">
        <v>1.7487999999999999</v>
      </c>
      <c r="L61" s="43"/>
      <c r="M61"/>
    </row>
    <row r="62" spans="1:13">
      <c r="A62" s="20">
        <v>43853</v>
      </c>
      <c r="D62" s="20">
        <v>43857</v>
      </c>
      <c r="E62" s="43">
        <v>61.98</v>
      </c>
      <c r="F62" s="43">
        <v>1.7544</v>
      </c>
      <c r="G62"/>
      <c r="J62" s="20">
        <v>43857</v>
      </c>
      <c r="K62" s="43">
        <v>1.7544</v>
      </c>
      <c r="L62" s="43"/>
      <c r="M62"/>
    </row>
    <row r="63" spans="1:13">
      <c r="A63" s="20">
        <v>43854</v>
      </c>
      <c r="D63" s="20">
        <v>43858</v>
      </c>
      <c r="E63" s="43">
        <v>60.67</v>
      </c>
      <c r="F63" s="43">
        <v>1.7222</v>
      </c>
      <c r="G63"/>
      <c r="J63" s="20">
        <v>43858</v>
      </c>
      <c r="K63" s="43">
        <v>1.7222</v>
      </c>
      <c r="L63" s="43"/>
      <c r="M63"/>
    </row>
    <row r="64" spans="1:13">
      <c r="A64" s="20">
        <v>43857</v>
      </c>
      <c r="D64" s="20">
        <v>43859</v>
      </c>
      <c r="E64" s="43">
        <v>60.11</v>
      </c>
      <c r="F64" s="43">
        <v>1.6488</v>
      </c>
      <c r="G64"/>
      <c r="J64" s="20">
        <v>43859</v>
      </c>
      <c r="K64" s="43">
        <v>1.6488</v>
      </c>
      <c r="L64" s="43"/>
      <c r="M64"/>
    </row>
    <row r="65" spans="1:13">
      <c r="A65" s="20">
        <v>43858</v>
      </c>
      <c r="D65" s="20">
        <v>43860</v>
      </c>
      <c r="E65" s="43">
        <v>58.8</v>
      </c>
      <c r="F65" s="43">
        <v>1.6527000000000001</v>
      </c>
      <c r="G65"/>
      <c r="J65" s="20">
        <v>43860</v>
      </c>
      <c r="K65" s="43">
        <v>1.6527000000000001</v>
      </c>
      <c r="L65" s="43"/>
      <c r="M65"/>
    </row>
    <row r="66" spans="1:13">
      <c r="A66" s="20">
        <v>43859</v>
      </c>
      <c r="D66" s="20">
        <v>43861</v>
      </c>
      <c r="E66" s="43">
        <v>58.94</v>
      </c>
      <c r="F66" s="43">
        <v>1.6596</v>
      </c>
      <c r="G66"/>
      <c r="J66" s="20">
        <v>43861</v>
      </c>
      <c r="K66" s="43">
        <v>1.6596</v>
      </c>
      <c r="L66" s="43"/>
      <c r="M66"/>
    </row>
    <row r="67" spans="1:13">
      <c r="A67" s="20">
        <v>43860</v>
      </c>
      <c r="D67" s="20">
        <v>43864</v>
      </c>
      <c r="E67" s="43">
        <v>55.53</v>
      </c>
      <c r="F67" s="43">
        <v>1.6573</v>
      </c>
      <c r="G67"/>
      <c r="J67" s="20">
        <v>43864</v>
      </c>
      <c r="K67" s="43">
        <v>1.6573</v>
      </c>
      <c r="L67" s="43"/>
      <c r="M67"/>
    </row>
    <row r="68" spans="1:13">
      <c r="A68" s="20">
        <v>43861</v>
      </c>
      <c r="D68" s="20">
        <v>43865</v>
      </c>
      <c r="E68" s="43">
        <v>54.68</v>
      </c>
      <c r="F68" s="43">
        <v>1.6641999999999999</v>
      </c>
      <c r="G68"/>
      <c r="J68" s="20">
        <v>43865</v>
      </c>
      <c r="K68" s="43">
        <v>1.6641999999999999</v>
      </c>
      <c r="L68" s="43"/>
      <c r="M68"/>
    </row>
    <row r="69" spans="1:13">
      <c r="A69" s="20">
        <v>43864</v>
      </c>
      <c r="D69" s="20">
        <v>43866</v>
      </c>
      <c r="E69" s="43">
        <v>55.01</v>
      </c>
      <c r="F69" s="43">
        <v>1.6492</v>
      </c>
      <c r="G69"/>
      <c r="J69" s="20">
        <v>43866</v>
      </c>
      <c r="K69" s="43">
        <v>1.6492</v>
      </c>
      <c r="L69" s="43"/>
      <c r="M69"/>
    </row>
    <row r="70" spans="1:13">
      <c r="A70" s="20">
        <v>43865</v>
      </c>
      <c r="D70" s="20">
        <v>43867</v>
      </c>
      <c r="E70" s="43">
        <v>55.74</v>
      </c>
      <c r="F70" s="43">
        <v>1.667</v>
      </c>
      <c r="G70"/>
      <c r="J70" s="20">
        <v>43867</v>
      </c>
      <c r="K70" s="43">
        <v>1.667</v>
      </c>
      <c r="L70" s="43"/>
      <c r="M70"/>
    </row>
    <row r="71" spans="1:13">
      <c r="A71" s="20">
        <v>43866</v>
      </c>
      <c r="D71" s="20">
        <v>43868</v>
      </c>
      <c r="E71" s="43">
        <v>55.13</v>
      </c>
      <c r="F71" s="43">
        <v>1.6549</v>
      </c>
      <c r="G71"/>
      <c r="J71" s="20">
        <v>43868</v>
      </c>
      <c r="K71" s="43">
        <v>1.6549</v>
      </c>
      <c r="L71" s="43"/>
      <c r="M71"/>
    </row>
    <row r="72" spans="1:13">
      <c r="A72" s="20">
        <v>43867</v>
      </c>
      <c r="D72" s="20">
        <v>43871</v>
      </c>
      <c r="E72" s="43">
        <v>54.21</v>
      </c>
      <c r="F72" s="43">
        <v>1.6365000000000001</v>
      </c>
      <c r="G72"/>
      <c r="J72" s="20">
        <v>43871</v>
      </c>
      <c r="K72" s="43">
        <v>1.6365000000000001</v>
      </c>
      <c r="L72" s="43"/>
      <c r="M72"/>
    </row>
    <row r="73" spans="1:13">
      <c r="A73" s="20">
        <v>43868</v>
      </c>
      <c r="D73" s="20">
        <v>43872</v>
      </c>
      <c r="E73" s="43">
        <v>54.2</v>
      </c>
      <c r="F73" s="43">
        <v>1.5933999999999999</v>
      </c>
      <c r="G73"/>
      <c r="J73" s="20">
        <v>43872</v>
      </c>
      <c r="K73" s="43">
        <v>1.5933999999999999</v>
      </c>
      <c r="L73" s="43"/>
      <c r="M73"/>
    </row>
    <row r="74" spans="1:13">
      <c r="A74" s="20">
        <v>43871</v>
      </c>
      <c r="D74" s="20">
        <v>43873</v>
      </c>
      <c r="E74" s="43">
        <v>55.59</v>
      </c>
      <c r="F74" s="43">
        <v>1.573</v>
      </c>
      <c r="G74"/>
      <c r="J74" s="20">
        <v>43873</v>
      </c>
      <c r="K74" s="43">
        <v>1.573</v>
      </c>
      <c r="L74" s="43"/>
      <c r="M74"/>
    </row>
    <row r="75" spans="1:13">
      <c r="A75" s="20">
        <v>43872</v>
      </c>
      <c r="D75" s="20">
        <v>43874</v>
      </c>
      <c r="E75" s="43">
        <v>55.9</v>
      </c>
      <c r="F75" s="43">
        <v>1.5259</v>
      </c>
      <c r="G75"/>
      <c r="J75" s="20">
        <v>43874</v>
      </c>
      <c r="K75" s="43">
        <v>1.5259</v>
      </c>
      <c r="L75" s="43"/>
      <c r="M75"/>
    </row>
    <row r="76" spans="1:13">
      <c r="A76" s="20">
        <v>43873</v>
      </c>
      <c r="D76" s="20">
        <v>43875</v>
      </c>
      <c r="E76" s="43">
        <v>56.77</v>
      </c>
      <c r="F76" s="43">
        <v>1.4930000000000001</v>
      </c>
      <c r="G76"/>
      <c r="J76" s="20">
        <v>43875</v>
      </c>
      <c r="K76" s="43">
        <v>1.4930000000000001</v>
      </c>
      <c r="L76" s="43"/>
      <c r="M76"/>
    </row>
    <row r="77" spans="1:13">
      <c r="A77" s="20">
        <v>43874</v>
      </c>
      <c r="D77" s="20">
        <v>43878</v>
      </c>
      <c r="E77" s="43">
        <v>57.28</v>
      </c>
      <c r="F77" s="43">
        <v>1.5143</v>
      </c>
      <c r="G77"/>
      <c r="J77" s="20">
        <v>43878</v>
      </c>
      <c r="K77" s="43">
        <v>1.5143</v>
      </c>
      <c r="L77" s="43"/>
      <c r="M77"/>
    </row>
    <row r="78" spans="1:13">
      <c r="A78" s="20">
        <v>43875</v>
      </c>
      <c r="D78" s="20">
        <v>43879</v>
      </c>
      <c r="E78" s="43">
        <v>56.72</v>
      </c>
      <c r="F78" s="43">
        <v>1.5407999999999999</v>
      </c>
      <c r="G78"/>
      <c r="J78" s="20">
        <v>43879</v>
      </c>
      <c r="K78" s="43">
        <v>1.5407999999999999</v>
      </c>
      <c r="L78" s="43"/>
      <c r="M78"/>
    </row>
    <row r="79" spans="1:13">
      <c r="A79" s="20">
        <v>43878</v>
      </c>
      <c r="D79" s="20">
        <v>43880</v>
      </c>
      <c r="E79" s="43">
        <v>57.56</v>
      </c>
      <c r="F79" s="43">
        <v>1.5055000000000001</v>
      </c>
      <c r="G79"/>
      <c r="J79" s="20">
        <v>43880</v>
      </c>
      <c r="K79" s="43">
        <v>1.5055000000000001</v>
      </c>
      <c r="L79" s="43"/>
      <c r="M79"/>
    </row>
    <row r="80" spans="1:13">
      <c r="A80" s="20">
        <v>43879</v>
      </c>
      <c r="D80" s="20">
        <v>43881</v>
      </c>
      <c r="E80" s="43">
        <v>57.53</v>
      </c>
      <c r="F80" s="43">
        <v>1.5041</v>
      </c>
      <c r="G80"/>
      <c r="J80" s="20">
        <v>43881</v>
      </c>
      <c r="K80" s="43">
        <v>1.5041</v>
      </c>
      <c r="L80" s="43"/>
      <c r="M80"/>
    </row>
    <row r="81" spans="1:13">
      <c r="A81" s="20">
        <v>43880</v>
      </c>
      <c r="D81" s="20">
        <v>43882</v>
      </c>
      <c r="E81" s="43">
        <v>50.16</v>
      </c>
      <c r="F81" s="43">
        <v>1.4737</v>
      </c>
      <c r="G81"/>
      <c r="J81" s="20">
        <v>43882</v>
      </c>
      <c r="K81" s="43">
        <v>1.4737</v>
      </c>
      <c r="L81" s="43"/>
      <c r="M81"/>
    </row>
    <row r="82" spans="1:13">
      <c r="A82" s="20">
        <v>43881</v>
      </c>
      <c r="D82" s="20">
        <v>43885</v>
      </c>
      <c r="E82" s="43">
        <v>49.7</v>
      </c>
      <c r="F82" s="43">
        <v>1.4432</v>
      </c>
      <c r="G82"/>
      <c r="J82" s="20">
        <v>43885</v>
      </c>
      <c r="K82" s="43">
        <v>1.4432</v>
      </c>
      <c r="L82" s="43"/>
      <c r="M82"/>
    </row>
    <row r="83" spans="1:13">
      <c r="A83" s="20">
        <v>43882</v>
      </c>
      <c r="D83" s="20">
        <v>43886</v>
      </c>
      <c r="E83" s="43">
        <v>50.71</v>
      </c>
      <c r="F83" s="43">
        <v>1.4863</v>
      </c>
      <c r="G83"/>
      <c r="J83" s="20">
        <v>43886</v>
      </c>
      <c r="K83" s="43">
        <v>1.4863</v>
      </c>
      <c r="L83" s="43"/>
      <c r="M83"/>
    </row>
    <row r="84" spans="1:13">
      <c r="A84" s="20">
        <v>43885</v>
      </c>
      <c r="D84" s="20">
        <v>43887</v>
      </c>
      <c r="E84" s="43">
        <v>50.88</v>
      </c>
      <c r="F84" s="43">
        <v>1.498</v>
      </c>
      <c r="G84"/>
      <c r="J84" s="20">
        <v>43887</v>
      </c>
      <c r="K84" s="43">
        <v>1.498</v>
      </c>
      <c r="L84" s="43"/>
      <c r="M84"/>
    </row>
    <row r="85" spans="1:13">
      <c r="A85" s="20">
        <v>43886</v>
      </c>
      <c r="D85" s="20">
        <v>43888</v>
      </c>
      <c r="E85" s="43">
        <v>50.4</v>
      </c>
      <c r="F85" s="43">
        <v>1.5239</v>
      </c>
      <c r="G85"/>
      <c r="J85" s="20">
        <v>43888</v>
      </c>
      <c r="K85" s="43">
        <v>1.5239</v>
      </c>
      <c r="L85" s="43"/>
      <c r="M85"/>
    </row>
    <row r="86" spans="1:13">
      <c r="A86" s="20">
        <v>43887</v>
      </c>
      <c r="D86" s="20">
        <v>43889</v>
      </c>
      <c r="E86" s="43">
        <v>49.84</v>
      </c>
      <c r="F86" s="43">
        <v>1.5213000000000001</v>
      </c>
      <c r="G86"/>
      <c r="J86" s="20">
        <v>43889</v>
      </c>
      <c r="K86" s="43">
        <v>1.5213000000000001</v>
      </c>
      <c r="L86" s="43"/>
      <c r="M86"/>
    </row>
    <row r="87" spans="1:13">
      <c r="A87" s="20">
        <v>43888</v>
      </c>
      <c r="D87" s="20">
        <v>43892</v>
      </c>
      <c r="E87" s="43">
        <v>50.1</v>
      </c>
      <c r="F87" s="43">
        <v>1.5142</v>
      </c>
      <c r="G87"/>
      <c r="J87" s="20">
        <v>43892</v>
      </c>
      <c r="K87" s="43">
        <v>1.5142</v>
      </c>
      <c r="L87" s="43"/>
      <c r="M87"/>
    </row>
    <row r="88" spans="1:13">
      <c r="A88" s="20">
        <v>43889</v>
      </c>
      <c r="D88" s="20">
        <v>43893</v>
      </c>
      <c r="E88" s="43">
        <v>50.88</v>
      </c>
      <c r="F88" s="43">
        <v>1.581</v>
      </c>
      <c r="G88"/>
      <c r="J88" s="20">
        <v>43893</v>
      </c>
      <c r="K88" s="43">
        <v>1.581</v>
      </c>
      <c r="L88" s="43"/>
      <c r="M88"/>
    </row>
    <row r="89" spans="1:13">
      <c r="A89" s="20">
        <v>43892</v>
      </c>
      <c r="D89" s="20">
        <v>43894</v>
      </c>
      <c r="E89" s="43">
        <v>51.03</v>
      </c>
      <c r="F89" s="43">
        <v>1.7226999999999999</v>
      </c>
      <c r="G89"/>
      <c r="J89" s="20">
        <v>43894</v>
      </c>
      <c r="K89" s="43">
        <v>1.7226999999999999</v>
      </c>
      <c r="L89" s="43"/>
      <c r="M89"/>
    </row>
    <row r="90" spans="1:13">
      <c r="A90" s="20">
        <v>43893</v>
      </c>
      <c r="D90" s="20">
        <v>43895</v>
      </c>
      <c r="E90" s="43">
        <v>51.37</v>
      </c>
      <c r="F90" s="43">
        <v>1.5832999999999999</v>
      </c>
      <c r="G90"/>
      <c r="J90" s="20">
        <v>43895</v>
      </c>
      <c r="K90" s="43">
        <v>1.5832999999999999</v>
      </c>
      <c r="L90" s="43"/>
      <c r="M90"/>
    </row>
    <row r="91" spans="1:13">
      <c r="A91" s="20">
        <v>43894</v>
      </c>
      <c r="D91" s="20">
        <v>43896</v>
      </c>
      <c r="E91" s="43">
        <v>48.35</v>
      </c>
      <c r="F91" s="43">
        <v>1.6148</v>
      </c>
      <c r="G91"/>
      <c r="J91" s="20">
        <v>43896</v>
      </c>
      <c r="K91" s="43">
        <v>1.6148</v>
      </c>
      <c r="L91" s="43"/>
      <c r="M91"/>
    </row>
    <row r="92" spans="1:13">
      <c r="A92" s="20">
        <v>43895</v>
      </c>
      <c r="D92" s="20">
        <v>43899</v>
      </c>
      <c r="E92" s="43">
        <v>34.72</v>
      </c>
      <c r="F92" s="43">
        <v>1.7819</v>
      </c>
      <c r="G92"/>
      <c r="J92" s="20">
        <v>43899</v>
      </c>
      <c r="K92" s="43">
        <v>1.7819</v>
      </c>
      <c r="L92" s="43"/>
      <c r="M92"/>
    </row>
    <row r="93" spans="1:13">
      <c r="A93" s="20">
        <v>43896</v>
      </c>
      <c r="D93" s="20">
        <v>43900</v>
      </c>
      <c r="E93" s="43">
        <v>35.729999999999997</v>
      </c>
      <c r="F93" s="43">
        <v>1.7845</v>
      </c>
      <c r="G93"/>
      <c r="J93" s="20">
        <v>43900</v>
      </c>
      <c r="K93" s="43">
        <v>1.7845</v>
      </c>
      <c r="L93" s="43"/>
      <c r="M93"/>
    </row>
    <row r="94" spans="1:13">
      <c r="A94" s="20">
        <v>43899</v>
      </c>
      <c r="D94" s="20">
        <v>43901</v>
      </c>
      <c r="E94" s="43">
        <v>35.56</v>
      </c>
      <c r="F94" s="43">
        <v>1.7612000000000001</v>
      </c>
      <c r="G94"/>
      <c r="J94" s="20">
        <v>43901</v>
      </c>
      <c r="K94" s="43">
        <v>1.7612000000000001</v>
      </c>
      <c r="L94" s="43"/>
      <c r="M94"/>
    </row>
    <row r="95" spans="1:13">
      <c r="A95" s="20">
        <v>43900</v>
      </c>
      <c r="D95" s="20">
        <v>43902</v>
      </c>
      <c r="E95" s="43">
        <v>33.270000000000003</v>
      </c>
      <c r="F95" s="43">
        <v>1.7132000000000001</v>
      </c>
      <c r="G95"/>
      <c r="J95" s="20">
        <v>43902</v>
      </c>
      <c r="K95" s="43">
        <v>1.7132000000000001</v>
      </c>
      <c r="L95" s="43"/>
      <c r="M95"/>
    </row>
    <row r="96" spans="1:13">
      <c r="A96" s="20">
        <v>43901</v>
      </c>
      <c r="D96" s="20">
        <v>43903</v>
      </c>
      <c r="E96" s="43">
        <v>34.14</v>
      </c>
      <c r="F96" s="43">
        <v>1.6418999999999999</v>
      </c>
      <c r="G96"/>
      <c r="J96" s="20">
        <v>43903</v>
      </c>
      <c r="K96" s="43">
        <v>1.6418999999999999</v>
      </c>
      <c r="L96" s="43"/>
      <c r="M96"/>
    </row>
    <row r="97" spans="1:13">
      <c r="A97" s="20">
        <v>43902</v>
      </c>
      <c r="D97" s="20">
        <v>43906</v>
      </c>
      <c r="E97" s="43">
        <v>30.63</v>
      </c>
      <c r="F97" s="43">
        <v>1.5645</v>
      </c>
      <c r="G97"/>
      <c r="J97" s="20">
        <v>43906</v>
      </c>
      <c r="K97" s="43">
        <v>1.5645</v>
      </c>
      <c r="L97" s="43"/>
      <c r="M97"/>
    </row>
    <row r="98" spans="1:13">
      <c r="A98" s="20">
        <v>43903</v>
      </c>
      <c r="D98" s="20">
        <v>43907</v>
      </c>
      <c r="E98" s="43">
        <v>30.36</v>
      </c>
      <c r="F98" s="43">
        <v>1.5206</v>
      </c>
      <c r="G98"/>
      <c r="J98" s="20">
        <v>43907</v>
      </c>
      <c r="K98" s="43">
        <v>1.5206</v>
      </c>
      <c r="L98" s="43"/>
      <c r="M98"/>
    </row>
    <row r="99" spans="1:13">
      <c r="A99" s="20">
        <v>43906</v>
      </c>
      <c r="D99" s="20">
        <v>43908</v>
      </c>
      <c r="E99" s="43">
        <v>27.31</v>
      </c>
      <c r="F99" s="43">
        <v>1.4827999999999999</v>
      </c>
      <c r="G99"/>
      <c r="J99" s="20">
        <v>43908</v>
      </c>
      <c r="K99" s="43">
        <v>1.4827999999999999</v>
      </c>
      <c r="L99" s="43"/>
      <c r="M99"/>
    </row>
    <row r="100" spans="1:13">
      <c r="A100" s="20">
        <v>43907</v>
      </c>
      <c r="D100" s="20">
        <v>43909</v>
      </c>
      <c r="E100" s="43">
        <v>26.73</v>
      </c>
      <c r="F100" s="43">
        <v>1.5396000000000001</v>
      </c>
      <c r="G100"/>
      <c r="J100" s="20">
        <v>43909</v>
      </c>
      <c r="K100" s="43">
        <v>1.5396000000000001</v>
      </c>
      <c r="L100" s="43"/>
      <c r="M100"/>
    </row>
    <row r="101" spans="1:13">
      <c r="A101" s="20">
        <v>43908</v>
      </c>
      <c r="D101" s="20">
        <v>43910</v>
      </c>
      <c r="E101" s="43">
        <v>28.57</v>
      </c>
      <c r="F101" s="43">
        <v>1.5313000000000001</v>
      </c>
      <c r="G101"/>
      <c r="J101" s="20">
        <v>43910</v>
      </c>
      <c r="K101" s="43">
        <v>1.5313000000000001</v>
      </c>
      <c r="L101" s="43"/>
      <c r="M101"/>
    </row>
    <row r="102" spans="1:13">
      <c r="A102" s="20">
        <v>43909</v>
      </c>
      <c r="D102" s="20">
        <v>43913</v>
      </c>
      <c r="E102" s="43">
        <v>24.72</v>
      </c>
      <c r="F102" s="43">
        <v>1.5555000000000001</v>
      </c>
      <c r="G102"/>
      <c r="J102" s="20">
        <v>43913</v>
      </c>
      <c r="K102" s="43">
        <v>1.5555000000000001</v>
      </c>
      <c r="L102" s="43"/>
      <c r="M102"/>
    </row>
    <row r="103" spans="1:13">
      <c r="A103" s="20">
        <v>43910</v>
      </c>
      <c r="D103" s="20">
        <v>43914</v>
      </c>
      <c r="E103" s="43">
        <v>26.53</v>
      </c>
      <c r="F103" s="43">
        <v>1.5218</v>
      </c>
      <c r="G103"/>
      <c r="J103" s="20">
        <v>43914</v>
      </c>
      <c r="K103" s="43">
        <v>1.5218</v>
      </c>
      <c r="L103" s="43"/>
      <c r="M103"/>
    </row>
    <row r="104" spans="1:13">
      <c r="A104" s="20">
        <v>43913</v>
      </c>
      <c r="D104" s="20">
        <v>43915</v>
      </c>
      <c r="E104" s="43">
        <v>26.94</v>
      </c>
      <c r="F104" s="43">
        <v>1.389</v>
      </c>
      <c r="G104"/>
      <c r="J104" s="20">
        <v>43915</v>
      </c>
      <c r="K104" s="43">
        <v>1.389</v>
      </c>
      <c r="L104" s="43"/>
      <c r="M104"/>
    </row>
    <row r="105" spans="1:13">
      <c r="A105" s="20">
        <v>43914</v>
      </c>
      <c r="D105" s="20">
        <v>43916</v>
      </c>
      <c r="E105" s="43">
        <v>26.04</v>
      </c>
      <c r="F105" s="43">
        <v>1.1369</v>
      </c>
      <c r="G105"/>
      <c r="J105" s="20">
        <v>43916</v>
      </c>
      <c r="K105" s="43">
        <v>1.1369</v>
      </c>
      <c r="L105" s="43"/>
      <c r="M105"/>
    </row>
    <row r="106" spans="1:13">
      <c r="A106" s="20">
        <v>43915</v>
      </c>
      <c r="D106" s="20">
        <v>43917</v>
      </c>
      <c r="E106" s="43">
        <v>24.26</v>
      </c>
      <c r="F106" s="43">
        <v>1.1571</v>
      </c>
      <c r="G106"/>
      <c r="J106" s="20">
        <v>43917</v>
      </c>
      <c r="K106" s="43">
        <v>1.1571</v>
      </c>
      <c r="L106" s="43"/>
      <c r="M106"/>
    </row>
    <row r="107" spans="1:13">
      <c r="A107" s="20">
        <v>43916</v>
      </c>
      <c r="D107" s="20">
        <v>43920</v>
      </c>
      <c r="E107" s="43">
        <v>21.66</v>
      </c>
      <c r="F107" s="43">
        <v>1.1103000000000001</v>
      </c>
      <c r="G107"/>
      <c r="J107" s="20">
        <v>43920</v>
      </c>
      <c r="K107" s="43">
        <v>1.1103000000000001</v>
      </c>
      <c r="L107" s="43"/>
      <c r="M107"/>
    </row>
    <row r="108" spans="1:13">
      <c r="A108" s="20">
        <v>43917</v>
      </c>
      <c r="D108" s="20">
        <v>43921</v>
      </c>
      <c r="E108" s="43">
        <v>22.61</v>
      </c>
      <c r="F108" s="43">
        <v>0.91900000000000004</v>
      </c>
      <c r="G108"/>
      <c r="J108" s="20">
        <v>43921</v>
      </c>
      <c r="K108" s="43">
        <v>0.91900000000000004</v>
      </c>
      <c r="L108" s="43"/>
      <c r="M108"/>
    </row>
    <row r="109" spans="1:13">
      <c r="A109" s="20">
        <v>43920</v>
      </c>
      <c r="D109" s="20">
        <v>43922</v>
      </c>
      <c r="E109" s="43">
        <v>16.850000000000001</v>
      </c>
      <c r="F109" s="43">
        <v>0.91349999999999998</v>
      </c>
      <c r="G109"/>
      <c r="J109" s="20">
        <v>43922</v>
      </c>
      <c r="K109" s="43">
        <v>0.91349999999999998</v>
      </c>
      <c r="L109" s="43"/>
      <c r="M109"/>
    </row>
    <row r="110" spans="1:13">
      <c r="A110" s="20">
        <v>43921</v>
      </c>
      <c r="D110" s="20">
        <v>43923</v>
      </c>
      <c r="E110" s="43">
        <v>18.91</v>
      </c>
      <c r="F110" s="43">
        <v>0.70169999999999999</v>
      </c>
      <c r="G110"/>
      <c r="J110" s="20">
        <v>43923</v>
      </c>
      <c r="K110" s="43">
        <v>0.70169999999999999</v>
      </c>
      <c r="L110" s="43"/>
      <c r="M110"/>
    </row>
    <row r="111" spans="1:13">
      <c r="A111" s="20">
        <v>43922</v>
      </c>
      <c r="D111" s="20">
        <v>43924</v>
      </c>
      <c r="E111" s="43">
        <v>23.01</v>
      </c>
      <c r="F111" s="43">
        <v>0.71140000000000003</v>
      </c>
      <c r="G111"/>
      <c r="J111" s="20">
        <v>43924</v>
      </c>
      <c r="K111" s="43">
        <v>0.71140000000000003</v>
      </c>
      <c r="L111" s="43"/>
      <c r="M111"/>
    </row>
    <row r="112" spans="1:13">
      <c r="A112" s="20">
        <v>43923</v>
      </c>
      <c r="D112" s="20">
        <v>43927</v>
      </c>
      <c r="E112" s="43">
        <v>23.48</v>
      </c>
      <c r="F112" s="43">
        <v>0.64590000000000003</v>
      </c>
      <c r="G112"/>
      <c r="J112" s="20">
        <v>43927</v>
      </c>
      <c r="K112" s="43">
        <v>0.64590000000000003</v>
      </c>
      <c r="L112" s="43"/>
      <c r="M112"/>
    </row>
    <row r="113" spans="1:13">
      <c r="A113" s="20">
        <v>43924</v>
      </c>
      <c r="D113" s="20">
        <v>43928</v>
      </c>
      <c r="E113" s="43">
        <v>22.67</v>
      </c>
      <c r="F113" s="43">
        <v>0.69320000000000004</v>
      </c>
      <c r="G113"/>
      <c r="J113" s="20">
        <v>43928</v>
      </c>
      <c r="K113" s="43">
        <v>0.69320000000000004</v>
      </c>
      <c r="L113" s="43"/>
      <c r="M113"/>
    </row>
    <row r="114" spans="1:13">
      <c r="A114" s="20">
        <v>43927</v>
      </c>
      <c r="D114" s="20">
        <v>43929</v>
      </c>
      <c r="E114" s="43">
        <v>21.19</v>
      </c>
      <c r="F114" s="43">
        <v>0.60540000000000005</v>
      </c>
      <c r="G114"/>
      <c r="J114" s="20">
        <v>43929</v>
      </c>
      <c r="K114" s="43">
        <v>0.60540000000000005</v>
      </c>
      <c r="L114" s="43"/>
      <c r="M114"/>
    </row>
    <row r="115" spans="1:13">
      <c r="A115" s="20">
        <v>43928</v>
      </c>
      <c r="D115" s="20">
        <v>43930</v>
      </c>
      <c r="E115" s="43">
        <v>21.77</v>
      </c>
      <c r="F115" s="43">
        <v>0.49469999999999997</v>
      </c>
      <c r="G115"/>
      <c r="J115" s="20">
        <v>43930</v>
      </c>
      <c r="K115" s="43">
        <v>0.49469999999999997</v>
      </c>
      <c r="L115" s="43"/>
      <c r="M115"/>
    </row>
    <row r="116" spans="1:13">
      <c r="A116" s="20">
        <v>43929</v>
      </c>
      <c r="D116" s="20">
        <v>43934</v>
      </c>
      <c r="E116" s="43">
        <v>21.18</v>
      </c>
      <c r="F116" s="43">
        <v>0.51049999999999995</v>
      </c>
      <c r="G116"/>
      <c r="J116" s="20">
        <v>43934</v>
      </c>
      <c r="K116" s="43">
        <v>0.51049999999999995</v>
      </c>
      <c r="L116" s="43"/>
      <c r="M116"/>
    </row>
    <row r="117" spans="1:13">
      <c r="A117" s="20">
        <v>43930</v>
      </c>
      <c r="D117" s="20">
        <v>43935</v>
      </c>
      <c r="E117" s="43">
        <v>19.7</v>
      </c>
      <c r="F117" s="43">
        <v>0.60540000000000005</v>
      </c>
      <c r="G117"/>
      <c r="J117" s="20">
        <v>43935</v>
      </c>
      <c r="K117" s="43">
        <v>0.60540000000000005</v>
      </c>
      <c r="L117" s="43"/>
      <c r="M117"/>
    </row>
    <row r="118" spans="1:13">
      <c r="A118" s="20">
        <v>43934</v>
      </c>
      <c r="D118" s="20">
        <v>43936</v>
      </c>
      <c r="E118" s="43">
        <v>17.510000000000002</v>
      </c>
      <c r="F118" s="43">
        <v>0.59799999999999998</v>
      </c>
      <c r="G118"/>
      <c r="J118" s="20">
        <v>43936</v>
      </c>
      <c r="K118" s="43">
        <v>0.59799999999999998</v>
      </c>
      <c r="L118" s="43"/>
      <c r="M118"/>
    </row>
    <row r="119" spans="1:13">
      <c r="A119" s="20">
        <v>43935</v>
      </c>
      <c r="D119" s="20">
        <v>43937</v>
      </c>
      <c r="E119" s="43">
        <v>17.73</v>
      </c>
      <c r="F119" s="43">
        <v>0.61360000000000003</v>
      </c>
      <c r="G119"/>
      <c r="J119" s="20">
        <v>43937</v>
      </c>
      <c r="K119" s="43">
        <v>0.61360000000000003</v>
      </c>
      <c r="L119" s="43"/>
      <c r="M119"/>
    </row>
    <row r="120" spans="1:13">
      <c r="A120" s="20">
        <v>43936</v>
      </c>
      <c r="D120" s="20">
        <v>43938</v>
      </c>
      <c r="E120" s="43">
        <v>18.170000000000002</v>
      </c>
      <c r="F120" s="43">
        <v>0.61680000000000001</v>
      </c>
      <c r="G120"/>
      <c r="J120" s="20">
        <v>43938</v>
      </c>
      <c r="K120" s="43">
        <v>0.61680000000000001</v>
      </c>
      <c r="L120" s="43"/>
      <c r="M120"/>
    </row>
    <row r="121" spans="1:13">
      <c r="A121" s="20">
        <v>43937</v>
      </c>
      <c r="D121" s="20">
        <v>43941</v>
      </c>
      <c r="E121" s="43">
        <v>14.19</v>
      </c>
      <c r="F121" s="43">
        <v>0.5927</v>
      </c>
      <c r="G121"/>
      <c r="J121" s="20">
        <v>43941</v>
      </c>
      <c r="K121" s="43">
        <v>0.5927</v>
      </c>
      <c r="L121" s="43"/>
      <c r="M121"/>
    </row>
    <row r="122" spans="1:13">
      <c r="A122" s="20">
        <v>43938</v>
      </c>
      <c r="D122" s="20">
        <v>43942</v>
      </c>
      <c r="E122" s="43">
        <v>14.63</v>
      </c>
      <c r="F122" s="43">
        <v>0.54649999999999999</v>
      </c>
      <c r="G122"/>
      <c r="J122" s="20">
        <v>43942</v>
      </c>
      <c r="K122" s="43">
        <v>0.54649999999999999</v>
      </c>
      <c r="L122" s="43"/>
      <c r="M122"/>
    </row>
    <row r="123" spans="1:13">
      <c r="A123" s="20">
        <v>43941</v>
      </c>
      <c r="D123" s="20">
        <v>43943</v>
      </c>
      <c r="E123" s="43">
        <v>12.22</v>
      </c>
      <c r="F123" s="43">
        <v>0.66279999999999994</v>
      </c>
      <c r="G123"/>
      <c r="J123" s="20">
        <v>43943</v>
      </c>
      <c r="K123" s="43">
        <v>0.66279999999999994</v>
      </c>
      <c r="L123" s="43"/>
      <c r="M123"/>
    </row>
    <row r="124" spans="1:13">
      <c r="A124" s="20">
        <v>43942</v>
      </c>
      <c r="D124" s="20">
        <v>43944</v>
      </c>
      <c r="E124" s="43">
        <v>15.23</v>
      </c>
      <c r="F124" s="43">
        <v>0.69159999999999999</v>
      </c>
      <c r="G124"/>
      <c r="J124" s="20">
        <v>43944</v>
      </c>
      <c r="K124" s="43">
        <v>0.69159999999999999</v>
      </c>
      <c r="L124" s="43"/>
      <c r="M124"/>
    </row>
    <row r="125" spans="1:13">
      <c r="A125" s="20">
        <v>43943</v>
      </c>
      <c r="D125" s="20">
        <v>43945</v>
      </c>
      <c r="E125" s="43">
        <v>14.31</v>
      </c>
      <c r="F125" s="43">
        <v>0.7016</v>
      </c>
      <c r="G125"/>
      <c r="J125" s="20">
        <v>43945</v>
      </c>
      <c r="K125" s="43">
        <v>0.7016</v>
      </c>
      <c r="L125" s="43"/>
      <c r="M125"/>
    </row>
    <row r="126" spans="1:13">
      <c r="A126" s="20">
        <v>43944</v>
      </c>
      <c r="D126" s="20">
        <v>43948</v>
      </c>
      <c r="E126" s="43">
        <v>13.3</v>
      </c>
      <c r="F126" s="43">
        <v>0.6482</v>
      </c>
      <c r="G126"/>
      <c r="J126" s="20">
        <v>43948</v>
      </c>
      <c r="K126" s="43">
        <v>0.6482</v>
      </c>
      <c r="L126" s="43"/>
      <c r="M126"/>
    </row>
    <row r="127" spans="1:13">
      <c r="A127" s="20">
        <v>43945</v>
      </c>
      <c r="D127" s="20">
        <v>43949</v>
      </c>
      <c r="E127" s="43">
        <v>12.41</v>
      </c>
      <c r="F127" s="43">
        <v>0.67800000000000005</v>
      </c>
      <c r="G127"/>
      <c r="J127" s="20">
        <v>43949</v>
      </c>
      <c r="K127" s="43">
        <v>0.67800000000000005</v>
      </c>
      <c r="L127" s="43"/>
      <c r="M127"/>
    </row>
    <row r="128" spans="1:13">
      <c r="A128" s="20">
        <v>43948</v>
      </c>
      <c r="D128" s="20">
        <v>43950</v>
      </c>
      <c r="E128" s="43">
        <v>14.36</v>
      </c>
      <c r="F128" s="43">
        <v>0.67730000000000001</v>
      </c>
      <c r="G128"/>
      <c r="J128" s="20">
        <v>43950</v>
      </c>
      <c r="K128" s="43">
        <v>0.67730000000000001</v>
      </c>
      <c r="L128" s="43"/>
      <c r="M128"/>
    </row>
    <row r="129" spans="1:13">
      <c r="A129" s="20">
        <v>43949</v>
      </c>
      <c r="D129" s="20">
        <v>43951</v>
      </c>
      <c r="E129" s="43">
        <v>18.05</v>
      </c>
      <c r="F129" s="43">
        <v>0.70330000000000004</v>
      </c>
      <c r="G129"/>
      <c r="J129" s="20">
        <v>43951</v>
      </c>
      <c r="K129" s="43">
        <v>0.70330000000000004</v>
      </c>
      <c r="L129" s="43"/>
      <c r="M129"/>
    </row>
    <row r="130" spans="1:13">
      <c r="A130" s="20">
        <v>43950</v>
      </c>
      <c r="D130" s="20">
        <v>43952</v>
      </c>
      <c r="E130" s="43">
        <v>16.52</v>
      </c>
      <c r="F130" s="43">
        <v>0.72</v>
      </c>
      <c r="G130"/>
      <c r="J130" s="20">
        <v>43952</v>
      </c>
      <c r="K130" s="43">
        <v>0.72</v>
      </c>
      <c r="L130" s="43"/>
      <c r="M130"/>
    </row>
    <row r="131" spans="1:13">
      <c r="A131" s="20">
        <v>43951</v>
      </c>
      <c r="D131" s="20">
        <v>43955</v>
      </c>
      <c r="E131" s="43">
        <v>18.36</v>
      </c>
      <c r="F131" s="43">
        <v>0.72040000000000004</v>
      </c>
      <c r="G131"/>
      <c r="J131" s="20">
        <v>43955</v>
      </c>
      <c r="K131" s="43">
        <v>0.72040000000000004</v>
      </c>
      <c r="L131" s="43"/>
      <c r="M131"/>
    </row>
    <row r="132" spans="1:13">
      <c r="A132" s="20">
        <v>43952</v>
      </c>
      <c r="D132" s="20">
        <v>43956</v>
      </c>
      <c r="E132" s="43">
        <v>21.43</v>
      </c>
      <c r="F132" s="43">
        <v>0.75690000000000002</v>
      </c>
      <c r="G132"/>
      <c r="J132" s="20">
        <v>43956</v>
      </c>
      <c r="K132" s="43">
        <v>0.75690000000000002</v>
      </c>
      <c r="L132" s="43"/>
      <c r="M132"/>
    </row>
    <row r="133" spans="1:13">
      <c r="A133" s="20">
        <v>43955</v>
      </c>
      <c r="D133" s="20">
        <v>43957</v>
      </c>
      <c r="E133" s="43">
        <v>22.4</v>
      </c>
      <c r="F133" s="43">
        <v>0.76459999999999995</v>
      </c>
      <c r="G133"/>
      <c r="J133" s="20">
        <v>43957</v>
      </c>
      <c r="K133" s="43">
        <v>0.76459999999999995</v>
      </c>
      <c r="L133" s="43"/>
      <c r="M133"/>
    </row>
    <row r="134" spans="1:13">
      <c r="A134" s="20">
        <v>43956</v>
      </c>
      <c r="D134" s="20">
        <v>43958</v>
      </c>
      <c r="E134" s="43">
        <v>16.18</v>
      </c>
      <c r="F134" s="43">
        <v>0.72550000000000003</v>
      </c>
      <c r="G134"/>
      <c r="J134" s="20">
        <v>43958</v>
      </c>
      <c r="K134" s="43">
        <v>0.72550000000000003</v>
      </c>
      <c r="L134" s="43"/>
      <c r="M134"/>
    </row>
    <row r="135" spans="1:13">
      <c r="A135" s="20">
        <v>43957</v>
      </c>
      <c r="D135" s="20">
        <v>43959</v>
      </c>
      <c r="E135" s="43">
        <v>15.5</v>
      </c>
      <c r="F135" s="43">
        <v>0.62529999999999997</v>
      </c>
      <c r="G135"/>
      <c r="J135" s="20">
        <v>43959</v>
      </c>
      <c r="K135" s="43">
        <v>0.62529999999999997</v>
      </c>
      <c r="L135" s="43"/>
      <c r="M135"/>
    </row>
    <row r="136" spans="1:13">
      <c r="A136" s="20">
        <v>43958</v>
      </c>
      <c r="D136" s="20">
        <v>43962</v>
      </c>
      <c r="E136" s="43">
        <v>16.23</v>
      </c>
      <c r="F136" s="43">
        <v>0.6875</v>
      </c>
      <c r="G136"/>
      <c r="J136" s="20">
        <v>43962</v>
      </c>
      <c r="K136" s="43">
        <v>0.6875</v>
      </c>
      <c r="L136" s="43"/>
      <c r="M136"/>
    </row>
    <row r="137" spans="1:13">
      <c r="A137" s="20">
        <v>43959</v>
      </c>
      <c r="D137" s="20">
        <v>43963</v>
      </c>
      <c r="E137" s="43">
        <v>17.010000000000002</v>
      </c>
      <c r="F137" s="43">
        <v>0.68210000000000004</v>
      </c>
      <c r="G137"/>
      <c r="J137" s="20">
        <v>43963</v>
      </c>
      <c r="K137" s="43">
        <v>0.68210000000000004</v>
      </c>
      <c r="L137" s="43"/>
      <c r="M137"/>
    </row>
    <row r="138" spans="1:13">
      <c r="A138" s="20">
        <v>43962</v>
      </c>
      <c r="D138" s="20">
        <v>43964</v>
      </c>
      <c r="E138" s="43">
        <v>17.12</v>
      </c>
      <c r="F138" s="43">
        <v>0.70009999999999994</v>
      </c>
      <c r="G138"/>
      <c r="J138" s="20">
        <v>43964</v>
      </c>
      <c r="K138" s="43">
        <v>0.70009999999999994</v>
      </c>
      <c r="L138" s="43"/>
      <c r="M138"/>
    </row>
    <row r="139" spans="1:13">
      <c r="A139" s="20">
        <v>43963</v>
      </c>
      <c r="D139" s="20">
        <v>43965</v>
      </c>
      <c r="E139" s="43">
        <v>16.32</v>
      </c>
      <c r="F139" s="43">
        <v>0.68489999999999995</v>
      </c>
      <c r="G139"/>
      <c r="J139" s="20">
        <v>43965</v>
      </c>
      <c r="K139" s="43">
        <v>0.68489999999999995</v>
      </c>
      <c r="L139" s="43"/>
      <c r="M139"/>
    </row>
    <row r="140" spans="1:13">
      <c r="A140" s="20">
        <v>43964</v>
      </c>
      <c r="D140" s="20">
        <v>43966</v>
      </c>
      <c r="E140" s="43">
        <v>16.260000000000002</v>
      </c>
      <c r="F140" s="43">
        <v>0.70399999999999996</v>
      </c>
      <c r="G140"/>
      <c r="J140" s="20">
        <v>43966</v>
      </c>
      <c r="K140" s="43">
        <v>0.70399999999999996</v>
      </c>
      <c r="L140" s="43"/>
      <c r="M140"/>
    </row>
    <row r="141" spans="1:13">
      <c r="A141" s="20">
        <v>43965</v>
      </c>
      <c r="D141" s="20">
        <v>43969</v>
      </c>
      <c r="E141" s="43">
        <v>16.52</v>
      </c>
      <c r="F141" s="43">
        <v>0.72719999999999996</v>
      </c>
      <c r="G141"/>
      <c r="J141" s="20">
        <v>43969</v>
      </c>
      <c r="K141" s="43">
        <v>0.72719999999999996</v>
      </c>
      <c r="L141" s="43"/>
      <c r="M141"/>
    </row>
    <row r="142" spans="1:13">
      <c r="A142" s="20">
        <v>43966</v>
      </c>
      <c r="D142" s="20">
        <v>43970</v>
      </c>
      <c r="E142" s="43">
        <v>16.7</v>
      </c>
      <c r="F142" s="43">
        <v>0.78369999999999995</v>
      </c>
      <c r="G142"/>
      <c r="J142" s="20">
        <v>43970</v>
      </c>
      <c r="K142" s="43">
        <v>0.78369999999999995</v>
      </c>
      <c r="L142" s="43"/>
      <c r="M142"/>
    </row>
    <row r="143" spans="1:13">
      <c r="A143" s="20">
        <v>43969</v>
      </c>
      <c r="D143" s="20">
        <v>43971</v>
      </c>
      <c r="E143" s="43">
        <v>20.66</v>
      </c>
      <c r="F143" s="43">
        <v>0.76629999999999998</v>
      </c>
      <c r="G143"/>
      <c r="J143" s="20">
        <v>43971</v>
      </c>
      <c r="K143" s="43">
        <v>0.76629999999999998</v>
      </c>
      <c r="L143" s="43"/>
      <c r="M143"/>
    </row>
    <row r="144" spans="1:13">
      <c r="A144" s="20">
        <v>43970</v>
      </c>
      <c r="D144" s="20">
        <v>43972</v>
      </c>
      <c r="E144" s="43">
        <v>21.2</v>
      </c>
      <c r="F144" s="43">
        <v>0.82150000000000001</v>
      </c>
      <c r="G144"/>
      <c r="J144" s="20">
        <v>43972</v>
      </c>
      <c r="K144" s="43">
        <v>0.82150000000000001</v>
      </c>
      <c r="L144" s="43"/>
      <c r="M144"/>
    </row>
    <row r="145" spans="1:13">
      <c r="A145" s="20">
        <v>43971</v>
      </c>
      <c r="D145" s="20">
        <v>43973</v>
      </c>
      <c r="E145" s="43">
        <v>24.79</v>
      </c>
      <c r="F145" s="43">
        <v>0.90129999999999999</v>
      </c>
      <c r="G145"/>
      <c r="J145" s="20">
        <v>43973</v>
      </c>
      <c r="K145" s="43">
        <v>0.90129999999999999</v>
      </c>
      <c r="L145" s="43"/>
      <c r="M145"/>
    </row>
    <row r="146" spans="1:13">
      <c r="A146" s="20">
        <v>43972</v>
      </c>
      <c r="D146" s="20">
        <v>43977</v>
      </c>
      <c r="E146" s="43">
        <v>24.2</v>
      </c>
      <c r="F146" s="43">
        <v>0.87690000000000001</v>
      </c>
      <c r="G146"/>
      <c r="J146" s="20">
        <v>43977</v>
      </c>
      <c r="K146" s="43">
        <v>0.87690000000000001</v>
      </c>
      <c r="L146" s="43"/>
      <c r="M146"/>
    </row>
    <row r="147" spans="1:13">
      <c r="A147" s="20">
        <v>43973</v>
      </c>
      <c r="D147" s="20">
        <v>43978</v>
      </c>
      <c r="E147" s="43">
        <v>23.72</v>
      </c>
      <c r="F147" s="43">
        <v>0.93140000000000001</v>
      </c>
      <c r="G147"/>
      <c r="J147" s="20">
        <v>43978</v>
      </c>
      <c r="K147" s="43">
        <v>0.93140000000000001</v>
      </c>
      <c r="L147" s="43"/>
      <c r="M147"/>
    </row>
    <row r="148" spans="1:13">
      <c r="A148" s="20">
        <v>43977</v>
      </c>
      <c r="D148" s="20">
        <v>43979</v>
      </c>
      <c r="E148" s="43">
        <v>24.67</v>
      </c>
      <c r="F148" s="43">
        <v>0.95220000000000005</v>
      </c>
      <c r="G148"/>
      <c r="J148" s="20">
        <v>43979</v>
      </c>
      <c r="K148" s="43">
        <v>0.95220000000000005</v>
      </c>
      <c r="L148" s="43"/>
      <c r="M148"/>
    </row>
    <row r="149" spans="1:13">
      <c r="A149" s="20">
        <v>43978</v>
      </c>
      <c r="D149" s="20">
        <v>43980</v>
      </c>
      <c r="E149" s="43">
        <v>24.08</v>
      </c>
      <c r="F149" s="43">
        <v>0.92420000000000002</v>
      </c>
      <c r="G149"/>
      <c r="J149" s="20">
        <v>43980</v>
      </c>
      <c r="K149" s="43">
        <v>0.92420000000000002</v>
      </c>
      <c r="L149" s="43"/>
      <c r="M149"/>
    </row>
    <row r="150" spans="1:13">
      <c r="A150" s="20">
        <v>43979</v>
      </c>
      <c r="D150" s="20">
        <v>43983</v>
      </c>
      <c r="E150" s="43">
        <v>25.01</v>
      </c>
      <c r="F150" s="43">
        <v>0.93630000000000002</v>
      </c>
      <c r="G150"/>
      <c r="J150" s="20">
        <v>43983</v>
      </c>
      <c r="K150" s="43">
        <v>0.93630000000000002</v>
      </c>
      <c r="L150" s="43"/>
      <c r="M150"/>
    </row>
    <row r="151" spans="1:13">
      <c r="A151" s="20">
        <v>43980</v>
      </c>
      <c r="D151" s="20">
        <v>43984</v>
      </c>
      <c r="E151" s="43">
        <v>24.66</v>
      </c>
      <c r="F151" s="43">
        <v>0.88180000000000003</v>
      </c>
      <c r="G151"/>
      <c r="J151" s="20">
        <v>43984</v>
      </c>
      <c r="K151" s="43">
        <v>0.88180000000000003</v>
      </c>
      <c r="L151" s="43"/>
      <c r="M151"/>
    </row>
    <row r="152" spans="1:13">
      <c r="A152" s="20">
        <v>43983</v>
      </c>
      <c r="D152" s="20">
        <v>43985</v>
      </c>
      <c r="E152" s="43">
        <v>25.88</v>
      </c>
      <c r="F152" s="43">
        <v>0.93689999999999996</v>
      </c>
      <c r="G152"/>
      <c r="J152" s="20">
        <v>43985</v>
      </c>
      <c r="K152" s="43">
        <v>0.93689999999999996</v>
      </c>
      <c r="L152" s="43"/>
      <c r="M152"/>
    </row>
    <row r="153" spans="1:13">
      <c r="A153" s="20">
        <v>43984</v>
      </c>
      <c r="D153" s="20">
        <v>43986</v>
      </c>
      <c r="E153" s="43">
        <v>26.74</v>
      </c>
      <c r="F153" s="43">
        <v>0.98380000000000001</v>
      </c>
      <c r="G153"/>
      <c r="J153" s="20">
        <v>43986</v>
      </c>
      <c r="K153" s="43">
        <v>0.98380000000000001</v>
      </c>
      <c r="L153" s="43"/>
      <c r="M153"/>
    </row>
    <row r="154" spans="1:13">
      <c r="A154" s="20">
        <v>43985</v>
      </c>
      <c r="D154" s="20">
        <v>43987</v>
      </c>
      <c r="E154" s="43">
        <v>27.72</v>
      </c>
      <c r="F154" s="43">
        <v>1.0426</v>
      </c>
      <c r="G154"/>
      <c r="J154" s="20">
        <v>43987</v>
      </c>
      <c r="K154" s="43">
        <v>1.0426</v>
      </c>
      <c r="L154" s="43"/>
      <c r="M154"/>
    </row>
    <row r="155" spans="1:13">
      <c r="A155" s="20">
        <v>43986</v>
      </c>
      <c r="D155" s="20">
        <v>43990</v>
      </c>
      <c r="E155" s="43">
        <v>27.86</v>
      </c>
      <c r="F155" s="43">
        <v>1.0549999999999999</v>
      </c>
      <c r="G155"/>
      <c r="J155" s="20">
        <v>43990</v>
      </c>
      <c r="K155" s="43">
        <v>1.0549999999999999</v>
      </c>
      <c r="L155" s="43"/>
      <c r="M155"/>
    </row>
    <row r="156" spans="1:13">
      <c r="A156" s="20">
        <v>43987</v>
      </c>
      <c r="D156" s="20">
        <v>43991</v>
      </c>
      <c r="E156" s="43">
        <v>28.4</v>
      </c>
      <c r="F156" s="43">
        <v>1.0438000000000001</v>
      </c>
      <c r="G156"/>
      <c r="J156" s="20">
        <v>43991</v>
      </c>
      <c r="K156" s="43">
        <v>1.0438000000000001</v>
      </c>
      <c r="L156" s="43"/>
      <c r="M156"/>
    </row>
    <row r="157" spans="1:13">
      <c r="A157" s="20">
        <v>43990</v>
      </c>
      <c r="D157" s="20">
        <v>43992</v>
      </c>
      <c r="E157" s="43">
        <v>28.53</v>
      </c>
      <c r="F157" s="43">
        <v>1.0618000000000001</v>
      </c>
      <c r="G157"/>
      <c r="J157" s="20">
        <v>43992</v>
      </c>
      <c r="K157" s="43">
        <v>1.0618000000000001</v>
      </c>
      <c r="L157" s="43"/>
      <c r="M157"/>
    </row>
    <row r="158" spans="1:13">
      <c r="A158" s="20">
        <v>43991</v>
      </c>
      <c r="D158" s="20">
        <v>43993</v>
      </c>
      <c r="E158" s="43">
        <v>28.36</v>
      </c>
      <c r="F158" s="43">
        <v>1.0518000000000001</v>
      </c>
      <c r="G158"/>
      <c r="J158" s="20">
        <v>43993</v>
      </c>
      <c r="K158" s="43">
        <v>1.0518000000000001</v>
      </c>
      <c r="L158" s="43"/>
      <c r="M158"/>
    </row>
    <row r="159" spans="1:13">
      <c r="A159" s="20">
        <v>43992</v>
      </c>
      <c r="D159" s="20">
        <v>43994</v>
      </c>
      <c r="E159" s="43">
        <v>28.58</v>
      </c>
      <c r="F159" s="43">
        <v>1.0648</v>
      </c>
      <c r="G159"/>
      <c r="J159" s="20">
        <v>43994</v>
      </c>
      <c r="K159" s="43">
        <v>1.0648</v>
      </c>
      <c r="L159" s="43"/>
      <c r="M159"/>
    </row>
    <row r="160" spans="1:13">
      <c r="A160" s="20">
        <v>43993</v>
      </c>
      <c r="D160" s="20">
        <v>43997</v>
      </c>
      <c r="E160" s="43">
        <v>28.35</v>
      </c>
      <c r="F160" s="43">
        <v>1.0177</v>
      </c>
      <c r="G160"/>
      <c r="J160" s="20">
        <v>43997</v>
      </c>
      <c r="K160" s="43">
        <v>1.0177</v>
      </c>
      <c r="L160" s="43"/>
      <c r="M160"/>
    </row>
    <row r="161" spans="1:13">
      <c r="A161" s="20">
        <v>43994</v>
      </c>
      <c r="D161" s="20">
        <v>43998</v>
      </c>
      <c r="E161" s="43">
        <v>28.44</v>
      </c>
      <c r="F161" s="43">
        <v>1.026</v>
      </c>
      <c r="G161"/>
      <c r="J161" s="20">
        <v>43998</v>
      </c>
      <c r="K161" s="43">
        <v>1.026</v>
      </c>
      <c r="L161" s="43"/>
      <c r="M161"/>
    </row>
    <row r="162" spans="1:13">
      <c r="A162" s="20">
        <v>43997</v>
      </c>
      <c r="D162" s="20">
        <v>43999</v>
      </c>
      <c r="E162" s="43">
        <v>28.53</v>
      </c>
      <c r="F162" s="43">
        <v>1.0785</v>
      </c>
      <c r="G162"/>
      <c r="J162" s="20">
        <v>43999</v>
      </c>
      <c r="K162" s="43">
        <v>1.0785</v>
      </c>
      <c r="L162" s="43"/>
      <c r="M162"/>
    </row>
    <row r="163" spans="1:13">
      <c r="A163" s="20">
        <v>43998</v>
      </c>
      <c r="D163" s="20">
        <v>44000</v>
      </c>
      <c r="E163" s="43">
        <v>35.54</v>
      </c>
      <c r="F163" s="43">
        <v>1.0667</v>
      </c>
      <c r="G163"/>
      <c r="J163" s="20">
        <v>44000</v>
      </c>
      <c r="K163" s="43">
        <v>1.0667</v>
      </c>
      <c r="L163" s="43"/>
      <c r="M163"/>
    </row>
    <row r="164" spans="1:13">
      <c r="A164" s="20">
        <v>43999</v>
      </c>
      <c r="D164" s="20">
        <v>44001</v>
      </c>
      <c r="E164" s="43">
        <v>36.82</v>
      </c>
      <c r="F164" s="43">
        <v>1.1183000000000001</v>
      </c>
      <c r="G164"/>
      <c r="J164" s="20">
        <v>44001</v>
      </c>
      <c r="K164" s="43">
        <v>1.1183000000000001</v>
      </c>
      <c r="L164" s="43"/>
      <c r="M164"/>
    </row>
    <row r="165" spans="1:13">
      <c r="A165" s="20">
        <v>44000</v>
      </c>
      <c r="D165" s="20">
        <v>44004</v>
      </c>
      <c r="E165" s="43">
        <v>37.270000000000003</v>
      </c>
      <c r="F165" s="43">
        <v>1.1193</v>
      </c>
      <c r="G165"/>
      <c r="J165" s="20">
        <v>44004</v>
      </c>
      <c r="K165" s="43">
        <v>1.1193</v>
      </c>
      <c r="L165" s="43"/>
      <c r="M165"/>
    </row>
    <row r="166" spans="1:13">
      <c r="A166" s="20">
        <v>44001</v>
      </c>
      <c r="D166" s="20">
        <v>44005</v>
      </c>
      <c r="E166" s="43">
        <v>37.369999999999997</v>
      </c>
      <c r="F166" s="43">
        <v>1.149</v>
      </c>
      <c r="G166"/>
      <c r="J166" s="20">
        <v>44005</v>
      </c>
      <c r="K166" s="43">
        <v>1.149</v>
      </c>
      <c r="L166" s="43"/>
      <c r="M166"/>
    </row>
    <row r="167" spans="1:13">
      <c r="A167" s="20">
        <v>44004</v>
      </c>
      <c r="D167" s="20">
        <v>44006</v>
      </c>
      <c r="E167" s="43">
        <v>38.17</v>
      </c>
      <c r="F167" s="43">
        <v>1.2136</v>
      </c>
      <c r="G167"/>
      <c r="J167" s="20">
        <v>44006</v>
      </c>
      <c r="K167" s="43">
        <v>1.2136</v>
      </c>
      <c r="L167" s="43"/>
      <c r="M167"/>
    </row>
    <row r="168" spans="1:13">
      <c r="A168" s="20">
        <v>44005</v>
      </c>
      <c r="D168" s="20">
        <v>44007</v>
      </c>
      <c r="E168" s="43">
        <v>37.18</v>
      </c>
      <c r="F168" s="43">
        <v>1.1950000000000001</v>
      </c>
      <c r="G168"/>
      <c r="J168" s="20">
        <v>44007</v>
      </c>
      <c r="K168" s="43">
        <v>1.1950000000000001</v>
      </c>
      <c r="L168" s="43"/>
      <c r="M168"/>
    </row>
    <row r="169" spans="1:13">
      <c r="A169" s="20">
        <v>44006</v>
      </c>
      <c r="D169" s="20">
        <v>44008</v>
      </c>
      <c r="E169" s="43">
        <v>37.99</v>
      </c>
      <c r="F169" s="43">
        <v>1.2102999999999999</v>
      </c>
      <c r="G169"/>
      <c r="J169" s="20">
        <v>44008</v>
      </c>
      <c r="K169" s="43">
        <v>1.2102999999999999</v>
      </c>
      <c r="L169" s="43"/>
      <c r="M169"/>
    </row>
    <row r="170" spans="1:13">
      <c r="A170" s="20">
        <v>44007</v>
      </c>
      <c r="D170" s="20">
        <v>44011</v>
      </c>
      <c r="E170" s="43">
        <v>37.340000000000003</v>
      </c>
      <c r="F170" s="43">
        <v>1.2099</v>
      </c>
      <c r="G170"/>
      <c r="J170" s="20">
        <v>44011</v>
      </c>
      <c r="K170" s="43">
        <v>1.2099</v>
      </c>
      <c r="L170" s="43">
        <v>2.1</v>
      </c>
      <c r="M170"/>
    </row>
    <row r="171" spans="1:13">
      <c r="A171" s="20">
        <v>44008</v>
      </c>
      <c r="D171" s="20">
        <v>44012</v>
      </c>
      <c r="E171" s="43">
        <v>36.97</v>
      </c>
      <c r="F171" s="43">
        <v>1.1188</v>
      </c>
      <c r="G171"/>
      <c r="J171" s="20">
        <v>44012</v>
      </c>
      <c r="K171" s="43">
        <v>1.1188</v>
      </c>
      <c r="L171" s="43"/>
      <c r="M171"/>
    </row>
    <row r="172" spans="1:13">
      <c r="A172" s="20">
        <v>44011</v>
      </c>
      <c r="B172" s="43">
        <v>2.1</v>
      </c>
      <c r="D172" s="20">
        <v>44013</v>
      </c>
      <c r="E172" s="43">
        <v>36.93</v>
      </c>
      <c r="F172" s="43">
        <v>1.1367</v>
      </c>
      <c r="G172"/>
      <c r="J172" s="20">
        <v>44013</v>
      </c>
      <c r="K172" s="43">
        <v>1.1367</v>
      </c>
      <c r="L172" s="43"/>
      <c r="M172"/>
    </row>
    <row r="173" spans="1:13">
      <c r="A173" s="20">
        <v>44012</v>
      </c>
      <c r="D173" s="20">
        <v>44014</v>
      </c>
      <c r="E173" s="43">
        <v>37.42</v>
      </c>
      <c r="F173" s="43">
        <v>1.1732</v>
      </c>
      <c r="G173"/>
      <c r="J173" s="20">
        <v>44014</v>
      </c>
      <c r="K173" s="43">
        <v>1.1732</v>
      </c>
      <c r="L173" s="43"/>
      <c r="M173"/>
    </row>
    <row r="174" spans="1:13">
      <c r="A174" s="20">
        <v>44013</v>
      </c>
      <c r="D174" s="20">
        <v>44015</v>
      </c>
      <c r="E174" s="43">
        <v>38.03</v>
      </c>
      <c r="F174" s="43">
        <v>1.2149000000000001</v>
      </c>
      <c r="G174"/>
      <c r="J174" s="20">
        <v>44015</v>
      </c>
      <c r="K174" s="43">
        <v>1.2149000000000001</v>
      </c>
      <c r="L174" s="43"/>
      <c r="M174"/>
    </row>
    <row r="175" spans="1:13">
      <c r="A175" s="20">
        <v>44014</v>
      </c>
      <c r="D175" s="20">
        <v>44018</v>
      </c>
      <c r="E175" s="43">
        <v>37.840000000000003</v>
      </c>
      <c r="F175" s="43">
        <v>1.2219</v>
      </c>
      <c r="G175"/>
      <c r="J175" s="20">
        <v>44018</v>
      </c>
      <c r="K175" s="43">
        <v>1.2219</v>
      </c>
      <c r="L175" s="43"/>
      <c r="M175"/>
    </row>
    <row r="176" spans="1:13">
      <c r="A176" s="20">
        <v>44015</v>
      </c>
      <c r="D176" s="20">
        <v>44019</v>
      </c>
      <c r="E176" s="43">
        <v>38.19</v>
      </c>
      <c r="F176" s="43">
        <v>1.2575000000000001</v>
      </c>
      <c r="G176"/>
      <c r="J176" s="20">
        <v>44019</v>
      </c>
      <c r="K176" s="43">
        <v>1.2575000000000001</v>
      </c>
      <c r="L176" s="43"/>
      <c r="M176"/>
    </row>
    <row r="177" spans="1:13">
      <c r="A177" s="20">
        <v>44018</v>
      </c>
      <c r="D177" s="20">
        <v>44020</v>
      </c>
      <c r="E177" s="43">
        <v>38.479999999999997</v>
      </c>
      <c r="F177" s="43">
        <v>1.2709999999999999</v>
      </c>
      <c r="G177"/>
      <c r="J177" s="20">
        <v>44020</v>
      </c>
      <c r="K177" s="43">
        <v>1.2709999999999999</v>
      </c>
      <c r="L177" s="43"/>
      <c r="M177"/>
    </row>
    <row r="178" spans="1:13">
      <c r="A178" s="20">
        <v>44019</v>
      </c>
      <c r="D178" s="20">
        <v>44021</v>
      </c>
      <c r="E178" s="43">
        <v>38.76</v>
      </c>
      <c r="F178" s="43">
        <v>1.2904</v>
      </c>
      <c r="G178"/>
      <c r="J178" s="20">
        <v>44021</v>
      </c>
      <c r="K178" s="43">
        <v>1.2904</v>
      </c>
      <c r="L178" s="43"/>
      <c r="M178"/>
    </row>
    <row r="179" spans="1:13">
      <c r="A179" s="20">
        <v>44020</v>
      </c>
      <c r="D179" s="20">
        <v>44022</v>
      </c>
      <c r="E179" s="43">
        <v>38.659999999999997</v>
      </c>
      <c r="F179" s="43">
        <v>1.2983</v>
      </c>
      <c r="G179"/>
      <c r="J179" s="20">
        <v>44022</v>
      </c>
      <c r="K179" s="43">
        <v>1.2983</v>
      </c>
      <c r="L179" s="43"/>
      <c r="M179"/>
    </row>
    <row r="180" spans="1:13">
      <c r="A180" s="20">
        <v>44021</v>
      </c>
      <c r="D180" s="20">
        <v>44025</v>
      </c>
      <c r="E180" s="43">
        <v>38.130000000000003</v>
      </c>
      <c r="F180" s="43">
        <v>1.1992</v>
      </c>
      <c r="G180"/>
      <c r="J180" s="20">
        <v>44025</v>
      </c>
      <c r="K180" s="43">
        <v>1.1992</v>
      </c>
      <c r="L180" s="43"/>
      <c r="M180"/>
    </row>
    <row r="181" spans="1:13">
      <c r="A181" s="20">
        <v>44022</v>
      </c>
      <c r="D181" s="20">
        <v>44026</v>
      </c>
      <c r="E181" s="43">
        <v>38.25</v>
      </c>
      <c r="F181" s="43">
        <v>1.1972</v>
      </c>
      <c r="G181"/>
      <c r="J181" s="20">
        <v>44026</v>
      </c>
      <c r="K181" s="43">
        <v>1.1972</v>
      </c>
      <c r="L181" s="43"/>
      <c r="M181"/>
    </row>
    <row r="182" spans="1:13">
      <c r="A182" s="20">
        <v>44025</v>
      </c>
      <c r="D182" s="20">
        <v>44027</v>
      </c>
      <c r="E182" s="43">
        <v>38.22</v>
      </c>
      <c r="F182" s="43">
        <v>1.1569</v>
      </c>
      <c r="G182"/>
      <c r="J182" s="20">
        <v>44027</v>
      </c>
      <c r="K182" s="43">
        <v>1.1569</v>
      </c>
      <c r="L182" s="43"/>
      <c r="M182"/>
    </row>
    <row r="183" spans="1:13">
      <c r="A183" s="20">
        <v>44026</v>
      </c>
      <c r="D183" s="20">
        <v>44028</v>
      </c>
      <c r="E183" s="43">
        <v>38.33</v>
      </c>
      <c r="F183" s="43">
        <v>1.1878</v>
      </c>
      <c r="G183"/>
      <c r="J183" s="20">
        <v>44028</v>
      </c>
      <c r="K183" s="43">
        <v>1.1878</v>
      </c>
      <c r="L183" s="43"/>
      <c r="M183"/>
    </row>
    <row r="184" spans="1:13">
      <c r="A184" s="20">
        <v>44027</v>
      </c>
      <c r="D184" s="20">
        <v>44029</v>
      </c>
      <c r="E184" s="43">
        <v>38.31</v>
      </c>
      <c r="F184" s="43">
        <v>1.2015</v>
      </c>
      <c r="G184"/>
      <c r="J184" s="20">
        <v>44029</v>
      </c>
      <c r="K184" s="43">
        <v>1.2015</v>
      </c>
      <c r="L184" s="43"/>
      <c r="M184"/>
    </row>
    <row r="185" spans="1:13">
      <c r="A185" s="20">
        <v>44028</v>
      </c>
      <c r="D185" s="20">
        <v>44032</v>
      </c>
      <c r="E185" s="43">
        <v>39.86</v>
      </c>
      <c r="F185" s="43">
        <v>1.2169000000000001</v>
      </c>
      <c r="G185"/>
      <c r="J185" s="20">
        <v>44032</v>
      </c>
      <c r="K185" s="43">
        <v>1.2169000000000001</v>
      </c>
      <c r="L185" s="43"/>
      <c r="M185"/>
    </row>
    <row r="186" spans="1:13">
      <c r="A186" s="20">
        <v>44029</v>
      </c>
      <c r="D186" s="20">
        <v>44033</v>
      </c>
      <c r="E186" s="43">
        <v>40.65</v>
      </c>
      <c r="F186" s="43">
        <v>1.2592000000000001</v>
      </c>
      <c r="G186"/>
      <c r="J186" s="20">
        <v>44033</v>
      </c>
      <c r="K186" s="43">
        <v>1.2592000000000001</v>
      </c>
      <c r="L186" s="43"/>
      <c r="M186"/>
    </row>
    <row r="187" spans="1:13">
      <c r="A187" s="20">
        <v>44032</v>
      </c>
      <c r="D187" s="20">
        <v>44034</v>
      </c>
      <c r="E187" s="43">
        <v>40.630000000000003</v>
      </c>
      <c r="F187" s="43">
        <v>1.2407999999999999</v>
      </c>
      <c r="G187"/>
      <c r="J187" s="20">
        <v>44034</v>
      </c>
      <c r="K187" s="43">
        <v>1.2407999999999999</v>
      </c>
      <c r="L187" s="43"/>
      <c r="M187"/>
    </row>
    <row r="188" spans="1:13">
      <c r="A188" s="20">
        <v>44033</v>
      </c>
      <c r="D188" s="20">
        <v>44035</v>
      </c>
      <c r="E188" s="43">
        <v>40.61</v>
      </c>
      <c r="F188" s="43">
        <v>1.2749999999999999</v>
      </c>
      <c r="G188"/>
      <c r="J188" s="20">
        <v>44035</v>
      </c>
      <c r="K188" s="43">
        <v>1.2749999999999999</v>
      </c>
      <c r="L188" s="43"/>
      <c r="M188"/>
    </row>
    <row r="189" spans="1:13">
      <c r="A189" s="20">
        <v>44034</v>
      </c>
      <c r="D189" s="20">
        <v>44036</v>
      </c>
      <c r="E189" s="43">
        <v>40.869999999999997</v>
      </c>
      <c r="F189" s="43">
        <v>1.2908999999999999</v>
      </c>
      <c r="G189"/>
      <c r="J189" s="20">
        <v>44036</v>
      </c>
      <c r="K189" s="43">
        <v>1.2908999999999999</v>
      </c>
      <c r="L189" s="43"/>
      <c r="M189"/>
    </row>
    <row r="190" spans="1:13">
      <c r="A190" s="20">
        <v>44035</v>
      </c>
      <c r="D190" s="20">
        <v>44039</v>
      </c>
      <c r="E190" s="43">
        <v>39.9</v>
      </c>
      <c r="F190" s="43">
        <v>1.2504999999999999</v>
      </c>
      <c r="G190"/>
      <c r="J190" s="20">
        <v>44039</v>
      </c>
      <c r="K190" s="43">
        <v>1.2504999999999999</v>
      </c>
      <c r="L190" s="43"/>
      <c r="M190"/>
    </row>
    <row r="191" spans="1:13">
      <c r="A191" s="20">
        <v>44036</v>
      </c>
      <c r="D191" s="20">
        <v>44040</v>
      </c>
      <c r="E191" s="43">
        <v>40.58</v>
      </c>
      <c r="F191" s="43">
        <v>1.2830999999999999</v>
      </c>
      <c r="G191"/>
      <c r="J191" s="20">
        <v>44040</v>
      </c>
      <c r="K191" s="43">
        <v>1.2830999999999999</v>
      </c>
      <c r="L191" s="43"/>
      <c r="M191"/>
    </row>
    <row r="192" spans="1:13">
      <c r="A192" s="20">
        <v>44039</v>
      </c>
      <c r="D192" s="20">
        <v>44041</v>
      </c>
      <c r="E192" s="43">
        <v>40.28</v>
      </c>
      <c r="F192" s="43">
        <v>1.2471000000000001</v>
      </c>
      <c r="G192"/>
      <c r="J192" s="20">
        <v>44041</v>
      </c>
      <c r="K192" s="43">
        <v>1.2471000000000001</v>
      </c>
      <c r="L192" s="43"/>
      <c r="M192"/>
    </row>
    <row r="193" spans="1:13">
      <c r="A193" s="20">
        <v>44040</v>
      </c>
      <c r="D193" s="20">
        <v>44042</v>
      </c>
      <c r="E193" s="43">
        <v>40.409999999999997</v>
      </c>
      <c r="F193" s="43">
        <v>1.2262</v>
      </c>
      <c r="G193"/>
      <c r="J193" s="20">
        <v>44042</v>
      </c>
      <c r="K193" s="43">
        <v>1.2262</v>
      </c>
      <c r="L193" s="43"/>
      <c r="M193"/>
    </row>
    <row r="194" spans="1:13">
      <c r="A194" s="20">
        <v>44041</v>
      </c>
      <c r="D194" s="20">
        <v>44043</v>
      </c>
      <c r="E194" s="43">
        <v>40.93</v>
      </c>
      <c r="F194" s="43">
        <v>1.2427999999999999</v>
      </c>
      <c r="G194"/>
      <c r="J194" s="20">
        <v>44043</v>
      </c>
      <c r="K194" s="43">
        <v>1.2427999999999999</v>
      </c>
      <c r="L194" s="43"/>
      <c r="M194"/>
    </row>
    <row r="195" spans="1:13">
      <c r="A195" s="20">
        <v>44042</v>
      </c>
      <c r="D195" s="20">
        <v>44046</v>
      </c>
      <c r="E195" s="43">
        <v>40.67</v>
      </c>
      <c r="F195" s="43">
        <v>1.2157</v>
      </c>
      <c r="G195"/>
      <c r="J195" s="20">
        <v>44046</v>
      </c>
      <c r="K195" s="43">
        <v>1.2157</v>
      </c>
      <c r="L195" s="43"/>
      <c r="M195"/>
    </row>
    <row r="196" spans="1:13">
      <c r="A196" s="20">
        <v>44043</v>
      </c>
      <c r="D196" s="20">
        <v>44047</v>
      </c>
      <c r="E196" s="43">
        <v>40.590000000000003</v>
      </c>
      <c r="F196" s="43">
        <v>1.2061999999999999</v>
      </c>
      <c r="G196"/>
      <c r="J196" s="20">
        <v>44047</v>
      </c>
      <c r="K196" s="43">
        <v>1.2061999999999999</v>
      </c>
      <c r="L196" s="43"/>
      <c r="M196"/>
    </row>
    <row r="197" spans="1:13">
      <c r="A197" s="20">
        <v>44046</v>
      </c>
      <c r="D197" s="20">
        <v>44048</v>
      </c>
      <c r="E197" s="43">
        <v>40.67</v>
      </c>
      <c r="F197" s="43">
        <v>1.2131000000000001</v>
      </c>
      <c r="G197"/>
      <c r="J197" s="20">
        <v>44048</v>
      </c>
      <c r="K197" s="43">
        <v>1.2131000000000001</v>
      </c>
      <c r="L197" s="43"/>
      <c r="M197"/>
    </row>
    <row r="198" spans="1:13">
      <c r="A198" s="20">
        <v>44047</v>
      </c>
      <c r="D198" s="20">
        <v>44049</v>
      </c>
      <c r="E198" s="43">
        <v>41.08</v>
      </c>
      <c r="F198" s="43">
        <v>1.2604</v>
      </c>
      <c r="G198"/>
      <c r="J198" s="20">
        <v>44049</v>
      </c>
      <c r="K198" s="43">
        <v>1.2604</v>
      </c>
      <c r="L198" s="43"/>
      <c r="M198"/>
    </row>
    <row r="199" spans="1:13">
      <c r="A199" s="20">
        <v>44048</v>
      </c>
      <c r="D199" s="20">
        <v>44050</v>
      </c>
      <c r="E199" s="43">
        <v>41.08</v>
      </c>
      <c r="F199" s="43">
        <v>1.2603</v>
      </c>
      <c r="G199"/>
      <c r="J199" s="20">
        <v>44050</v>
      </c>
      <c r="K199" s="43">
        <v>1.2603</v>
      </c>
      <c r="L199" s="43"/>
      <c r="M199"/>
    </row>
    <row r="200" spans="1:13">
      <c r="A200" s="20">
        <v>44049</v>
      </c>
      <c r="D200" s="20">
        <v>44053</v>
      </c>
      <c r="E200" s="43">
        <v>40.81</v>
      </c>
      <c r="F200" s="43">
        <v>1.2363</v>
      </c>
      <c r="G200"/>
      <c r="J200" s="20">
        <v>44053</v>
      </c>
      <c r="K200" s="43">
        <v>1.2363</v>
      </c>
      <c r="L200" s="43"/>
      <c r="M200"/>
    </row>
    <row r="201" spans="1:13">
      <c r="A201" s="20">
        <v>44050</v>
      </c>
      <c r="D201" s="20">
        <v>44054</v>
      </c>
      <c r="E201" s="43">
        <v>40.869999999999997</v>
      </c>
      <c r="F201" s="43">
        <v>1.256</v>
      </c>
      <c r="G201"/>
      <c r="J201" s="20">
        <v>44054</v>
      </c>
      <c r="K201" s="43">
        <v>1.256</v>
      </c>
      <c r="L201" s="43"/>
      <c r="M201"/>
    </row>
    <row r="202" spans="1:13">
      <c r="A202" s="20">
        <v>44053</v>
      </c>
      <c r="D202" s="20">
        <v>44055</v>
      </c>
      <c r="E202" s="43">
        <v>40.94</v>
      </c>
      <c r="F202" s="43">
        <v>1.2446999999999999</v>
      </c>
      <c r="G202"/>
      <c r="J202" s="20">
        <v>44055</v>
      </c>
      <c r="K202" s="43">
        <v>1.2446999999999999</v>
      </c>
      <c r="L202" s="43"/>
      <c r="M202"/>
    </row>
    <row r="203" spans="1:13">
      <c r="A203" s="20">
        <v>44054</v>
      </c>
      <c r="D203" s="20">
        <v>44056</v>
      </c>
      <c r="E203" s="43">
        <v>40.840000000000003</v>
      </c>
      <c r="F203" s="43">
        <v>1.2352000000000001</v>
      </c>
      <c r="G203"/>
      <c r="J203" s="20">
        <v>44056</v>
      </c>
      <c r="K203" s="43">
        <v>1.2352000000000001</v>
      </c>
      <c r="L203" s="43"/>
      <c r="M203"/>
    </row>
    <row r="204" spans="1:13">
      <c r="A204" s="20">
        <v>44055</v>
      </c>
      <c r="D204" s="20">
        <v>44057</v>
      </c>
      <c r="E204" s="43">
        <v>40.869999999999997</v>
      </c>
      <c r="F204" s="43">
        <v>1.2132000000000001</v>
      </c>
      <c r="G204"/>
      <c r="J204" s="20">
        <v>44057</v>
      </c>
      <c r="K204" s="43">
        <v>1.2132000000000001</v>
      </c>
      <c r="L204" s="43"/>
      <c r="M204"/>
    </row>
    <row r="205" spans="1:13">
      <c r="A205" s="20">
        <v>44056</v>
      </c>
      <c r="D205" s="20">
        <v>44060</v>
      </c>
      <c r="E205" s="43">
        <v>40.75</v>
      </c>
      <c r="F205" s="43">
        <v>1.1908000000000001</v>
      </c>
      <c r="G205"/>
      <c r="J205" s="20">
        <v>44060</v>
      </c>
      <c r="K205" s="43">
        <v>1.1908000000000001</v>
      </c>
      <c r="L205" s="43"/>
      <c r="M205"/>
    </row>
    <row r="206" spans="1:13">
      <c r="A206" s="20">
        <v>44057</v>
      </c>
      <c r="D206" s="20">
        <v>44061</v>
      </c>
      <c r="E206" s="43">
        <v>40.770000000000003</v>
      </c>
      <c r="F206" s="43">
        <v>1.1711</v>
      </c>
      <c r="G206"/>
      <c r="J206" s="20">
        <v>44061</v>
      </c>
      <c r="K206" s="43">
        <v>1.1711</v>
      </c>
      <c r="L206" s="43"/>
      <c r="M206"/>
    </row>
    <row r="207" spans="1:13">
      <c r="A207" s="20">
        <v>44060</v>
      </c>
      <c r="D207" s="20">
        <v>44062</v>
      </c>
      <c r="E207" s="43">
        <v>41.11</v>
      </c>
      <c r="F207" s="43">
        <v>1.2131000000000001</v>
      </c>
      <c r="G207"/>
      <c r="J207" s="20">
        <v>44062</v>
      </c>
      <c r="K207" s="43">
        <v>1.2131000000000001</v>
      </c>
      <c r="L207" s="43"/>
      <c r="M207"/>
    </row>
    <row r="208" spans="1:13">
      <c r="A208" s="20">
        <v>44061</v>
      </c>
      <c r="D208" s="20">
        <v>44063</v>
      </c>
      <c r="E208" s="43">
        <v>41.74</v>
      </c>
      <c r="F208" s="43">
        <v>1.2142999999999999</v>
      </c>
      <c r="G208"/>
      <c r="J208" s="20">
        <v>44063</v>
      </c>
      <c r="K208" s="43">
        <v>1.2142999999999999</v>
      </c>
      <c r="L208" s="43"/>
      <c r="M208"/>
    </row>
    <row r="209" spans="1:13">
      <c r="A209" s="20">
        <v>44062</v>
      </c>
      <c r="D209" s="20">
        <v>44064</v>
      </c>
      <c r="E209" s="43">
        <v>42.19</v>
      </c>
      <c r="F209" s="43">
        <v>1.2228000000000001</v>
      </c>
      <c r="G209"/>
      <c r="J209" s="20">
        <v>44064</v>
      </c>
      <c r="K209" s="43">
        <v>1.2228000000000001</v>
      </c>
      <c r="L209" s="43"/>
      <c r="M209"/>
    </row>
    <row r="210" spans="1:13">
      <c r="A210" s="20">
        <v>44063</v>
      </c>
      <c r="D210" s="20">
        <v>44067</v>
      </c>
      <c r="E210" s="43">
        <v>41.99</v>
      </c>
      <c r="F210" s="43">
        <v>1.2281</v>
      </c>
      <c r="G210"/>
      <c r="J210" s="20">
        <v>44067</v>
      </c>
      <c r="K210" s="43">
        <v>1.2281</v>
      </c>
      <c r="L210" s="43"/>
      <c r="M210"/>
    </row>
    <row r="211" spans="1:13">
      <c r="A211" s="20">
        <v>44064</v>
      </c>
      <c r="D211" s="20">
        <v>44068</v>
      </c>
      <c r="E211" s="43">
        <v>41.4</v>
      </c>
      <c r="F211" s="43">
        <v>1.2076</v>
      </c>
      <c r="G211"/>
      <c r="J211" s="20">
        <v>44068</v>
      </c>
      <c r="K211" s="43">
        <v>1.2076</v>
      </c>
      <c r="L211" s="43"/>
      <c r="M211"/>
    </row>
    <row r="212" spans="1:13">
      <c r="A212" s="20">
        <v>44067</v>
      </c>
      <c r="D212" s="20">
        <v>44069</v>
      </c>
      <c r="E212" s="43">
        <v>41.94</v>
      </c>
      <c r="F212" s="43">
        <v>1.2293000000000001</v>
      </c>
      <c r="G212"/>
      <c r="J212" s="20">
        <v>44069</v>
      </c>
      <c r="K212" s="43">
        <v>1.2293000000000001</v>
      </c>
      <c r="L212" s="43">
        <v>1.9947599999999999</v>
      </c>
      <c r="M212"/>
    </row>
    <row r="213" spans="1:13">
      <c r="A213" s="20">
        <v>44068</v>
      </c>
      <c r="D213" s="20">
        <v>44070</v>
      </c>
      <c r="E213" s="43">
        <v>41.71</v>
      </c>
      <c r="F213" s="43">
        <v>1.2044999999999999</v>
      </c>
      <c r="G213"/>
      <c r="J213" s="20">
        <v>44070</v>
      </c>
      <c r="K213" s="43">
        <v>1.2044999999999999</v>
      </c>
      <c r="L213" s="43"/>
      <c r="M213"/>
    </row>
    <row r="214" spans="1:13">
      <c r="A214" s="20">
        <v>44069</v>
      </c>
      <c r="B214" s="43">
        <v>1.9947599999999999</v>
      </c>
      <c r="D214" s="20">
        <v>44071</v>
      </c>
      <c r="E214" s="43">
        <v>42.43</v>
      </c>
      <c r="F214" s="43">
        <v>1.1858</v>
      </c>
      <c r="G214"/>
      <c r="J214" s="20">
        <v>44071</v>
      </c>
      <c r="K214" s="43">
        <v>1.1858</v>
      </c>
      <c r="L214" s="43"/>
      <c r="M214"/>
    </row>
    <row r="215" spans="1:13">
      <c r="A215" s="20">
        <v>44070</v>
      </c>
      <c r="D215" s="20">
        <v>44074</v>
      </c>
      <c r="E215" s="43">
        <v>42.16</v>
      </c>
      <c r="F215" s="43">
        <v>1.1789000000000001</v>
      </c>
      <c r="G215"/>
      <c r="J215" s="20">
        <v>44074</v>
      </c>
      <c r="K215" s="43">
        <v>1.1789000000000001</v>
      </c>
      <c r="L215" s="43"/>
      <c r="M215"/>
    </row>
    <row r="216" spans="1:13">
      <c r="A216" s="20">
        <v>44071</v>
      </c>
      <c r="D216" s="20">
        <v>44075</v>
      </c>
      <c r="E216" s="43">
        <v>42.04</v>
      </c>
      <c r="F216" s="43">
        <v>1.1879999999999999</v>
      </c>
      <c r="G216"/>
      <c r="J216" s="20">
        <v>44075</v>
      </c>
      <c r="K216" s="43">
        <v>1.1879999999999999</v>
      </c>
      <c r="L216" s="43"/>
      <c r="M216"/>
    </row>
    <row r="217" spans="1:13">
      <c r="A217" s="20">
        <v>44074</v>
      </c>
      <c r="D217" s="20">
        <v>44076</v>
      </c>
      <c r="E217" s="43">
        <v>42.49</v>
      </c>
      <c r="F217" s="43">
        <v>1.2134</v>
      </c>
      <c r="G217"/>
      <c r="J217" s="20">
        <v>44076</v>
      </c>
      <c r="K217" s="43">
        <v>1.2134</v>
      </c>
      <c r="L217" s="43"/>
      <c r="M217"/>
    </row>
    <row r="218" spans="1:13">
      <c r="A218" s="20">
        <v>44075</v>
      </c>
      <c r="D218" s="20">
        <v>44077</v>
      </c>
      <c r="E218" s="43">
        <v>42.47</v>
      </c>
      <c r="F218" s="43">
        <v>1.2249000000000001</v>
      </c>
      <c r="G218"/>
      <c r="J218" s="20">
        <v>44077</v>
      </c>
      <c r="K218" s="43">
        <v>1.2249000000000001</v>
      </c>
      <c r="L218" s="43"/>
      <c r="M218"/>
    </row>
    <row r="219" spans="1:13">
      <c r="A219" s="20">
        <v>44076</v>
      </c>
      <c r="D219" s="20">
        <v>44078</v>
      </c>
      <c r="E219" s="43">
        <v>42.47</v>
      </c>
      <c r="F219" s="43">
        <v>1.2284999999999999</v>
      </c>
      <c r="G219"/>
      <c r="J219" s="20">
        <v>44078</v>
      </c>
      <c r="K219" s="43">
        <v>1.2284999999999999</v>
      </c>
      <c r="L219" s="43"/>
      <c r="M219"/>
    </row>
    <row r="220" spans="1:13">
      <c r="A220" s="20">
        <v>44077</v>
      </c>
      <c r="D220" s="20">
        <v>44081</v>
      </c>
      <c r="E220" s="43">
        <v>41.64</v>
      </c>
      <c r="F220" s="43">
        <v>1.2263999999999999</v>
      </c>
      <c r="G220"/>
      <c r="J220" s="20">
        <v>44081</v>
      </c>
      <c r="K220" s="43">
        <v>1.2263999999999999</v>
      </c>
      <c r="L220" s="43"/>
      <c r="M220"/>
    </row>
    <row r="221" spans="1:13">
      <c r="A221" s="20">
        <v>44078</v>
      </c>
      <c r="D221" s="20">
        <v>44082</v>
      </c>
      <c r="E221" s="43">
        <v>40.29</v>
      </c>
      <c r="F221" s="43">
        <v>1.2130000000000001</v>
      </c>
      <c r="G221"/>
      <c r="J221" s="20">
        <v>44082</v>
      </c>
      <c r="K221" s="43">
        <v>1.2130000000000001</v>
      </c>
      <c r="L221" s="43"/>
      <c r="M221"/>
    </row>
    <row r="222" spans="1:13">
      <c r="A222" s="20">
        <v>44081</v>
      </c>
      <c r="D222" s="20">
        <v>44083</v>
      </c>
      <c r="E222" s="43">
        <v>39.82</v>
      </c>
      <c r="F222" s="43">
        <v>1.2598</v>
      </c>
      <c r="G222"/>
      <c r="J222" s="20">
        <v>44083</v>
      </c>
      <c r="K222" s="43">
        <v>1.2598</v>
      </c>
      <c r="L222" s="43"/>
      <c r="M222"/>
    </row>
    <row r="223" spans="1:13">
      <c r="A223" s="20">
        <v>44082</v>
      </c>
      <c r="D223" s="20">
        <v>44084</v>
      </c>
      <c r="E223" s="43">
        <v>39.83</v>
      </c>
      <c r="F223" s="43">
        <v>1.2685</v>
      </c>
      <c r="G223"/>
      <c r="J223" s="20">
        <v>44084</v>
      </c>
      <c r="K223" s="43">
        <v>1.2685</v>
      </c>
      <c r="L223" s="43"/>
      <c r="M223"/>
    </row>
    <row r="224" spans="1:13">
      <c r="A224" s="20">
        <v>44083</v>
      </c>
      <c r="D224" s="20">
        <v>44085</v>
      </c>
      <c r="E224" s="43">
        <v>39.369999999999997</v>
      </c>
      <c r="F224" s="43">
        <v>1.2634000000000001</v>
      </c>
      <c r="G224"/>
      <c r="J224" s="20">
        <v>44085</v>
      </c>
      <c r="K224" s="43">
        <v>1.2634000000000001</v>
      </c>
      <c r="L224" s="43"/>
      <c r="M224"/>
    </row>
    <row r="225" spans="1:13">
      <c r="A225" s="20">
        <v>44084</v>
      </c>
      <c r="D225" s="20">
        <v>44088</v>
      </c>
      <c r="E225" s="43">
        <v>38.96</v>
      </c>
      <c r="F225" s="43">
        <v>1.2181999999999999</v>
      </c>
      <c r="G225"/>
      <c r="J225" s="20">
        <v>44088</v>
      </c>
      <c r="K225" s="43">
        <v>1.2181999999999999</v>
      </c>
      <c r="L225" s="43"/>
      <c r="M225"/>
    </row>
    <row r="226" spans="1:13">
      <c r="A226" s="20">
        <v>44085</v>
      </c>
      <c r="D226" s="20">
        <v>44089</v>
      </c>
      <c r="E226" s="43">
        <v>39.35</v>
      </c>
      <c r="F226" s="43">
        <v>1.2464999999999999</v>
      </c>
      <c r="G226"/>
      <c r="J226" s="20">
        <v>44089</v>
      </c>
      <c r="K226" s="43">
        <v>1.2464999999999999</v>
      </c>
      <c r="L226" s="43"/>
      <c r="M226"/>
    </row>
    <row r="227" spans="1:13">
      <c r="A227" s="20">
        <v>44088</v>
      </c>
      <c r="D227" s="20">
        <v>44090</v>
      </c>
      <c r="E227" s="43">
        <v>41.29</v>
      </c>
      <c r="F227" s="43">
        <v>1.2137</v>
      </c>
      <c r="G227"/>
      <c r="J227" s="20">
        <v>44090</v>
      </c>
      <c r="K227" s="43">
        <v>1.2137</v>
      </c>
      <c r="L227" s="43"/>
      <c r="M227"/>
    </row>
    <row r="228" spans="1:13">
      <c r="A228" s="20">
        <v>44089</v>
      </c>
      <c r="D228" s="20">
        <v>44091</v>
      </c>
      <c r="E228" s="43">
        <v>42.07</v>
      </c>
      <c r="F228" s="43">
        <v>1.2246999999999999</v>
      </c>
      <c r="G228"/>
      <c r="J228" s="20">
        <v>44091</v>
      </c>
      <c r="K228" s="43">
        <v>1.2246999999999999</v>
      </c>
      <c r="L228" s="43"/>
      <c r="M228"/>
    </row>
    <row r="229" spans="1:13">
      <c r="A229" s="20">
        <v>44090</v>
      </c>
      <c r="D229" s="20">
        <v>44092</v>
      </c>
      <c r="E229" s="43">
        <v>41.67</v>
      </c>
      <c r="F229" s="43">
        <v>1.202</v>
      </c>
      <c r="G229"/>
      <c r="J229" s="20">
        <v>44092</v>
      </c>
      <c r="K229" s="43">
        <v>1.202</v>
      </c>
      <c r="L229" s="43"/>
      <c r="M229"/>
    </row>
    <row r="230" spans="1:13">
      <c r="A230" s="20">
        <v>44091</v>
      </c>
      <c r="D230" s="20">
        <v>44095</v>
      </c>
      <c r="E230" s="43">
        <v>41.49</v>
      </c>
      <c r="F230" s="43">
        <v>1.2049000000000001</v>
      </c>
      <c r="G230"/>
      <c r="J230" s="20">
        <v>44095</v>
      </c>
      <c r="K230" s="43">
        <v>1.2049000000000001</v>
      </c>
      <c r="L230" s="43"/>
      <c r="M230"/>
    </row>
    <row r="231" spans="1:13">
      <c r="A231" s="20">
        <v>44092</v>
      </c>
      <c r="D231" s="20">
        <v>44096</v>
      </c>
      <c r="E231" s="43">
        <v>40.18</v>
      </c>
      <c r="F231" s="43">
        <v>1.1772</v>
      </c>
      <c r="G231"/>
      <c r="J231" s="20">
        <v>44096</v>
      </c>
      <c r="K231" s="43">
        <v>1.1772</v>
      </c>
      <c r="L231" s="43"/>
      <c r="M231"/>
    </row>
    <row r="232" spans="1:13">
      <c r="A232" s="20">
        <v>44095</v>
      </c>
      <c r="D232" s="20">
        <v>44097</v>
      </c>
      <c r="E232" s="43">
        <v>37.76</v>
      </c>
      <c r="F232" s="43">
        <v>1.1028</v>
      </c>
      <c r="G232"/>
      <c r="J232" s="20">
        <v>44097</v>
      </c>
      <c r="K232" s="43">
        <v>1.1028</v>
      </c>
      <c r="L232" s="43"/>
      <c r="M232"/>
    </row>
    <row r="233" spans="1:13">
      <c r="A233" s="20">
        <v>44096</v>
      </c>
      <c r="D233" s="20">
        <v>44098</v>
      </c>
      <c r="E233" s="43">
        <v>38.72</v>
      </c>
      <c r="F233" s="43">
        <v>1.1193</v>
      </c>
      <c r="G233"/>
      <c r="J233" s="20">
        <v>44098</v>
      </c>
      <c r="K233" s="43">
        <v>1.1193</v>
      </c>
      <c r="L233" s="43"/>
      <c r="M233"/>
    </row>
    <row r="234" spans="1:13">
      <c r="A234" s="20">
        <v>44097</v>
      </c>
      <c r="D234" s="20">
        <v>44099</v>
      </c>
      <c r="E234" s="43">
        <v>38.18</v>
      </c>
      <c r="F234" s="43">
        <v>1.0976999999999999</v>
      </c>
      <c r="G234"/>
      <c r="J234" s="20">
        <v>44099</v>
      </c>
      <c r="K234" s="43">
        <v>1.0976999999999999</v>
      </c>
      <c r="L234" s="43"/>
      <c r="M234"/>
    </row>
    <row r="235" spans="1:13">
      <c r="A235" s="20">
        <v>44098</v>
      </c>
      <c r="D235" s="20">
        <v>44102</v>
      </c>
      <c r="E235" s="43">
        <v>38.19</v>
      </c>
      <c r="F235" s="43">
        <v>1.0949</v>
      </c>
      <c r="G235"/>
      <c r="J235" s="20">
        <v>44102</v>
      </c>
      <c r="K235" s="43">
        <v>1.0949</v>
      </c>
      <c r="L235" s="43"/>
      <c r="M235"/>
    </row>
    <row r="236" spans="1:13">
      <c r="A236" s="20">
        <v>44099</v>
      </c>
      <c r="D236" s="20">
        <v>44103</v>
      </c>
      <c r="E236" s="43">
        <v>38.14</v>
      </c>
      <c r="F236" s="43">
        <v>1.0922000000000001</v>
      </c>
      <c r="G236"/>
      <c r="J236" s="20">
        <v>44103</v>
      </c>
      <c r="K236" s="43">
        <v>1.0922000000000001</v>
      </c>
      <c r="L236" s="43"/>
      <c r="M236"/>
    </row>
    <row r="237" spans="1:13">
      <c r="A237" s="20">
        <v>44102</v>
      </c>
      <c r="D237" s="20">
        <v>44104</v>
      </c>
      <c r="E237" s="43">
        <v>38.72</v>
      </c>
      <c r="F237" s="43">
        <v>1.1198999999999999</v>
      </c>
      <c r="G237"/>
      <c r="J237" s="20">
        <v>44104</v>
      </c>
      <c r="K237" s="43">
        <v>1.1198999999999999</v>
      </c>
      <c r="L237" s="43">
        <v>2.1491600000000002</v>
      </c>
      <c r="M237"/>
    </row>
    <row r="238" spans="1:13">
      <c r="A238" s="20">
        <v>44103</v>
      </c>
      <c r="D238" s="20">
        <v>44105</v>
      </c>
      <c r="E238" s="43">
        <v>39.700000000000003</v>
      </c>
      <c r="F238" s="43">
        <v>1.1694</v>
      </c>
      <c r="G238"/>
      <c r="J238" s="20">
        <v>44105</v>
      </c>
      <c r="K238" s="43">
        <v>1.1694</v>
      </c>
      <c r="L238" s="43"/>
      <c r="M238"/>
    </row>
    <row r="239" spans="1:13">
      <c r="A239" s="20">
        <v>44104</v>
      </c>
      <c r="B239" s="43">
        <v>2.1491600000000002</v>
      </c>
      <c r="D239" s="20">
        <v>44106</v>
      </c>
      <c r="E239" s="43">
        <v>38.090000000000003</v>
      </c>
      <c r="F239" s="43">
        <v>1.2017</v>
      </c>
      <c r="G239"/>
      <c r="J239" s="20">
        <v>44106</v>
      </c>
      <c r="K239" s="43">
        <v>1.2017</v>
      </c>
      <c r="L239" s="43"/>
      <c r="M239"/>
    </row>
    <row r="240" spans="1:13">
      <c r="A240" s="20">
        <v>44105</v>
      </c>
      <c r="D240" s="20">
        <v>44109</v>
      </c>
      <c r="E240" s="43">
        <v>39.07</v>
      </c>
      <c r="F240" s="43">
        <v>1.2097</v>
      </c>
      <c r="G240"/>
      <c r="J240" s="20">
        <v>44109</v>
      </c>
      <c r="K240" s="43">
        <v>1.2097</v>
      </c>
      <c r="L240" s="43"/>
      <c r="M240"/>
    </row>
    <row r="241" spans="1:13">
      <c r="A241" s="20">
        <v>44106</v>
      </c>
      <c r="D241" s="20">
        <v>44110</v>
      </c>
      <c r="E241" s="43">
        <v>39.450000000000003</v>
      </c>
      <c r="F241" s="43">
        <v>1.1544000000000001</v>
      </c>
      <c r="G241"/>
      <c r="J241" s="20">
        <v>44110</v>
      </c>
      <c r="K241" s="43">
        <v>1.1544000000000001</v>
      </c>
      <c r="L241" s="43"/>
      <c r="M241"/>
    </row>
    <row r="242" spans="1:13">
      <c r="A242" s="20">
        <v>44109</v>
      </c>
      <c r="D242" s="20">
        <v>44111</v>
      </c>
      <c r="E242" s="43">
        <v>39.54</v>
      </c>
      <c r="F242" s="43">
        <v>1.1437999999999999</v>
      </c>
      <c r="G242"/>
      <c r="J242" s="20">
        <v>44111</v>
      </c>
      <c r="K242" s="43">
        <v>1.1437999999999999</v>
      </c>
      <c r="L242" s="43"/>
      <c r="M242"/>
    </row>
    <row r="243" spans="1:13">
      <c r="A243" s="20">
        <v>44110</v>
      </c>
      <c r="D243" s="20">
        <v>44112</v>
      </c>
      <c r="E243" s="43">
        <v>39.58</v>
      </c>
      <c r="F243" s="43">
        <v>1.1577999999999999</v>
      </c>
      <c r="G243"/>
      <c r="J243" s="20">
        <v>44112</v>
      </c>
      <c r="K243" s="43">
        <v>1.1577999999999999</v>
      </c>
      <c r="L243" s="43"/>
      <c r="M243"/>
    </row>
    <row r="244" spans="1:13">
      <c r="A244" s="20">
        <v>44111</v>
      </c>
      <c r="D244" s="20">
        <v>44113</v>
      </c>
      <c r="E244" s="43">
        <v>39.67</v>
      </c>
      <c r="F244" s="43">
        <v>1.1732</v>
      </c>
      <c r="G244"/>
      <c r="J244" s="20">
        <v>44113</v>
      </c>
      <c r="K244" s="43">
        <v>1.1732</v>
      </c>
      <c r="L244" s="43"/>
      <c r="M244"/>
    </row>
    <row r="245" spans="1:13">
      <c r="A245" s="20">
        <v>44112</v>
      </c>
      <c r="D245" s="20">
        <v>44116</v>
      </c>
      <c r="E245" s="43">
        <v>39.659999999999997</v>
      </c>
      <c r="F245" s="43">
        <v>1.1898</v>
      </c>
      <c r="G245"/>
      <c r="J245" s="20">
        <v>44116</v>
      </c>
      <c r="K245" s="43">
        <v>1.1898</v>
      </c>
      <c r="L245" s="43"/>
      <c r="M245"/>
    </row>
    <row r="246" spans="1:13">
      <c r="A246" s="20">
        <v>44113</v>
      </c>
      <c r="D246" s="20">
        <v>44117</v>
      </c>
      <c r="E246" s="43">
        <v>39.71</v>
      </c>
      <c r="F246" s="43">
        <v>1.2132000000000001</v>
      </c>
      <c r="G246"/>
      <c r="J246" s="20">
        <v>44117</v>
      </c>
      <c r="K246" s="43">
        <v>1.2132000000000001</v>
      </c>
      <c r="L246" s="43"/>
      <c r="M246"/>
    </row>
    <row r="247" spans="1:13">
      <c r="A247" s="20">
        <v>44116</v>
      </c>
      <c r="D247" s="20">
        <v>44118</v>
      </c>
      <c r="E247" s="43">
        <v>39.58</v>
      </c>
      <c r="F247" s="43">
        <v>1.1711</v>
      </c>
      <c r="G247"/>
      <c r="J247" s="20">
        <v>44118</v>
      </c>
      <c r="K247" s="43">
        <v>1.1711</v>
      </c>
      <c r="L247" s="43"/>
      <c r="M247"/>
    </row>
    <row r="248" spans="1:13">
      <c r="A248" s="20">
        <v>44117</v>
      </c>
      <c r="D248" s="20">
        <v>44119</v>
      </c>
      <c r="E248" s="43">
        <v>39.630000000000003</v>
      </c>
      <c r="F248" s="43">
        <v>1.1816</v>
      </c>
      <c r="G248"/>
      <c r="J248" s="20">
        <v>44119</v>
      </c>
      <c r="K248" s="43">
        <v>1.1816</v>
      </c>
      <c r="L248" s="43"/>
      <c r="M248"/>
    </row>
    <row r="249" spans="1:13">
      <c r="A249" s="20">
        <v>44118</v>
      </c>
      <c r="D249" s="20">
        <v>44120</v>
      </c>
      <c r="E249" s="43">
        <v>38.83</v>
      </c>
      <c r="F249" s="43">
        <v>1.1524000000000001</v>
      </c>
      <c r="G249"/>
      <c r="J249" s="20">
        <v>44120</v>
      </c>
      <c r="K249" s="43">
        <v>1.1524000000000001</v>
      </c>
      <c r="L249" s="43"/>
      <c r="M249"/>
    </row>
    <row r="250" spans="1:13">
      <c r="A250" s="20">
        <v>44119</v>
      </c>
      <c r="D250" s="20">
        <v>44123</v>
      </c>
      <c r="E250" s="43">
        <v>37.229999999999997</v>
      </c>
      <c r="F250" s="43">
        <v>1.1234999999999999</v>
      </c>
      <c r="G250"/>
      <c r="J250" s="20">
        <v>44123</v>
      </c>
      <c r="K250" s="43">
        <v>1.1234999999999999</v>
      </c>
      <c r="L250" s="43"/>
      <c r="M250"/>
    </row>
    <row r="251" spans="1:13">
      <c r="A251" s="20">
        <v>44120</v>
      </c>
      <c r="D251" s="20">
        <v>44124</v>
      </c>
      <c r="E251" s="43">
        <v>39.200000000000003</v>
      </c>
      <c r="F251" s="43">
        <v>1.1940999999999999</v>
      </c>
      <c r="G251"/>
      <c r="J251" s="20">
        <v>44124</v>
      </c>
      <c r="K251" s="43">
        <v>1.1940999999999999</v>
      </c>
      <c r="L251" s="43"/>
      <c r="M251"/>
    </row>
    <row r="252" spans="1:13">
      <c r="A252" s="20">
        <v>44123</v>
      </c>
      <c r="D252" s="20">
        <v>44125</v>
      </c>
      <c r="E252" s="43">
        <v>40.450000000000003</v>
      </c>
      <c r="F252" s="43">
        <v>1.2351000000000001</v>
      </c>
      <c r="G252"/>
      <c r="J252" s="20">
        <v>44125</v>
      </c>
      <c r="K252" s="43">
        <v>1.2351000000000001</v>
      </c>
      <c r="L252" s="43"/>
      <c r="M252"/>
    </row>
    <row r="253" spans="1:13">
      <c r="A253" s="20">
        <v>44124</v>
      </c>
      <c r="D253" s="20">
        <v>44126</v>
      </c>
      <c r="E253" s="43">
        <v>39.86</v>
      </c>
      <c r="F253" s="43">
        <v>1.2009000000000001</v>
      </c>
      <c r="G253"/>
      <c r="J253" s="20">
        <v>44126</v>
      </c>
      <c r="K253" s="43">
        <v>1.2009000000000001</v>
      </c>
      <c r="L253" s="43"/>
      <c r="M253"/>
    </row>
    <row r="254" spans="1:13">
      <c r="A254" s="20">
        <v>44125</v>
      </c>
      <c r="D254" s="20">
        <v>44127</v>
      </c>
      <c r="E254" s="43">
        <v>40.82</v>
      </c>
      <c r="F254" s="43">
        <v>1.2316</v>
      </c>
      <c r="G254"/>
      <c r="J254" s="20">
        <v>44127</v>
      </c>
      <c r="K254" s="43">
        <v>1.2316</v>
      </c>
      <c r="L254" s="43"/>
      <c r="M254"/>
    </row>
    <row r="255" spans="1:13">
      <c r="A255" s="20">
        <v>44126</v>
      </c>
      <c r="D255" s="20">
        <v>44130</v>
      </c>
      <c r="E255" s="43">
        <v>39.22</v>
      </c>
      <c r="F255" s="43">
        <v>1.2032</v>
      </c>
      <c r="G255"/>
      <c r="J255" s="20">
        <v>44130</v>
      </c>
      <c r="K255" s="43">
        <v>1.2032</v>
      </c>
      <c r="L255" s="43"/>
      <c r="M255"/>
    </row>
    <row r="256" spans="1:13">
      <c r="A256" s="20">
        <v>44127</v>
      </c>
      <c r="D256" s="20">
        <v>44131</v>
      </c>
      <c r="E256" s="43">
        <v>39.53</v>
      </c>
      <c r="F256" s="43">
        <v>1.1757</v>
      </c>
      <c r="G256"/>
      <c r="J256" s="20">
        <v>44131</v>
      </c>
      <c r="K256" s="43">
        <v>1.1757</v>
      </c>
      <c r="L256" s="43"/>
      <c r="M256"/>
    </row>
    <row r="257" spans="1:13">
      <c r="A257" s="20">
        <v>44130</v>
      </c>
      <c r="D257" s="20">
        <v>44132</v>
      </c>
      <c r="E257" s="43">
        <v>38.42</v>
      </c>
      <c r="F257" s="43">
        <v>1.1633</v>
      </c>
      <c r="G257"/>
      <c r="J257" s="20">
        <v>44132</v>
      </c>
      <c r="K257" s="43">
        <v>1.1633</v>
      </c>
      <c r="L257" s="43"/>
      <c r="M257"/>
    </row>
    <row r="258" spans="1:13">
      <c r="A258" s="20">
        <v>44131</v>
      </c>
      <c r="D258" s="20">
        <v>44133</v>
      </c>
      <c r="E258" s="43">
        <v>37.119999999999997</v>
      </c>
      <c r="F258" s="43">
        <v>1.1795</v>
      </c>
      <c r="G258"/>
      <c r="J258" s="20">
        <v>44133</v>
      </c>
      <c r="K258" s="43">
        <v>1.1795</v>
      </c>
      <c r="L258" s="43"/>
      <c r="M258"/>
    </row>
    <row r="259" spans="1:13">
      <c r="A259" s="20">
        <v>44132</v>
      </c>
      <c r="D259" s="20">
        <v>44134</v>
      </c>
      <c r="E259" s="43">
        <v>36.5</v>
      </c>
      <c r="F259" s="43">
        <v>1.1637</v>
      </c>
      <c r="G259"/>
      <c r="J259" s="20">
        <v>44134</v>
      </c>
      <c r="K259" s="43">
        <v>1.1637</v>
      </c>
      <c r="L259" s="43"/>
      <c r="M259"/>
    </row>
    <row r="260" spans="1:13">
      <c r="A260" s="20">
        <v>44133</v>
      </c>
      <c r="D260" s="20">
        <v>44137</v>
      </c>
      <c r="E260" s="43">
        <v>35.89</v>
      </c>
      <c r="F260" s="43">
        <v>1.1535</v>
      </c>
      <c r="G260"/>
      <c r="J260" s="20">
        <v>44137</v>
      </c>
      <c r="K260" s="43">
        <v>1.1535</v>
      </c>
      <c r="L260" s="43"/>
      <c r="M260"/>
    </row>
    <row r="261" spans="1:13">
      <c r="A261" s="20">
        <v>44134</v>
      </c>
      <c r="D261" s="20">
        <v>44138</v>
      </c>
      <c r="E261" s="43">
        <v>38.44</v>
      </c>
      <c r="F261" s="43">
        <v>1.1485000000000001</v>
      </c>
      <c r="G261"/>
      <c r="J261" s="20">
        <v>44138</v>
      </c>
      <c r="K261" s="43">
        <v>1.1485000000000001</v>
      </c>
      <c r="L261" s="43"/>
      <c r="M261"/>
    </row>
    <row r="262" spans="1:13">
      <c r="A262" s="20">
        <v>44137</v>
      </c>
      <c r="D262" s="20">
        <v>44139</v>
      </c>
      <c r="E262" s="43">
        <v>39.090000000000003</v>
      </c>
      <c r="F262" s="43">
        <v>1.1725000000000001</v>
      </c>
      <c r="G262"/>
      <c r="J262" s="20">
        <v>44139</v>
      </c>
      <c r="K262" s="43">
        <v>1.1725000000000001</v>
      </c>
      <c r="L262" s="43"/>
      <c r="M262"/>
    </row>
    <row r="263" spans="1:13">
      <c r="A263" s="20">
        <v>44138</v>
      </c>
      <c r="D263" s="20">
        <v>44140</v>
      </c>
      <c r="E263" s="43">
        <v>39.79</v>
      </c>
      <c r="F263" s="43">
        <v>1.1271</v>
      </c>
      <c r="G263"/>
      <c r="J263" s="20">
        <v>44140</v>
      </c>
      <c r="K263" s="43">
        <v>1.1271</v>
      </c>
      <c r="L263" s="43">
        <v>1.89025</v>
      </c>
      <c r="M263"/>
    </row>
    <row r="264" spans="1:13">
      <c r="A264" s="20">
        <v>44139</v>
      </c>
      <c r="D264" s="20">
        <v>44141</v>
      </c>
      <c r="E264" s="43">
        <v>39.22</v>
      </c>
      <c r="F264" s="43">
        <v>1.1452</v>
      </c>
      <c r="G264"/>
      <c r="J264" s="20">
        <v>44141</v>
      </c>
      <c r="K264" s="43">
        <v>1.1452</v>
      </c>
      <c r="L264" s="43"/>
      <c r="M264"/>
    </row>
    <row r="265" spans="1:13">
      <c r="A265" s="20">
        <v>44140</v>
      </c>
      <c r="B265" s="43">
        <v>1.89025</v>
      </c>
      <c r="D265" s="20">
        <v>44144</v>
      </c>
      <c r="E265" s="43">
        <v>39.97</v>
      </c>
      <c r="F265" s="43">
        <v>1.127</v>
      </c>
      <c r="G265"/>
      <c r="J265" s="20">
        <v>44144</v>
      </c>
      <c r="K265" s="43">
        <v>1.127</v>
      </c>
      <c r="L265" s="43"/>
      <c r="M265"/>
    </row>
    <row r="266" spans="1:13">
      <c r="A266" s="20">
        <v>44141</v>
      </c>
      <c r="D266" s="20">
        <v>44145</v>
      </c>
      <c r="E266" s="43">
        <v>39.799999999999997</v>
      </c>
      <c r="F266" s="43">
        <v>1.0969</v>
      </c>
      <c r="G266"/>
      <c r="J266" s="20">
        <v>44145</v>
      </c>
      <c r="K266" s="43">
        <v>1.0969</v>
      </c>
      <c r="L266" s="43"/>
      <c r="M266"/>
    </row>
    <row r="267" spans="1:13">
      <c r="A267" s="20">
        <v>44144</v>
      </c>
      <c r="D267" s="20">
        <v>44146</v>
      </c>
      <c r="E267" s="43">
        <v>39.979999999999997</v>
      </c>
      <c r="F267" s="43">
        <v>1.1288</v>
      </c>
      <c r="G267"/>
      <c r="J267" s="20">
        <v>44146</v>
      </c>
      <c r="K267" s="43">
        <v>1.1288</v>
      </c>
      <c r="L267" s="43"/>
      <c r="M267"/>
    </row>
    <row r="268" spans="1:13">
      <c r="A268" s="20">
        <v>44145</v>
      </c>
      <c r="D268" s="20">
        <v>44147</v>
      </c>
      <c r="E268" s="43">
        <v>39.119999999999997</v>
      </c>
      <c r="F268" s="43">
        <v>1.0636000000000001</v>
      </c>
      <c r="G268"/>
      <c r="J268" s="20">
        <v>44147</v>
      </c>
      <c r="K268" s="43">
        <v>1.0636000000000001</v>
      </c>
      <c r="L268" s="43"/>
      <c r="M268"/>
    </row>
    <row r="269" spans="1:13">
      <c r="A269" s="20">
        <v>44146</v>
      </c>
      <c r="D269" s="20">
        <v>44148</v>
      </c>
      <c r="E269" s="43">
        <v>37.65</v>
      </c>
      <c r="F269" s="43">
        <v>1.028</v>
      </c>
      <c r="G269"/>
      <c r="J269" s="20">
        <v>44148</v>
      </c>
      <c r="K269" s="43">
        <v>1.028</v>
      </c>
      <c r="L269" s="43"/>
      <c r="M269"/>
    </row>
    <row r="270" spans="1:13">
      <c r="A270" s="20">
        <v>44147</v>
      </c>
      <c r="D270" s="20">
        <v>44151</v>
      </c>
      <c r="E270" s="43">
        <v>37.46</v>
      </c>
      <c r="F270" s="43">
        <v>1.0322</v>
      </c>
      <c r="G270"/>
      <c r="J270" s="20">
        <v>44151</v>
      </c>
      <c r="K270" s="43">
        <v>1.0322</v>
      </c>
      <c r="L270" s="43"/>
      <c r="M270"/>
    </row>
    <row r="271" spans="1:13">
      <c r="A271" s="20">
        <v>44148</v>
      </c>
      <c r="D271" s="20">
        <v>44152</v>
      </c>
      <c r="E271" s="43">
        <v>36.9</v>
      </c>
      <c r="F271" s="43">
        <v>1.052</v>
      </c>
      <c r="G271"/>
      <c r="J271" s="20">
        <v>44152</v>
      </c>
      <c r="K271" s="43">
        <v>1.052</v>
      </c>
      <c r="L271" s="43"/>
      <c r="M271"/>
    </row>
    <row r="272" spans="1:13">
      <c r="A272" s="20">
        <v>44151</v>
      </c>
      <c r="D272" s="20">
        <v>44153</v>
      </c>
      <c r="E272" s="43">
        <v>37.700000000000003</v>
      </c>
      <c r="F272" s="43">
        <v>1.0769</v>
      </c>
      <c r="G272"/>
      <c r="J272" s="20">
        <v>44153</v>
      </c>
      <c r="K272" s="43">
        <v>1.0769</v>
      </c>
      <c r="L272" s="43"/>
      <c r="M272"/>
    </row>
    <row r="273" spans="1:13">
      <c r="A273" s="20">
        <v>44152</v>
      </c>
      <c r="D273" s="20">
        <v>44154</v>
      </c>
      <c r="E273" s="43">
        <v>39.04</v>
      </c>
      <c r="F273" s="43">
        <v>1.1081000000000001</v>
      </c>
      <c r="G273"/>
      <c r="J273" s="20">
        <v>44154</v>
      </c>
      <c r="K273" s="43">
        <v>1.1081000000000001</v>
      </c>
      <c r="L273" s="43"/>
      <c r="M273"/>
    </row>
    <row r="274" spans="1:13">
      <c r="A274" s="20">
        <v>44153</v>
      </c>
      <c r="D274" s="20">
        <v>44155</v>
      </c>
      <c r="E274" s="43">
        <v>38.729999999999997</v>
      </c>
      <c r="F274" s="43">
        <v>1.1158999999999999</v>
      </c>
      <c r="G274"/>
      <c r="J274" s="20">
        <v>44155</v>
      </c>
      <c r="K274" s="43">
        <v>1.1158999999999999</v>
      </c>
      <c r="L274" s="43"/>
      <c r="M274"/>
    </row>
    <row r="275" spans="1:13">
      <c r="A275" s="20">
        <v>44154</v>
      </c>
      <c r="D275" s="20">
        <v>44158</v>
      </c>
      <c r="E275" s="43">
        <v>37.42</v>
      </c>
      <c r="F275" s="43">
        <v>1.0844</v>
      </c>
      <c r="G275"/>
      <c r="J275" s="20">
        <v>44158</v>
      </c>
      <c r="K275" s="43">
        <v>1.0844</v>
      </c>
      <c r="L275" s="43"/>
      <c r="M275"/>
    </row>
    <row r="276" spans="1:13">
      <c r="A276" s="20">
        <v>44155</v>
      </c>
      <c r="D276" s="20">
        <v>44159</v>
      </c>
      <c r="E276" s="43">
        <v>39.78</v>
      </c>
      <c r="F276" s="43">
        <v>1.1607000000000001</v>
      </c>
      <c r="G276"/>
      <c r="J276" s="20">
        <v>44159</v>
      </c>
      <c r="K276" s="43">
        <v>1.1607000000000001</v>
      </c>
      <c r="L276" s="43"/>
      <c r="M276"/>
    </row>
    <row r="277" spans="1:13">
      <c r="A277" s="20">
        <v>44158</v>
      </c>
      <c r="D277" s="20">
        <v>44160</v>
      </c>
      <c r="E277" s="43">
        <v>40.520000000000003</v>
      </c>
      <c r="F277" s="43">
        <v>1.1940999999999999</v>
      </c>
      <c r="G277"/>
      <c r="J277" s="20">
        <v>44160</v>
      </c>
      <c r="K277" s="43">
        <v>1.1940999999999999</v>
      </c>
      <c r="L277" s="43"/>
      <c r="M277"/>
    </row>
    <row r="278" spans="1:13">
      <c r="A278" s="20">
        <v>44159</v>
      </c>
      <c r="D278" s="20">
        <v>44161</v>
      </c>
      <c r="E278" s="43">
        <v>40.58</v>
      </c>
      <c r="F278" s="43">
        <v>1.1758999999999999</v>
      </c>
      <c r="G278"/>
      <c r="J278" s="20">
        <v>44161</v>
      </c>
      <c r="K278" s="43">
        <v>1.1758999999999999</v>
      </c>
      <c r="L278" s="43"/>
      <c r="M278"/>
    </row>
    <row r="279" spans="1:13">
      <c r="A279" s="20">
        <v>44160</v>
      </c>
      <c r="D279" s="20">
        <v>44162</v>
      </c>
      <c r="E279" s="43">
        <v>40.380000000000003</v>
      </c>
      <c r="F279" s="43">
        <v>1.1557999999999999</v>
      </c>
      <c r="G279"/>
      <c r="J279" s="20">
        <v>44162</v>
      </c>
      <c r="K279" s="43">
        <v>1.1557999999999999</v>
      </c>
      <c r="L279" s="43"/>
      <c r="M279"/>
    </row>
    <row r="280" spans="1:13">
      <c r="A280" s="20">
        <v>44161</v>
      </c>
      <c r="D280" s="20">
        <v>44165</v>
      </c>
      <c r="E280" s="43">
        <v>39.83</v>
      </c>
      <c r="F280" s="43">
        <v>1.125</v>
      </c>
      <c r="G280"/>
      <c r="J280" s="20">
        <v>44165</v>
      </c>
      <c r="K280" s="43">
        <v>1.125</v>
      </c>
      <c r="L280" s="43"/>
      <c r="M280"/>
    </row>
    <row r="281" spans="1:13">
      <c r="A281" s="20">
        <v>44162</v>
      </c>
      <c r="D281" s="20">
        <v>44166</v>
      </c>
      <c r="E281" s="43">
        <v>40.42</v>
      </c>
      <c r="F281" s="43">
        <v>1.147</v>
      </c>
      <c r="G281"/>
      <c r="J281" s="20">
        <v>44166</v>
      </c>
      <c r="K281" s="43">
        <v>1.147</v>
      </c>
      <c r="L281" s="43"/>
      <c r="M281"/>
    </row>
    <row r="282" spans="1:13">
      <c r="A282" s="20">
        <v>44165</v>
      </c>
      <c r="D282" s="20">
        <v>44167</v>
      </c>
      <c r="E282" s="43">
        <v>40.46</v>
      </c>
      <c r="F282" s="43">
        <v>1.1528</v>
      </c>
      <c r="G282"/>
      <c r="J282" s="20">
        <v>44167</v>
      </c>
      <c r="K282" s="43">
        <v>1.1528</v>
      </c>
      <c r="L282" s="43"/>
      <c r="M282"/>
    </row>
    <row r="283" spans="1:13">
      <c r="A283" s="20">
        <v>44166</v>
      </c>
      <c r="D283" s="20">
        <v>44168</v>
      </c>
      <c r="E283" s="43">
        <v>40.61</v>
      </c>
      <c r="F283" s="43">
        <v>1.1626000000000001</v>
      </c>
      <c r="G283"/>
      <c r="J283" s="20">
        <v>44168</v>
      </c>
      <c r="K283" s="43">
        <v>1.1626000000000001</v>
      </c>
      <c r="L283" s="43"/>
      <c r="M283"/>
    </row>
    <row r="284" spans="1:13">
      <c r="A284" s="20">
        <v>44167</v>
      </c>
      <c r="D284" s="20">
        <v>44169</v>
      </c>
      <c r="E284" s="43">
        <v>40.57</v>
      </c>
      <c r="F284" s="43">
        <v>1.1596</v>
      </c>
      <c r="G284"/>
      <c r="J284" s="20">
        <v>44169</v>
      </c>
      <c r="K284" s="43">
        <v>1.1596</v>
      </c>
      <c r="L284" s="43"/>
      <c r="M284"/>
    </row>
    <row r="285" spans="1:13">
      <c r="A285" s="20">
        <v>44168</v>
      </c>
      <c r="D285" s="20">
        <v>44172</v>
      </c>
      <c r="E285" s="43">
        <v>40.72</v>
      </c>
      <c r="F285" s="43">
        <v>1.1702999999999999</v>
      </c>
      <c r="G285"/>
      <c r="J285" s="20">
        <v>44172</v>
      </c>
      <c r="K285" s="43">
        <v>1.1702999999999999</v>
      </c>
      <c r="L285" s="43"/>
      <c r="M285"/>
    </row>
    <row r="286" spans="1:13">
      <c r="A286" s="20">
        <v>44169</v>
      </c>
      <c r="D286" s="20">
        <v>44173</v>
      </c>
      <c r="E286" s="43">
        <v>40.880000000000003</v>
      </c>
      <c r="F286" s="43">
        <v>1.1971000000000001</v>
      </c>
      <c r="G286"/>
      <c r="J286" s="20">
        <v>44173</v>
      </c>
      <c r="K286" s="43">
        <v>1.1971000000000001</v>
      </c>
      <c r="L286" s="43"/>
      <c r="M286"/>
    </row>
    <row r="287" spans="1:13">
      <c r="A287" s="20">
        <v>44172</v>
      </c>
      <c r="D287" s="20">
        <v>44174</v>
      </c>
      <c r="E287" s="43">
        <v>41.25</v>
      </c>
      <c r="F287" s="43">
        <v>1.2509999999999999</v>
      </c>
      <c r="G287"/>
      <c r="J287" s="20">
        <v>44174</v>
      </c>
      <c r="K287" s="43">
        <v>1.2509999999999999</v>
      </c>
      <c r="L287" s="43"/>
      <c r="M287"/>
    </row>
    <row r="288" spans="1:13">
      <c r="A288" s="20">
        <v>44173</v>
      </c>
      <c r="D288" s="20">
        <v>44175</v>
      </c>
      <c r="E288" s="43">
        <v>41.37</v>
      </c>
      <c r="F288" s="43">
        <v>1.2709999999999999</v>
      </c>
      <c r="G288"/>
      <c r="J288" s="20">
        <v>44175</v>
      </c>
      <c r="K288" s="43">
        <v>1.2709999999999999</v>
      </c>
      <c r="L288" s="43">
        <v>2.0043099999999998</v>
      </c>
      <c r="M288"/>
    </row>
    <row r="289" spans="1:13">
      <c r="A289" s="20">
        <v>44174</v>
      </c>
      <c r="D289" s="20">
        <v>44176</v>
      </c>
      <c r="E289" s="43">
        <v>41.36</v>
      </c>
      <c r="F289" s="43">
        <v>1.266</v>
      </c>
      <c r="G289"/>
      <c r="J289" s="20">
        <v>44176</v>
      </c>
      <c r="K289" s="43">
        <v>1.266</v>
      </c>
      <c r="L289" s="43"/>
      <c r="M289"/>
    </row>
    <row r="290" spans="1:13">
      <c r="A290" s="20">
        <v>44175</v>
      </c>
      <c r="B290" s="43">
        <v>2.0043099999999998</v>
      </c>
      <c r="D290" s="20">
        <v>44179</v>
      </c>
      <c r="E290" s="43">
        <v>41.35</v>
      </c>
      <c r="F290" s="43">
        <v>1.2416</v>
      </c>
      <c r="G290"/>
      <c r="J290" s="20">
        <v>44179</v>
      </c>
      <c r="K290" s="43">
        <v>1.2416</v>
      </c>
      <c r="L290" s="43"/>
      <c r="M290"/>
    </row>
    <row r="291" spans="1:13">
      <c r="A291" s="20">
        <v>44176</v>
      </c>
      <c r="D291" s="20">
        <v>44180</v>
      </c>
      <c r="E291" s="43">
        <v>44.61</v>
      </c>
      <c r="F291" s="43">
        <v>1.2203999999999999</v>
      </c>
      <c r="G291"/>
      <c r="J291" s="20">
        <v>44180</v>
      </c>
      <c r="K291" s="43">
        <v>1.2203999999999999</v>
      </c>
      <c r="L291" s="43"/>
      <c r="M291"/>
    </row>
    <row r="292" spans="1:13">
      <c r="A292" s="20">
        <v>44179</v>
      </c>
      <c r="D292" s="20">
        <v>44181</v>
      </c>
      <c r="E292" s="43">
        <v>45.3</v>
      </c>
      <c r="F292" s="43">
        <v>1.2399</v>
      </c>
      <c r="G292"/>
      <c r="J292" s="20">
        <v>44181</v>
      </c>
      <c r="K292" s="43">
        <v>1.2399</v>
      </c>
      <c r="L292" s="43"/>
      <c r="M292"/>
    </row>
    <row r="293" spans="1:13">
      <c r="A293" s="20">
        <v>44180</v>
      </c>
      <c r="D293" s="20">
        <v>44182</v>
      </c>
      <c r="E293" s="43">
        <v>45.62</v>
      </c>
      <c r="F293" s="43">
        <v>1.2617</v>
      </c>
      <c r="G293"/>
      <c r="J293" s="20">
        <v>44182</v>
      </c>
      <c r="K293" s="43">
        <v>1.2617</v>
      </c>
      <c r="L293" s="43"/>
      <c r="M293"/>
    </row>
    <row r="294" spans="1:13">
      <c r="A294" s="20">
        <v>44181</v>
      </c>
      <c r="D294" s="20">
        <v>44183</v>
      </c>
      <c r="E294" s="43">
        <v>46.16</v>
      </c>
      <c r="F294" s="43">
        <v>1.2685</v>
      </c>
      <c r="G294"/>
      <c r="J294" s="20">
        <v>44183</v>
      </c>
      <c r="K294" s="43">
        <v>1.2685</v>
      </c>
      <c r="L294" s="43"/>
      <c r="M294"/>
    </row>
    <row r="295" spans="1:13">
      <c r="A295" s="20">
        <v>44182</v>
      </c>
      <c r="D295" s="20">
        <v>44186</v>
      </c>
      <c r="E295" s="43">
        <v>45.76</v>
      </c>
      <c r="F295" s="43">
        <v>1.2558</v>
      </c>
      <c r="G295"/>
      <c r="J295" s="20">
        <v>44186</v>
      </c>
      <c r="K295" s="43">
        <v>1.2558</v>
      </c>
      <c r="L295" s="43"/>
      <c r="M295"/>
    </row>
    <row r="296" spans="1:13">
      <c r="A296" s="20">
        <v>44183</v>
      </c>
      <c r="D296" s="20">
        <v>44187</v>
      </c>
      <c r="E296" s="43">
        <v>45.64</v>
      </c>
      <c r="F296" s="43">
        <v>1.2559</v>
      </c>
      <c r="G296"/>
      <c r="J296" s="20">
        <v>44187</v>
      </c>
      <c r="K296" s="43">
        <v>1.2559</v>
      </c>
      <c r="L296" s="43"/>
      <c r="M296"/>
    </row>
    <row r="297" spans="1:13">
      <c r="A297" s="20">
        <v>44186</v>
      </c>
      <c r="D297" s="20">
        <v>44188</v>
      </c>
      <c r="E297" s="43">
        <v>45.58</v>
      </c>
      <c r="F297" s="43">
        <v>1.2759</v>
      </c>
      <c r="G297"/>
      <c r="J297" s="20">
        <v>44188</v>
      </c>
      <c r="K297" s="43">
        <v>1.2759</v>
      </c>
      <c r="L297" s="43"/>
      <c r="M297"/>
    </row>
    <row r="298" spans="1:13">
      <c r="A298" s="20">
        <v>44187</v>
      </c>
      <c r="D298" s="20">
        <v>44189</v>
      </c>
      <c r="E298" s="43">
        <v>46.44</v>
      </c>
      <c r="F298" s="43">
        <v>1.3166</v>
      </c>
      <c r="G298"/>
      <c r="J298" s="20">
        <v>44189</v>
      </c>
      <c r="K298" s="43">
        <v>1.3166</v>
      </c>
      <c r="L298" s="43"/>
      <c r="M298"/>
    </row>
    <row r="299" spans="1:13">
      <c r="A299" s="20">
        <v>44188</v>
      </c>
      <c r="D299" s="20">
        <v>44193</v>
      </c>
      <c r="E299" s="43">
        <v>46.3</v>
      </c>
      <c r="F299" s="43">
        <v>1.3077000000000001</v>
      </c>
      <c r="G299"/>
      <c r="J299" s="20">
        <v>44193</v>
      </c>
      <c r="K299" s="43">
        <v>1.3077000000000001</v>
      </c>
      <c r="L299" s="43"/>
      <c r="M299"/>
    </row>
    <row r="300" spans="1:13">
      <c r="A300" s="20">
        <v>44189</v>
      </c>
      <c r="D300" s="20">
        <v>44194</v>
      </c>
      <c r="E300" s="43">
        <v>46.54</v>
      </c>
      <c r="F300" s="43">
        <v>1.3190999999999999</v>
      </c>
      <c r="G300"/>
      <c r="J300" s="20">
        <v>44194</v>
      </c>
      <c r="K300" s="43">
        <v>1.3190999999999999</v>
      </c>
      <c r="L300" s="43"/>
      <c r="M300"/>
    </row>
    <row r="301" spans="1:13">
      <c r="A301" s="20">
        <v>44193</v>
      </c>
      <c r="D301" s="20">
        <v>44195</v>
      </c>
      <c r="E301" s="43">
        <v>46.89</v>
      </c>
      <c r="F301" s="43">
        <v>1.3268</v>
      </c>
      <c r="G301"/>
      <c r="J301" s="20">
        <v>44195</v>
      </c>
      <c r="K301" s="43">
        <v>1.3268</v>
      </c>
      <c r="L301" s="43"/>
      <c r="M301"/>
    </row>
    <row r="302" spans="1:13">
      <c r="A302" s="20">
        <v>44194</v>
      </c>
      <c r="D302" s="20">
        <v>44196</v>
      </c>
      <c r="E302" s="43">
        <v>46.99</v>
      </c>
      <c r="F302" s="43">
        <v>1.3514999999999999</v>
      </c>
      <c r="G302"/>
      <c r="J302" s="20">
        <v>44196</v>
      </c>
      <c r="K302" s="43">
        <v>1.3514999999999999</v>
      </c>
      <c r="L302" s="43"/>
      <c r="M302"/>
    </row>
    <row r="303" spans="1:13">
      <c r="A303" s="20">
        <v>44195</v>
      </c>
      <c r="D303" s="20">
        <v>44200</v>
      </c>
      <c r="E303" s="43">
        <v>47.24</v>
      </c>
      <c r="F303" s="43">
        <v>1.3816999999999999</v>
      </c>
      <c r="G303"/>
      <c r="J303" s="20">
        <v>44200</v>
      </c>
      <c r="K303" s="43">
        <v>1.3816999999999999</v>
      </c>
      <c r="L303" s="43"/>
      <c r="M303"/>
    </row>
    <row r="304" spans="1:13">
      <c r="A304" s="20">
        <v>44196</v>
      </c>
      <c r="D304" s="20">
        <v>44201</v>
      </c>
      <c r="E304" s="43">
        <v>47.53</v>
      </c>
      <c r="F304" s="43">
        <v>1.391</v>
      </c>
      <c r="G304"/>
      <c r="J304" s="20">
        <v>44201</v>
      </c>
      <c r="K304" s="43">
        <v>1.391</v>
      </c>
      <c r="L304" s="43"/>
      <c r="M304"/>
    </row>
    <row r="305" spans="1:13">
      <c r="A305" s="20">
        <v>44200</v>
      </c>
      <c r="D305" s="20">
        <v>44202</v>
      </c>
      <c r="E305" s="43">
        <v>47.06</v>
      </c>
      <c r="F305" s="43">
        <v>1.3548</v>
      </c>
      <c r="G305"/>
      <c r="J305" s="20">
        <v>44202</v>
      </c>
      <c r="K305" s="43">
        <v>1.3548</v>
      </c>
      <c r="L305" s="43"/>
      <c r="M305"/>
    </row>
    <row r="306" spans="1:13">
      <c r="A306" s="20">
        <v>44201</v>
      </c>
      <c r="D306" s="20">
        <v>44203</v>
      </c>
      <c r="E306" s="43">
        <v>46.76</v>
      </c>
      <c r="F306" s="43">
        <v>1.3354999999999999</v>
      </c>
      <c r="G306"/>
      <c r="J306" s="20">
        <v>44203</v>
      </c>
      <c r="K306" s="43">
        <v>1.3354999999999999</v>
      </c>
      <c r="L306" s="43"/>
      <c r="M306"/>
    </row>
    <row r="307" spans="1:13">
      <c r="A307" s="20">
        <v>44202</v>
      </c>
      <c r="D307" s="20">
        <v>44204</v>
      </c>
      <c r="E307" s="43">
        <v>47.06</v>
      </c>
      <c r="F307" s="43">
        <v>1.3762000000000001</v>
      </c>
      <c r="G307"/>
      <c r="J307" s="20">
        <v>44204</v>
      </c>
      <c r="K307" s="43">
        <v>1.3762000000000001</v>
      </c>
      <c r="L307" s="43"/>
      <c r="M307"/>
    </row>
    <row r="308" spans="1:13">
      <c r="A308" s="20">
        <v>44203</v>
      </c>
      <c r="D308" s="20">
        <v>44207</v>
      </c>
      <c r="E308" s="43">
        <v>47.09</v>
      </c>
      <c r="F308" s="43">
        <v>1.3722000000000001</v>
      </c>
      <c r="G308"/>
      <c r="J308" s="20">
        <v>44207</v>
      </c>
      <c r="K308" s="43">
        <v>1.3722000000000001</v>
      </c>
      <c r="L308" s="43"/>
      <c r="M308"/>
    </row>
    <row r="309" spans="1:13">
      <c r="A309" s="20">
        <v>44204</v>
      </c>
      <c r="D309" s="20">
        <v>44208</v>
      </c>
      <c r="E309" s="43">
        <v>46.97</v>
      </c>
      <c r="F309" s="43">
        <v>1.3607</v>
      </c>
      <c r="G309"/>
      <c r="J309" s="20">
        <v>44208</v>
      </c>
      <c r="K309" s="43">
        <v>1.3607</v>
      </c>
      <c r="L309" s="43"/>
      <c r="M309"/>
    </row>
    <row r="310" spans="1:13">
      <c r="A310" s="20">
        <v>44207</v>
      </c>
      <c r="D310" s="20">
        <v>44209</v>
      </c>
      <c r="E310" s="43">
        <v>47.03</v>
      </c>
      <c r="F310" s="43">
        <v>1.3783000000000001</v>
      </c>
      <c r="G310"/>
      <c r="J310" s="20">
        <v>44209</v>
      </c>
      <c r="K310" s="43">
        <v>1.3783000000000001</v>
      </c>
      <c r="L310" s="43"/>
      <c r="M310"/>
    </row>
    <row r="311" spans="1:13">
      <c r="A311" s="20">
        <v>44208</v>
      </c>
      <c r="D311" s="20">
        <v>44210</v>
      </c>
      <c r="E311" s="43">
        <v>47.06</v>
      </c>
      <c r="F311" s="43">
        <v>1.4013</v>
      </c>
      <c r="G311"/>
      <c r="J311" s="20">
        <v>44210</v>
      </c>
      <c r="K311" s="43">
        <v>1.4013</v>
      </c>
      <c r="L311" s="43"/>
      <c r="M311"/>
    </row>
    <row r="312" spans="1:13">
      <c r="A312" s="20">
        <v>44209</v>
      </c>
      <c r="D312" s="20">
        <v>44211</v>
      </c>
      <c r="E312" s="43">
        <v>47.07</v>
      </c>
      <c r="F312" s="43">
        <v>1.4100999999999999</v>
      </c>
      <c r="G312"/>
      <c r="J312" s="20">
        <v>44211</v>
      </c>
      <c r="K312" s="43">
        <v>1.4100999999999999</v>
      </c>
      <c r="L312" s="43"/>
      <c r="M312"/>
    </row>
    <row r="313" spans="1:13">
      <c r="A313" s="20">
        <v>44210</v>
      </c>
      <c r="D313" s="20">
        <v>44214</v>
      </c>
      <c r="E313" s="43">
        <v>47.67</v>
      </c>
      <c r="F313" s="43">
        <v>1.3729</v>
      </c>
      <c r="G313"/>
      <c r="J313" s="20">
        <v>44214</v>
      </c>
      <c r="K313" s="43">
        <v>1.3729</v>
      </c>
      <c r="L313" s="43">
        <v>2.0738999999999996</v>
      </c>
      <c r="M313"/>
    </row>
    <row r="314" spans="1:13">
      <c r="A314" s="20">
        <v>44211</v>
      </c>
      <c r="D314" s="20">
        <v>44215</v>
      </c>
      <c r="E314" s="43">
        <v>49.84</v>
      </c>
      <c r="F314" s="43">
        <v>1.4520999999999999</v>
      </c>
      <c r="G314"/>
      <c r="J314" s="20">
        <v>44215</v>
      </c>
      <c r="K314" s="43">
        <v>1.4520999999999999</v>
      </c>
      <c r="L314" s="43"/>
      <c r="M314"/>
    </row>
    <row r="315" spans="1:13">
      <c r="A315" s="20">
        <v>44214</v>
      </c>
      <c r="B315" s="43">
        <v>2.0738999999999996</v>
      </c>
      <c r="D315" s="20">
        <v>44216</v>
      </c>
      <c r="E315" s="43">
        <v>50.46</v>
      </c>
      <c r="F315" s="43">
        <v>1.4750000000000001</v>
      </c>
      <c r="G315"/>
      <c r="J315" s="20">
        <v>44216</v>
      </c>
      <c r="K315" s="43">
        <v>1.4750000000000001</v>
      </c>
      <c r="L315" s="43"/>
      <c r="M315"/>
    </row>
    <row r="316" spans="1:13">
      <c r="A316" s="20">
        <v>44215</v>
      </c>
      <c r="D316" s="20">
        <v>44217</v>
      </c>
      <c r="E316" s="43">
        <v>50.62</v>
      </c>
      <c r="F316" s="43">
        <v>1.4826999999999999</v>
      </c>
      <c r="G316"/>
      <c r="J316" s="20">
        <v>44217</v>
      </c>
      <c r="K316" s="43">
        <v>1.4826999999999999</v>
      </c>
      <c r="L316" s="43"/>
      <c r="M316"/>
    </row>
    <row r="317" spans="1:13">
      <c r="A317" s="20">
        <v>44216</v>
      </c>
      <c r="D317" s="20">
        <v>44218</v>
      </c>
      <c r="E317" s="43">
        <v>51.72</v>
      </c>
      <c r="F317" s="43">
        <v>1.5423</v>
      </c>
      <c r="G317"/>
      <c r="J317" s="20">
        <v>44218</v>
      </c>
      <c r="K317" s="43">
        <v>1.5423</v>
      </c>
      <c r="L317" s="43"/>
      <c r="M317"/>
    </row>
    <row r="318" spans="1:13">
      <c r="A318" s="20">
        <v>44217</v>
      </c>
      <c r="D318" s="20">
        <v>44221</v>
      </c>
      <c r="E318" s="43">
        <v>51.73</v>
      </c>
      <c r="F318" s="43">
        <v>1.5207999999999999</v>
      </c>
      <c r="G318"/>
      <c r="J318" s="20">
        <v>44221</v>
      </c>
      <c r="K318" s="43">
        <v>1.5207999999999999</v>
      </c>
      <c r="L318" s="43"/>
      <c r="M318"/>
    </row>
    <row r="319" spans="1:13">
      <c r="A319" s="20">
        <v>44218</v>
      </c>
      <c r="D319" s="20">
        <v>44222</v>
      </c>
      <c r="E319" s="43">
        <v>52.39</v>
      </c>
      <c r="F319" s="43">
        <v>1.5518000000000001</v>
      </c>
      <c r="G319"/>
      <c r="J319" s="20">
        <v>44222</v>
      </c>
      <c r="K319" s="43">
        <v>1.5518000000000001</v>
      </c>
      <c r="L319" s="43"/>
      <c r="M319"/>
    </row>
    <row r="320" spans="1:13">
      <c r="A320" s="20">
        <v>44221</v>
      </c>
      <c r="D320" s="20">
        <v>44223</v>
      </c>
      <c r="E320" s="43">
        <v>52.21</v>
      </c>
      <c r="F320" s="43">
        <v>1.5467</v>
      </c>
      <c r="G320"/>
      <c r="J320" s="20">
        <v>44223</v>
      </c>
      <c r="K320" s="43">
        <v>1.5467</v>
      </c>
      <c r="L320" s="43"/>
      <c r="M320"/>
    </row>
    <row r="321" spans="1:13">
      <c r="A321" s="20">
        <v>44222</v>
      </c>
      <c r="D321" s="20">
        <v>44224</v>
      </c>
      <c r="E321" s="43">
        <v>52.59</v>
      </c>
      <c r="F321" s="43">
        <v>1.5538000000000001</v>
      </c>
      <c r="G321"/>
      <c r="J321" s="20">
        <v>44224</v>
      </c>
      <c r="K321" s="43">
        <v>1.5538000000000001</v>
      </c>
      <c r="L321" s="43"/>
      <c r="M321"/>
    </row>
    <row r="322" spans="1:13">
      <c r="A322" s="20">
        <v>44223</v>
      </c>
      <c r="D322" s="20">
        <v>44225</v>
      </c>
      <c r="E322" s="43">
        <v>51.96</v>
      </c>
      <c r="F322" s="43">
        <v>1.5277000000000001</v>
      </c>
      <c r="G322"/>
      <c r="J322" s="20">
        <v>44225</v>
      </c>
      <c r="K322" s="43">
        <v>1.5277000000000001</v>
      </c>
      <c r="L322" s="43"/>
      <c r="M322"/>
    </row>
    <row r="323" spans="1:13">
      <c r="A323" s="20">
        <v>44224</v>
      </c>
      <c r="D323" s="20">
        <v>44228</v>
      </c>
      <c r="E323" s="43">
        <v>45.13</v>
      </c>
      <c r="F323" s="43">
        <v>1.5379</v>
      </c>
      <c r="G323"/>
      <c r="J323" s="20">
        <v>44228</v>
      </c>
      <c r="K323" s="43">
        <v>1.5379</v>
      </c>
      <c r="L323" s="43"/>
      <c r="M323"/>
    </row>
    <row r="324" spans="1:13">
      <c r="A324" s="20">
        <v>44225</v>
      </c>
      <c r="D324" s="20">
        <v>44229</v>
      </c>
      <c r="E324" s="43">
        <v>52.37</v>
      </c>
      <c r="F324" s="43">
        <v>1.5437000000000001</v>
      </c>
      <c r="G324"/>
      <c r="J324" s="20">
        <v>44229</v>
      </c>
      <c r="K324" s="43">
        <v>1.5437000000000001</v>
      </c>
      <c r="L324" s="43"/>
      <c r="M324"/>
    </row>
    <row r="325" spans="1:13">
      <c r="A325" s="20">
        <v>44228</v>
      </c>
      <c r="D325" s="20">
        <v>44230</v>
      </c>
      <c r="E325" s="43">
        <v>52.3</v>
      </c>
      <c r="F325" s="43">
        <v>1.5471999999999999</v>
      </c>
      <c r="G325"/>
      <c r="J325" s="20">
        <v>44230</v>
      </c>
      <c r="K325" s="43">
        <v>1.5471999999999999</v>
      </c>
      <c r="L325" s="43"/>
      <c r="M325"/>
    </row>
    <row r="326" spans="1:13">
      <c r="A326" s="20">
        <v>44229</v>
      </c>
      <c r="D326" s="20">
        <v>44231</v>
      </c>
      <c r="E326" s="43">
        <v>52.03</v>
      </c>
      <c r="F326" s="43">
        <v>1.5449999999999999</v>
      </c>
      <c r="G326"/>
      <c r="J326" s="20">
        <v>44231</v>
      </c>
      <c r="K326" s="43">
        <v>1.5449999999999999</v>
      </c>
      <c r="L326" s="43"/>
      <c r="M326"/>
    </row>
    <row r="327" spans="1:13">
      <c r="A327" s="20">
        <v>44230</v>
      </c>
      <c r="D327" s="20">
        <v>44232</v>
      </c>
      <c r="E327" s="43">
        <v>52.16</v>
      </c>
      <c r="F327" s="43">
        <v>1.5579000000000001</v>
      </c>
      <c r="G327"/>
      <c r="J327" s="20">
        <v>44232</v>
      </c>
      <c r="K327" s="43">
        <v>1.5579000000000001</v>
      </c>
      <c r="L327" s="43"/>
      <c r="M327"/>
    </row>
    <row r="328" spans="1:13">
      <c r="A328" s="20">
        <v>44231</v>
      </c>
      <c r="D328" s="20">
        <v>44235</v>
      </c>
      <c r="E328" s="43">
        <v>52.13</v>
      </c>
      <c r="F328" s="43">
        <v>1.5748</v>
      </c>
      <c r="G328"/>
      <c r="J328" s="20">
        <v>44235</v>
      </c>
      <c r="K328" s="43">
        <v>1.5748</v>
      </c>
      <c r="L328" s="43"/>
      <c r="M328"/>
    </row>
    <row r="329" spans="1:13">
      <c r="A329" s="20">
        <v>44232</v>
      </c>
      <c r="D329" s="20">
        <v>44236</v>
      </c>
      <c r="E329" s="43">
        <v>52.16</v>
      </c>
      <c r="F329" s="43">
        <v>1.5716000000000001</v>
      </c>
      <c r="G329"/>
      <c r="J329" s="20">
        <v>44236</v>
      </c>
      <c r="K329" s="43">
        <v>1.5716000000000001</v>
      </c>
      <c r="L329" s="43"/>
      <c r="M329"/>
    </row>
    <row r="330" spans="1:13">
      <c r="A330" s="20">
        <v>44235</v>
      </c>
      <c r="D330" s="20">
        <v>44237</v>
      </c>
      <c r="E330" s="43">
        <v>52.11</v>
      </c>
      <c r="F330" s="43">
        <v>1.5753999999999999</v>
      </c>
      <c r="G330"/>
      <c r="J330" s="20">
        <v>44237</v>
      </c>
      <c r="K330" s="43">
        <v>1.5753999999999999</v>
      </c>
      <c r="L330" s="43"/>
      <c r="M330"/>
    </row>
    <row r="331" spans="1:13">
      <c r="A331" s="20">
        <v>44236</v>
      </c>
      <c r="D331" s="20">
        <v>44238</v>
      </c>
      <c r="E331" s="43">
        <v>52.1</v>
      </c>
      <c r="F331" s="43">
        <v>1.5527</v>
      </c>
      <c r="G331"/>
      <c r="J331" s="20">
        <v>44238</v>
      </c>
      <c r="K331" s="43">
        <v>1.5527</v>
      </c>
      <c r="L331" s="43"/>
      <c r="M331"/>
    </row>
    <row r="332" spans="1:13">
      <c r="A332" s="20">
        <v>44237</v>
      </c>
      <c r="D332" s="20">
        <v>44239</v>
      </c>
      <c r="E332" s="43">
        <v>53.52</v>
      </c>
      <c r="F332" s="43">
        <v>1.5901000000000001</v>
      </c>
      <c r="G332"/>
      <c r="J332" s="20">
        <v>44239</v>
      </c>
      <c r="K332" s="43">
        <v>1.5901000000000001</v>
      </c>
      <c r="L332" s="43"/>
      <c r="M332"/>
    </row>
    <row r="333" spans="1:13">
      <c r="A333" s="20">
        <v>44238</v>
      </c>
      <c r="D333" s="20">
        <v>44242</v>
      </c>
      <c r="E333" s="43">
        <v>54.67</v>
      </c>
      <c r="F333" s="43">
        <v>1.6160000000000001</v>
      </c>
      <c r="G333"/>
      <c r="J333" s="20">
        <v>44242</v>
      </c>
      <c r="K333" s="43">
        <v>1.6160000000000001</v>
      </c>
      <c r="L333" s="43"/>
      <c r="M333"/>
    </row>
    <row r="334" spans="1:13">
      <c r="A334" s="20">
        <v>44239</v>
      </c>
      <c r="D334" s="20">
        <v>44243</v>
      </c>
      <c r="E334" s="43">
        <v>55.5</v>
      </c>
      <c r="F334" s="43">
        <v>1.6486000000000001</v>
      </c>
      <c r="G334"/>
      <c r="J334" s="20">
        <v>44243</v>
      </c>
      <c r="K334" s="43">
        <v>1.6486000000000001</v>
      </c>
      <c r="L334" s="43"/>
      <c r="M334"/>
    </row>
    <row r="335" spans="1:13">
      <c r="A335" s="20">
        <v>44242</v>
      </c>
      <c r="D335" s="20">
        <v>44244</v>
      </c>
      <c r="E335" s="43">
        <v>55.95</v>
      </c>
      <c r="F335" s="43">
        <v>1.6448</v>
      </c>
      <c r="G335"/>
      <c r="J335" s="20">
        <v>44244</v>
      </c>
      <c r="K335" s="43">
        <v>1.6448</v>
      </c>
      <c r="L335" s="43"/>
      <c r="M335"/>
    </row>
    <row r="336" spans="1:13">
      <c r="A336" s="20">
        <v>44243</v>
      </c>
      <c r="D336" s="20">
        <v>44245</v>
      </c>
      <c r="E336" s="43">
        <v>56.44</v>
      </c>
      <c r="F336" s="43">
        <v>1.6493</v>
      </c>
      <c r="G336"/>
      <c r="J336" s="20">
        <v>44245</v>
      </c>
      <c r="K336" s="43">
        <v>1.6493</v>
      </c>
      <c r="L336" s="43"/>
      <c r="M336"/>
    </row>
    <row r="337" spans="1:13">
      <c r="A337" s="20">
        <v>44244</v>
      </c>
      <c r="D337" s="20">
        <v>44246</v>
      </c>
      <c r="E337" s="43">
        <v>57.27</v>
      </c>
      <c r="F337" s="43">
        <v>1.6748000000000001</v>
      </c>
      <c r="G337"/>
      <c r="J337" s="20">
        <v>44246</v>
      </c>
      <c r="K337" s="43">
        <v>1.6748000000000001</v>
      </c>
      <c r="L337" s="43"/>
      <c r="M337"/>
    </row>
    <row r="338" spans="1:13">
      <c r="A338" s="20">
        <v>44245</v>
      </c>
      <c r="D338" s="20">
        <v>44249</v>
      </c>
      <c r="E338" s="43">
        <v>57.54</v>
      </c>
      <c r="F338" s="43">
        <v>1.6736</v>
      </c>
      <c r="G338"/>
      <c r="J338" s="20">
        <v>44249</v>
      </c>
      <c r="K338" s="43">
        <v>1.6736</v>
      </c>
      <c r="L338" s="43">
        <v>1.9519999999999997</v>
      </c>
      <c r="M338"/>
    </row>
    <row r="339" spans="1:13">
      <c r="A339" s="20">
        <v>44246</v>
      </c>
      <c r="D339" s="20">
        <v>44250</v>
      </c>
      <c r="E339" s="43">
        <v>57.74</v>
      </c>
      <c r="F339" s="43">
        <v>1.7841</v>
      </c>
      <c r="G339"/>
      <c r="J339" s="20">
        <v>44250</v>
      </c>
      <c r="K339" s="43">
        <v>1.7841</v>
      </c>
      <c r="L339" s="43"/>
      <c r="M339"/>
    </row>
    <row r="340" spans="1:13">
      <c r="A340" s="20">
        <v>44249</v>
      </c>
      <c r="B340" s="43">
        <v>1.9519999999999997</v>
      </c>
      <c r="D340" s="20">
        <v>44251</v>
      </c>
      <c r="E340" s="43">
        <v>57.49</v>
      </c>
      <c r="F340" s="43">
        <v>1.7786</v>
      </c>
      <c r="G340"/>
      <c r="J340" s="20">
        <v>44251</v>
      </c>
      <c r="K340" s="43">
        <v>1.7786</v>
      </c>
      <c r="L340" s="43"/>
      <c r="M340"/>
    </row>
    <row r="341" spans="1:13">
      <c r="A341" s="20">
        <v>44250</v>
      </c>
      <c r="D341" s="20">
        <v>44252</v>
      </c>
      <c r="E341" s="43">
        <v>58.14</v>
      </c>
      <c r="F341" s="43">
        <v>1.8139000000000001</v>
      </c>
      <c r="G341"/>
      <c r="J341" s="20">
        <v>44252</v>
      </c>
      <c r="K341" s="43">
        <v>1.8139000000000001</v>
      </c>
      <c r="L341" s="43"/>
      <c r="M341"/>
    </row>
    <row r="342" spans="1:13">
      <c r="A342" s="20">
        <v>44251</v>
      </c>
      <c r="D342" s="20">
        <v>44253</v>
      </c>
      <c r="E342" s="43">
        <v>58.44</v>
      </c>
      <c r="F342" s="43">
        <v>1.8636999999999999</v>
      </c>
      <c r="G342"/>
      <c r="J342" s="20">
        <v>44253</v>
      </c>
      <c r="K342" s="43">
        <v>1.8636999999999999</v>
      </c>
      <c r="L342" s="43"/>
      <c r="M342"/>
    </row>
    <row r="343" spans="1:13">
      <c r="A343" s="20">
        <v>44252</v>
      </c>
      <c r="D343" s="20">
        <v>44256</v>
      </c>
      <c r="E343" s="43">
        <v>50.94</v>
      </c>
      <c r="F343" s="43">
        <v>1.8937999999999999</v>
      </c>
      <c r="G343"/>
      <c r="J343" s="20">
        <v>44256</v>
      </c>
      <c r="K343" s="43">
        <v>1.8937999999999999</v>
      </c>
      <c r="L343" s="43"/>
      <c r="M343"/>
    </row>
    <row r="344" spans="1:13">
      <c r="A344" s="20">
        <v>44253</v>
      </c>
      <c r="D344" s="20">
        <v>44257</v>
      </c>
      <c r="E344" s="43">
        <v>58.67</v>
      </c>
      <c r="F344" s="43">
        <v>1.8872</v>
      </c>
      <c r="G344"/>
      <c r="J344" s="20">
        <v>44257</v>
      </c>
      <c r="K344" s="43">
        <v>1.8872</v>
      </c>
      <c r="L344" s="43"/>
      <c r="M344"/>
    </row>
    <row r="345" spans="1:13">
      <c r="A345" s="20">
        <v>44256</v>
      </c>
      <c r="D345" s="20">
        <v>44258</v>
      </c>
      <c r="E345" s="43">
        <v>58.26</v>
      </c>
      <c r="F345" s="43">
        <v>1.8889</v>
      </c>
      <c r="G345"/>
      <c r="J345" s="20">
        <v>44258</v>
      </c>
      <c r="K345" s="43">
        <v>1.8889</v>
      </c>
      <c r="L345" s="43"/>
      <c r="M345"/>
    </row>
    <row r="346" spans="1:13">
      <c r="A346" s="20">
        <v>44257</v>
      </c>
      <c r="D346" s="20">
        <v>44259</v>
      </c>
      <c r="E346" s="43">
        <v>58.9</v>
      </c>
      <c r="F346" s="43">
        <v>1.9309000000000001</v>
      </c>
      <c r="G346"/>
      <c r="J346" s="20">
        <v>44259</v>
      </c>
      <c r="K346" s="43">
        <v>1.9309000000000001</v>
      </c>
      <c r="L346" s="43"/>
      <c r="M346"/>
    </row>
    <row r="347" spans="1:13">
      <c r="A347" s="20">
        <v>44258</v>
      </c>
      <c r="D347" s="20">
        <v>44260</v>
      </c>
      <c r="E347" s="43">
        <v>58.89</v>
      </c>
      <c r="F347" s="43">
        <v>1.9424999999999999</v>
      </c>
      <c r="G347"/>
      <c r="J347" s="20">
        <v>44260</v>
      </c>
      <c r="K347" s="43">
        <v>1.9424999999999999</v>
      </c>
      <c r="L347" s="43"/>
      <c r="M347"/>
    </row>
    <row r="348" spans="1:13">
      <c r="A348" s="20">
        <v>44259</v>
      </c>
      <c r="D348" s="20">
        <v>44263</v>
      </c>
      <c r="E348" s="43">
        <v>59.14</v>
      </c>
      <c r="F348" s="43">
        <v>1.9777</v>
      </c>
      <c r="G348"/>
      <c r="J348" s="20">
        <v>44263</v>
      </c>
      <c r="K348" s="43">
        <v>1.9777</v>
      </c>
      <c r="L348" s="43"/>
      <c r="M348"/>
    </row>
    <row r="349" spans="1:13">
      <c r="A349" s="20">
        <v>44260</v>
      </c>
      <c r="D349" s="20">
        <v>44264</v>
      </c>
      <c r="E349" s="43">
        <v>59.17</v>
      </c>
      <c r="F349" s="43">
        <v>1.9763999999999999</v>
      </c>
      <c r="G349"/>
      <c r="J349" s="20">
        <v>44264</v>
      </c>
      <c r="K349" s="43">
        <v>1.9763999999999999</v>
      </c>
      <c r="L349" s="43"/>
      <c r="M349"/>
    </row>
    <row r="350" spans="1:13">
      <c r="A350" s="20">
        <v>44263</v>
      </c>
      <c r="D350" s="20">
        <v>44265</v>
      </c>
      <c r="E350" s="43">
        <v>59.06</v>
      </c>
      <c r="F350" s="43">
        <v>1.9504999999999999</v>
      </c>
      <c r="G350"/>
      <c r="J350" s="20">
        <v>44265</v>
      </c>
      <c r="K350" s="43">
        <v>1.9504999999999999</v>
      </c>
      <c r="L350" s="43"/>
      <c r="M350"/>
    </row>
    <row r="351" spans="1:13">
      <c r="A351" s="20">
        <v>44264</v>
      </c>
      <c r="D351" s="20">
        <v>44266</v>
      </c>
      <c r="E351" s="43">
        <v>60.57</v>
      </c>
      <c r="F351" s="43">
        <v>1.9429000000000001</v>
      </c>
      <c r="G351"/>
      <c r="J351" s="20">
        <v>44266</v>
      </c>
      <c r="K351" s="43">
        <v>1.9429000000000001</v>
      </c>
      <c r="L351" s="43"/>
      <c r="M351"/>
    </row>
    <row r="352" spans="1:13">
      <c r="A352" s="20">
        <v>44265</v>
      </c>
      <c r="D352" s="20">
        <v>44267</v>
      </c>
      <c r="E352" s="43">
        <v>59.73</v>
      </c>
      <c r="F352" s="43">
        <v>1.9363999999999999</v>
      </c>
      <c r="G352"/>
      <c r="J352" s="20">
        <v>44267</v>
      </c>
      <c r="K352" s="43">
        <v>1.9363999999999999</v>
      </c>
      <c r="L352" s="43"/>
      <c r="M352"/>
    </row>
    <row r="353" spans="1:13">
      <c r="A353" s="20">
        <v>44266</v>
      </c>
      <c r="D353" s="20">
        <v>44270</v>
      </c>
      <c r="E353" s="43">
        <v>61.13</v>
      </c>
      <c r="F353" s="43">
        <v>1.9518</v>
      </c>
      <c r="G353"/>
      <c r="J353" s="20">
        <v>44270</v>
      </c>
      <c r="K353" s="43">
        <v>1.9518</v>
      </c>
      <c r="L353" s="43"/>
      <c r="M353"/>
    </row>
    <row r="354" spans="1:13">
      <c r="A354" s="20">
        <v>44267</v>
      </c>
      <c r="D354" s="20">
        <v>44271</v>
      </c>
      <c r="E354" s="43">
        <v>63.34</v>
      </c>
      <c r="F354" s="43">
        <v>1.9979</v>
      </c>
      <c r="G354"/>
      <c r="J354" s="20">
        <v>44271</v>
      </c>
      <c r="K354" s="43">
        <v>1.9979</v>
      </c>
      <c r="L354" s="43"/>
      <c r="M354"/>
    </row>
    <row r="355" spans="1:13">
      <c r="A355" s="20">
        <v>44270</v>
      </c>
      <c r="D355" s="20">
        <v>44272</v>
      </c>
      <c r="E355" s="43">
        <v>65.22</v>
      </c>
      <c r="F355" s="43">
        <v>2.0647000000000002</v>
      </c>
      <c r="G355"/>
      <c r="J355" s="20">
        <v>44272</v>
      </c>
      <c r="K355" s="43">
        <v>2.0647000000000002</v>
      </c>
      <c r="L355" s="43"/>
      <c r="M355"/>
    </row>
    <row r="356" spans="1:13">
      <c r="A356" s="20">
        <v>44271</v>
      </c>
      <c r="D356" s="20">
        <v>44273</v>
      </c>
      <c r="E356" s="43">
        <v>64.42</v>
      </c>
      <c r="F356" s="43">
        <v>2.0487000000000002</v>
      </c>
      <c r="G356"/>
      <c r="J356" s="20">
        <v>44273</v>
      </c>
      <c r="K356" s="43">
        <v>2.0487000000000002</v>
      </c>
      <c r="L356" s="43"/>
      <c r="M356"/>
    </row>
    <row r="357" spans="1:13">
      <c r="A357" s="20">
        <v>44272</v>
      </c>
      <c r="D357" s="20">
        <v>44274</v>
      </c>
      <c r="E357" s="43">
        <v>62.47</v>
      </c>
      <c r="F357" s="43">
        <v>2.0501999999999998</v>
      </c>
      <c r="G357"/>
      <c r="J357" s="20">
        <v>44274</v>
      </c>
      <c r="K357" s="43">
        <v>2.0501999999999998</v>
      </c>
      <c r="L357" s="43"/>
      <c r="M357"/>
    </row>
    <row r="358" spans="1:13">
      <c r="A358" s="20">
        <v>44273</v>
      </c>
      <c r="D358" s="20">
        <v>44277</v>
      </c>
      <c r="E358" s="43">
        <v>63.22</v>
      </c>
      <c r="F358" s="43">
        <v>2.0747</v>
      </c>
      <c r="G358"/>
      <c r="J358" s="20">
        <v>44277</v>
      </c>
      <c r="K358" s="43">
        <v>2.0747</v>
      </c>
      <c r="L358" s="43"/>
      <c r="M358"/>
    </row>
    <row r="359" spans="1:13">
      <c r="A359" s="20">
        <v>44274</v>
      </c>
      <c r="D359" s="20">
        <v>44278</v>
      </c>
      <c r="E359" s="43">
        <v>62.27</v>
      </c>
      <c r="F359" s="43">
        <v>2.1273</v>
      </c>
      <c r="G359"/>
      <c r="J359" s="20">
        <v>44278</v>
      </c>
      <c r="K359" s="43">
        <v>2.1273</v>
      </c>
      <c r="L359" s="43"/>
      <c r="M359"/>
    </row>
    <row r="360" spans="1:13">
      <c r="A360" s="20">
        <v>44277</v>
      </c>
      <c r="D360" s="20">
        <v>44279</v>
      </c>
      <c r="E360" s="43">
        <v>61.61</v>
      </c>
      <c r="F360" s="43">
        <v>2.1347999999999998</v>
      </c>
      <c r="G360"/>
      <c r="J360" s="20">
        <v>44279</v>
      </c>
      <c r="K360" s="43">
        <v>2.1347999999999998</v>
      </c>
      <c r="L360" s="43"/>
      <c r="M360"/>
    </row>
    <row r="361" spans="1:13">
      <c r="A361" s="20">
        <v>44278</v>
      </c>
      <c r="D361" s="20">
        <v>44280</v>
      </c>
      <c r="E361" s="43">
        <v>61.63</v>
      </c>
      <c r="F361" s="43">
        <v>2.0994000000000002</v>
      </c>
      <c r="G361"/>
      <c r="J361" s="20">
        <v>44280</v>
      </c>
      <c r="K361" s="43">
        <v>2.0994000000000002</v>
      </c>
      <c r="L361" s="43"/>
      <c r="M361"/>
    </row>
    <row r="362" spans="1:13">
      <c r="A362" s="20">
        <v>44279</v>
      </c>
      <c r="D362" s="20">
        <v>44281</v>
      </c>
      <c r="E362" s="43">
        <v>62.56</v>
      </c>
      <c r="F362" s="43">
        <v>2.0956999999999999</v>
      </c>
      <c r="G362"/>
      <c r="J362" s="20">
        <v>44281</v>
      </c>
      <c r="K362" s="43">
        <v>2.0956999999999999</v>
      </c>
      <c r="L362" s="43"/>
      <c r="M362"/>
    </row>
    <row r="363" spans="1:13">
      <c r="A363" s="20">
        <v>44280</v>
      </c>
      <c r="D363" s="20">
        <v>44284</v>
      </c>
      <c r="E363" s="43">
        <v>62.86</v>
      </c>
      <c r="F363" s="43">
        <v>2.0474999999999999</v>
      </c>
      <c r="G363"/>
      <c r="J363" s="20">
        <v>44284</v>
      </c>
      <c r="K363" s="43">
        <v>2.0474999999999999</v>
      </c>
      <c r="L363" s="43">
        <v>1.93</v>
      </c>
      <c r="M363"/>
    </row>
    <row r="364" spans="1:13">
      <c r="A364" s="20">
        <v>44281</v>
      </c>
      <c r="D364" s="20">
        <v>44285</v>
      </c>
      <c r="E364" s="43">
        <v>62.26</v>
      </c>
      <c r="F364" s="43">
        <v>1.9407000000000001</v>
      </c>
      <c r="G364"/>
      <c r="J364" s="20">
        <v>44285</v>
      </c>
      <c r="K364" s="43">
        <v>1.9407000000000001</v>
      </c>
      <c r="L364" s="43"/>
      <c r="M364"/>
    </row>
    <row r="365" spans="1:13">
      <c r="A365" s="20">
        <v>44284</v>
      </c>
      <c r="B365" s="43">
        <v>1.93</v>
      </c>
      <c r="D365" s="20">
        <v>44286</v>
      </c>
      <c r="E365" s="43">
        <v>62.8</v>
      </c>
      <c r="F365" s="43">
        <v>1.9437</v>
      </c>
      <c r="G365"/>
      <c r="J365" s="20">
        <v>44286</v>
      </c>
      <c r="K365" s="43">
        <v>1.9437</v>
      </c>
      <c r="L365" s="43"/>
      <c r="M365"/>
    </row>
    <row r="366" spans="1:13">
      <c r="A366" s="20">
        <v>44285</v>
      </c>
      <c r="D366" s="20">
        <v>44287</v>
      </c>
      <c r="E366" s="43">
        <v>50.51</v>
      </c>
      <c r="F366" s="43">
        <v>1.9583999999999999</v>
      </c>
      <c r="G366"/>
      <c r="J366" s="20">
        <v>44287</v>
      </c>
      <c r="K366" s="43">
        <v>1.9583999999999999</v>
      </c>
      <c r="L366" s="43"/>
      <c r="M366"/>
    </row>
    <row r="367" spans="1:13">
      <c r="A367" s="20">
        <v>44286</v>
      </c>
      <c r="D367" s="20">
        <v>44291</v>
      </c>
      <c r="E367" s="43">
        <v>60.79</v>
      </c>
      <c r="F367" s="43">
        <v>1.8958999999999999</v>
      </c>
      <c r="G367"/>
      <c r="J367" s="20">
        <v>44291</v>
      </c>
      <c r="K367" s="43">
        <v>1.8958999999999999</v>
      </c>
      <c r="L367" s="43"/>
      <c r="M367"/>
    </row>
    <row r="368" spans="1:13">
      <c r="A368" s="20">
        <v>44287</v>
      </c>
      <c r="D368" s="20">
        <v>44292</v>
      </c>
      <c r="E368" s="43">
        <v>61.31</v>
      </c>
      <c r="F368" s="43">
        <v>1.9875</v>
      </c>
      <c r="G368"/>
      <c r="J368" s="20">
        <v>44292</v>
      </c>
      <c r="K368" s="43">
        <v>1.9875</v>
      </c>
      <c r="L368" s="43"/>
      <c r="M368"/>
    </row>
    <row r="369" spans="1:13">
      <c r="A369" s="20">
        <v>44291</v>
      </c>
      <c r="D369" s="20">
        <v>44293</v>
      </c>
      <c r="E369" s="43">
        <v>60.67</v>
      </c>
      <c r="F369" s="43">
        <v>1.9196</v>
      </c>
      <c r="G369"/>
      <c r="J369" s="20">
        <v>44293</v>
      </c>
      <c r="K369" s="43">
        <v>1.9196</v>
      </c>
      <c r="L369" s="43"/>
      <c r="M369"/>
    </row>
    <row r="370" spans="1:13">
      <c r="A370" s="20">
        <v>44292</v>
      </c>
      <c r="D370" s="20">
        <v>44294</v>
      </c>
      <c r="E370" s="43">
        <v>61.2</v>
      </c>
      <c r="F370" s="43">
        <v>1.9709000000000001</v>
      </c>
      <c r="G370"/>
      <c r="J370" s="20">
        <v>44294</v>
      </c>
      <c r="K370" s="43">
        <v>1.9709000000000001</v>
      </c>
      <c r="L370" s="43"/>
      <c r="M370"/>
    </row>
    <row r="371" spans="1:13">
      <c r="A371" s="20">
        <v>44293</v>
      </c>
      <c r="D371" s="20">
        <v>44295</v>
      </c>
      <c r="E371" s="43">
        <v>61.12</v>
      </c>
      <c r="F371" s="43">
        <v>2.0009000000000001</v>
      </c>
      <c r="G371"/>
      <c r="J371" s="20">
        <v>44295</v>
      </c>
      <c r="K371" s="43">
        <v>2.0009000000000001</v>
      </c>
      <c r="L371" s="43"/>
      <c r="M371"/>
    </row>
    <row r="372" spans="1:13">
      <c r="A372" s="20">
        <v>44294</v>
      </c>
      <c r="D372" s="20">
        <v>44298</v>
      </c>
      <c r="E372" s="43">
        <v>61.44</v>
      </c>
      <c r="F372" s="43">
        <v>1.9964</v>
      </c>
      <c r="G372"/>
      <c r="J372" s="20">
        <v>44298</v>
      </c>
      <c r="K372" s="43">
        <v>1.9964</v>
      </c>
      <c r="L372" s="43"/>
      <c r="M372"/>
    </row>
    <row r="373" spans="1:13">
      <c r="A373" s="20">
        <v>44295</v>
      </c>
      <c r="D373" s="20">
        <v>44299</v>
      </c>
      <c r="E373" s="43">
        <v>61.85</v>
      </c>
      <c r="F373" s="43">
        <v>1.9597</v>
      </c>
      <c r="G373"/>
      <c r="J373" s="20">
        <v>44299</v>
      </c>
      <c r="K373" s="43">
        <v>1.9597</v>
      </c>
      <c r="L373" s="43"/>
      <c r="M373"/>
    </row>
    <row r="374" spans="1:13">
      <c r="A374" s="20">
        <v>44298</v>
      </c>
      <c r="D374" s="20">
        <v>44300</v>
      </c>
      <c r="E374" s="43">
        <v>61.46</v>
      </c>
      <c r="F374" s="43">
        <v>2.0223</v>
      </c>
      <c r="G374"/>
      <c r="J374" s="20">
        <v>44300</v>
      </c>
      <c r="K374" s="43">
        <v>2.0223</v>
      </c>
      <c r="L374" s="43"/>
      <c r="M374"/>
    </row>
    <row r="375" spans="1:13">
      <c r="A375" s="20">
        <v>44299</v>
      </c>
      <c r="D375" s="20">
        <v>44301</v>
      </c>
      <c r="E375" s="43">
        <v>58.79</v>
      </c>
      <c r="F375" s="43">
        <v>1.9611000000000001</v>
      </c>
      <c r="G375"/>
      <c r="J375" s="20">
        <v>44301</v>
      </c>
      <c r="K375" s="43">
        <v>1.9611000000000001</v>
      </c>
      <c r="L375" s="43"/>
      <c r="M375"/>
    </row>
    <row r="376" spans="1:13">
      <c r="A376" s="20">
        <v>44300</v>
      </c>
      <c r="D376" s="20">
        <v>44302</v>
      </c>
      <c r="E376" s="43">
        <v>59.41</v>
      </c>
      <c r="F376" s="43">
        <v>1.9662999999999999</v>
      </c>
      <c r="G376"/>
      <c r="J376" s="20">
        <v>44302</v>
      </c>
      <c r="K376" s="43">
        <v>1.9662999999999999</v>
      </c>
      <c r="L376" s="43"/>
      <c r="M376"/>
    </row>
    <row r="377" spans="1:13">
      <c r="A377" s="20">
        <v>44301</v>
      </c>
      <c r="D377" s="20">
        <v>44305</v>
      </c>
      <c r="E377" s="43">
        <v>59.79</v>
      </c>
      <c r="F377" s="43">
        <v>1.9518</v>
      </c>
      <c r="G377"/>
      <c r="J377" s="20">
        <v>44305</v>
      </c>
      <c r="K377" s="43">
        <v>1.9518</v>
      </c>
      <c r="L377" s="43"/>
      <c r="M377"/>
    </row>
    <row r="378" spans="1:13">
      <c r="A378" s="20">
        <v>44302</v>
      </c>
      <c r="D378" s="20">
        <v>44306</v>
      </c>
      <c r="E378" s="43">
        <v>59.65</v>
      </c>
      <c r="F378" s="43">
        <v>1.9593</v>
      </c>
      <c r="G378"/>
      <c r="J378" s="20">
        <v>44306</v>
      </c>
      <c r="K378" s="43">
        <v>1.9593</v>
      </c>
      <c r="L378" s="43"/>
      <c r="M378"/>
    </row>
    <row r="379" spans="1:13">
      <c r="A379" s="20">
        <v>44305</v>
      </c>
      <c r="D379" s="20">
        <v>44307</v>
      </c>
      <c r="E379" s="43">
        <v>59.44</v>
      </c>
      <c r="F379" s="43">
        <v>1.9621</v>
      </c>
      <c r="G379"/>
      <c r="J379" s="20">
        <v>44307</v>
      </c>
      <c r="K379" s="43">
        <v>1.9621</v>
      </c>
      <c r="L379" s="43"/>
      <c r="M379"/>
    </row>
    <row r="380" spans="1:13">
      <c r="A380" s="20">
        <v>44306</v>
      </c>
      <c r="D380" s="20">
        <v>44308</v>
      </c>
      <c r="E380" s="43">
        <v>59.72</v>
      </c>
      <c r="F380" s="43">
        <v>1.97</v>
      </c>
      <c r="G380"/>
      <c r="J380" s="20">
        <v>44308</v>
      </c>
      <c r="K380" s="43">
        <v>1.97</v>
      </c>
      <c r="L380" s="43"/>
      <c r="M380"/>
    </row>
    <row r="381" spans="1:13">
      <c r="A381" s="20">
        <v>44307</v>
      </c>
      <c r="D381" s="20">
        <v>44309</v>
      </c>
      <c r="E381" s="43">
        <v>60.04</v>
      </c>
      <c r="F381" s="43">
        <v>1.9757</v>
      </c>
      <c r="G381"/>
      <c r="J381" s="20">
        <v>44309</v>
      </c>
      <c r="K381" s="43">
        <v>1.9757</v>
      </c>
      <c r="L381" s="43"/>
      <c r="M381"/>
    </row>
    <row r="382" spans="1:13">
      <c r="A382" s="20">
        <v>44308</v>
      </c>
      <c r="D382" s="20">
        <v>44312</v>
      </c>
      <c r="E382" s="43">
        <v>61.88</v>
      </c>
      <c r="F382" s="43">
        <v>2.0409000000000002</v>
      </c>
      <c r="G382"/>
      <c r="J382" s="20">
        <v>44312</v>
      </c>
      <c r="K382" s="43">
        <v>2.0409000000000002</v>
      </c>
      <c r="L382" s="43"/>
      <c r="M382"/>
    </row>
    <row r="383" spans="1:13">
      <c r="A383" s="20">
        <v>44309</v>
      </c>
      <c r="D383" s="20">
        <v>44313</v>
      </c>
      <c r="E383" s="43">
        <v>62.05</v>
      </c>
      <c r="F383" s="43">
        <v>2.0526</v>
      </c>
      <c r="G383"/>
      <c r="J383" s="20">
        <v>44313</v>
      </c>
      <c r="K383" s="43">
        <v>2.0526</v>
      </c>
      <c r="L383" s="43"/>
      <c r="M383"/>
    </row>
    <row r="384" spans="1:13">
      <c r="A384" s="20">
        <v>44312</v>
      </c>
      <c r="D384" s="20">
        <v>44314</v>
      </c>
      <c r="E384" s="43">
        <v>61.88</v>
      </c>
      <c r="F384" s="43">
        <v>2.0426000000000002</v>
      </c>
      <c r="G384"/>
      <c r="J384" s="20">
        <v>44314</v>
      </c>
      <c r="K384" s="43">
        <v>2.0426000000000002</v>
      </c>
      <c r="L384" s="43"/>
      <c r="M384"/>
    </row>
    <row r="385" spans="1:13">
      <c r="A385" s="20">
        <v>44313</v>
      </c>
      <c r="D385" s="20">
        <v>44315</v>
      </c>
      <c r="E385" s="43">
        <v>62</v>
      </c>
      <c r="F385" s="43">
        <v>2.0463</v>
      </c>
      <c r="G385"/>
      <c r="J385" s="20">
        <v>44315</v>
      </c>
      <c r="K385" s="43">
        <v>2.0463</v>
      </c>
      <c r="L385" s="43"/>
      <c r="M385"/>
    </row>
    <row r="386" spans="1:13">
      <c r="A386" s="20">
        <v>44314</v>
      </c>
      <c r="D386" s="20">
        <v>44316</v>
      </c>
      <c r="E386" s="43">
        <v>61.66</v>
      </c>
      <c r="F386" s="43">
        <v>2.0209000000000001</v>
      </c>
      <c r="G386"/>
      <c r="J386" s="20">
        <v>44316</v>
      </c>
      <c r="K386" s="43">
        <v>2.0209000000000001</v>
      </c>
      <c r="L386" s="43"/>
      <c r="M386"/>
    </row>
    <row r="387" spans="1:13">
      <c r="A387" s="20">
        <v>44315</v>
      </c>
      <c r="D387" s="20">
        <v>44319</v>
      </c>
      <c r="E387" s="43">
        <v>54.78</v>
      </c>
      <c r="F387" s="43">
        <v>1.9881</v>
      </c>
      <c r="G387"/>
      <c r="J387" s="20">
        <v>44319</v>
      </c>
      <c r="K387" s="43">
        <v>1.9881</v>
      </c>
      <c r="L387" s="43"/>
      <c r="M387"/>
    </row>
    <row r="388" spans="1:13">
      <c r="A388" s="20">
        <v>44316</v>
      </c>
      <c r="D388" s="20">
        <v>44320</v>
      </c>
      <c r="E388" s="43">
        <v>61.19</v>
      </c>
      <c r="F388" s="43">
        <v>1.9811000000000001</v>
      </c>
      <c r="G388"/>
      <c r="J388" s="20">
        <v>44320</v>
      </c>
      <c r="K388" s="43">
        <v>1.9811000000000001</v>
      </c>
      <c r="L388" s="43">
        <v>1.7336999999999998</v>
      </c>
      <c r="M388"/>
    </row>
    <row r="389" spans="1:13">
      <c r="A389" s="20">
        <v>44319</v>
      </c>
      <c r="D389" s="20">
        <v>44321</v>
      </c>
      <c r="E389" s="43">
        <v>61.39</v>
      </c>
      <c r="F389" s="43">
        <v>2.0051000000000001</v>
      </c>
      <c r="G389"/>
      <c r="J389" s="20">
        <v>44321</v>
      </c>
      <c r="K389" s="43">
        <v>2.0051000000000001</v>
      </c>
      <c r="L389" s="43"/>
      <c r="M389"/>
    </row>
    <row r="390" spans="1:13">
      <c r="A390" s="20">
        <v>44320</v>
      </c>
      <c r="B390" s="43">
        <v>1.7336999999999998</v>
      </c>
      <c r="D390" s="20">
        <v>44322</v>
      </c>
      <c r="E390" s="43">
        <v>61.33</v>
      </c>
      <c r="F390" s="43">
        <v>1.9902</v>
      </c>
      <c r="G390"/>
      <c r="J390" s="20">
        <v>44322</v>
      </c>
      <c r="K390" s="43">
        <v>1.9902</v>
      </c>
      <c r="L390" s="43"/>
      <c r="M390"/>
    </row>
    <row r="391" spans="1:13">
      <c r="A391" s="20">
        <v>44321</v>
      </c>
      <c r="D391" s="20">
        <v>44323</v>
      </c>
      <c r="E391" s="43">
        <v>61.53</v>
      </c>
      <c r="F391" s="43">
        <v>2.0287999999999999</v>
      </c>
      <c r="G391"/>
      <c r="J391" s="20">
        <v>44323</v>
      </c>
      <c r="K391" s="43">
        <v>2.0287999999999999</v>
      </c>
      <c r="L391" s="43"/>
      <c r="M391"/>
    </row>
    <row r="392" spans="1:13">
      <c r="A392" s="20">
        <v>44322</v>
      </c>
      <c r="D392" s="20">
        <v>44326</v>
      </c>
      <c r="E392" s="43">
        <v>61.66</v>
      </c>
      <c r="F392" s="43">
        <v>2.0743</v>
      </c>
      <c r="G392"/>
      <c r="J392" s="20">
        <v>44326</v>
      </c>
      <c r="K392" s="43">
        <v>2.0743</v>
      </c>
      <c r="L392" s="43"/>
      <c r="M392"/>
    </row>
    <row r="393" spans="1:13">
      <c r="A393" s="20">
        <v>44323</v>
      </c>
      <c r="D393" s="20">
        <v>44327</v>
      </c>
      <c r="E393" s="43">
        <v>61.77</v>
      </c>
      <c r="F393" s="43">
        <v>2.0988000000000002</v>
      </c>
      <c r="G393"/>
      <c r="J393" s="20">
        <v>44327</v>
      </c>
      <c r="K393" s="43">
        <v>2.0988000000000002</v>
      </c>
      <c r="L393" s="43"/>
      <c r="M393"/>
    </row>
    <row r="394" spans="1:13">
      <c r="A394" s="20">
        <v>44326</v>
      </c>
      <c r="D394" s="20">
        <v>44328</v>
      </c>
      <c r="E394" s="43">
        <v>61.7</v>
      </c>
      <c r="F394" s="43">
        <v>2.0762999999999998</v>
      </c>
      <c r="G394"/>
      <c r="J394" s="20">
        <v>44328</v>
      </c>
      <c r="K394" s="43">
        <v>2.0762999999999998</v>
      </c>
      <c r="L394" s="43"/>
      <c r="M394"/>
    </row>
    <row r="395" spans="1:13">
      <c r="A395" s="20">
        <v>44327</v>
      </c>
      <c r="D395" s="20">
        <v>44329</v>
      </c>
      <c r="E395" s="43">
        <v>64.47</v>
      </c>
      <c r="F395" s="43">
        <v>2.1015000000000001</v>
      </c>
      <c r="G395"/>
      <c r="J395" s="20">
        <v>44329</v>
      </c>
      <c r="K395" s="43">
        <v>2.1015000000000001</v>
      </c>
      <c r="L395" s="43"/>
      <c r="M395"/>
    </row>
    <row r="396" spans="1:13">
      <c r="A396" s="20">
        <v>44328</v>
      </c>
      <c r="D396" s="20">
        <v>44330</v>
      </c>
      <c r="E396" s="43">
        <v>65.61</v>
      </c>
      <c r="F396" s="43">
        <v>2.1511999999999998</v>
      </c>
      <c r="G396"/>
      <c r="J396" s="20">
        <v>44330</v>
      </c>
      <c r="K396" s="43">
        <v>2.1511999999999998</v>
      </c>
      <c r="L396" s="43"/>
      <c r="M396"/>
    </row>
    <row r="397" spans="1:13">
      <c r="A397" s="20">
        <v>44329</v>
      </c>
      <c r="D397" s="20">
        <v>44333</v>
      </c>
      <c r="E397" s="43">
        <v>65.56</v>
      </c>
      <c r="F397" s="43">
        <v>2.1513</v>
      </c>
      <c r="G397"/>
      <c r="J397" s="20">
        <v>44333</v>
      </c>
      <c r="K397" s="43">
        <v>2.1513</v>
      </c>
      <c r="L397" s="43"/>
      <c r="M397"/>
    </row>
    <row r="398" spans="1:13">
      <c r="A398" s="20">
        <v>44330</v>
      </c>
      <c r="D398" s="20">
        <v>44334</v>
      </c>
      <c r="E398" s="43">
        <v>64.78</v>
      </c>
      <c r="F398" s="43">
        <v>2.1137000000000001</v>
      </c>
      <c r="G398"/>
      <c r="J398" s="20">
        <v>44334</v>
      </c>
      <c r="K398" s="43">
        <v>2.1137000000000001</v>
      </c>
      <c r="L398" s="43"/>
      <c r="M398"/>
    </row>
    <row r="399" spans="1:13">
      <c r="A399" s="20">
        <v>44333</v>
      </c>
      <c r="D399" s="20">
        <v>44335</v>
      </c>
      <c r="E399" s="43">
        <v>64.94</v>
      </c>
      <c r="F399" s="43">
        <v>2.1269</v>
      </c>
      <c r="G399"/>
      <c r="J399" s="20">
        <v>44335</v>
      </c>
      <c r="K399" s="43">
        <v>2.1269</v>
      </c>
      <c r="L399" s="43"/>
      <c r="M399"/>
    </row>
    <row r="400" spans="1:13">
      <c r="A400" s="20">
        <v>44334</v>
      </c>
      <c r="D400" s="20">
        <v>44336</v>
      </c>
      <c r="E400" s="43">
        <v>64.959999999999994</v>
      </c>
      <c r="F400" s="43">
        <v>2.1334</v>
      </c>
      <c r="G400"/>
      <c r="J400" s="20">
        <v>44336</v>
      </c>
      <c r="K400" s="43">
        <v>2.1334</v>
      </c>
      <c r="L400" s="43"/>
      <c r="M400"/>
    </row>
    <row r="401" spans="1:13">
      <c r="A401" s="20">
        <v>44335</v>
      </c>
      <c r="D401" s="20">
        <v>44337</v>
      </c>
      <c r="E401" s="43">
        <v>64.180000000000007</v>
      </c>
      <c r="F401" s="43">
        <v>2.1398999999999999</v>
      </c>
      <c r="G401"/>
      <c r="J401" s="20">
        <v>44337</v>
      </c>
      <c r="K401" s="43">
        <v>2.1398999999999999</v>
      </c>
      <c r="L401" s="43"/>
      <c r="M401"/>
    </row>
    <row r="402" spans="1:13">
      <c r="A402" s="20">
        <v>44336</v>
      </c>
      <c r="D402" s="20">
        <v>44340</v>
      </c>
      <c r="E402" s="43">
        <v>65.739999999999995</v>
      </c>
      <c r="F402" s="43">
        <v>2.161</v>
      </c>
      <c r="G402"/>
      <c r="J402" s="20">
        <v>44340</v>
      </c>
      <c r="K402" s="43">
        <v>2.161</v>
      </c>
      <c r="L402" s="43"/>
      <c r="M402"/>
    </row>
    <row r="403" spans="1:13">
      <c r="A403" s="20">
        <v>44337</v>
      </c>
      <c r="D403" s="20">
        <v>44341</v>
      </c>
      <c r="E403" s="43">
        <v>64.38</v>
      </c>
      <c r="F403" s="43">
        <v>2.093</v>
      </c>
      <c r="G403"/>
      <c r="J403" s="20">
        <v>44341</v>
      </c>
      <c r="K403" s="43">
        <v>2.093</v>
      </c>
      <c r="L403" s="43"/>
      <c r="M403"/>
    </row>
    <row r="404" spans="1:13">
      <c r="A404" s="20">
        <v>44340</v>
      </c>
      <c r="D404" s="20">
        <v>44342</v>
      </c>
      <c r="E404" s="43">
        <v>65.23</v>
      </c>
      <c r="F404" s="43">
        <v>2.1223999999999998</v>
      </c>
      <c r="G404"/>
      <c r="J404" s="20">
        <v>44342</v>
      </c>
      <c r="K404" s="43">
        <v>2.1223999999999998</v>
      </c>
      <c r="L404" s="43"/>
      <c r="M404"/>
    </row>
    <row r="405" spans="1:13">
      <c r="A405" s="20">
        <v>44341</v>
      </c>
      <c r="D405" s="20">
        <v>44343</v>
      </c>
      <c r="E405" s="43">
        <v>65.680000000000007</v>
      </c>
      <c r="F405" s="43">
        <v>2.1536</v>
      </c>
      <c r="G405"/>
      <c r="J405" s="20">
        <v>44343</v>
      </c>
      <c r="K405" s="43">
        <v>2.1536</v>
      </c>
      <c r="L405" s="43"/>
      <c r="M405"/>
    </row>
    <row r="406" spans="1:13">
      <c r="A406" s="20">
        <v>44342</v>
      </c>
      <c r="D406" s="20">
        <v>44344</v>
      </c>
      <c r="E406" s="43">
        <v>65.33</v>
      </c>
      <c r="F406" s="43">
        <v>2.1554000000000002</v>
      </c>
      <c r="G406"/>
      <c r="J406" s="20">
        <v>44344</v>
      </c>
      <c r="K406" s="43">
        <v>2.1554000000000002</v>
      </c>
      <c r="L406" s="43"/>
      <c r="M406"/>
    </row>
    <row r="407" spans="1:13">
      <c r="A407" s="20">
        <v>44343</v>
      </c>
      <c r="D407" s="20">
        <v>44347</v>
      </c>
      <c r="E407" s="43">
        <v>64.47</v>
      </c>
      <c r="F407" s="43">
        <v>2.0979000000000001</v>
      </c>
      <c r="G407"/>
      <c r="J407" s="20">
        <v>44347</v>
      </c>
      <c r="K407" s="43">
        <v>2.0979000000000001</v>
      </c>
      <c r="L407" s="43"/>
      <c r="M407"/>
    </row>
    <row r="408" spans="1:13">
      <c r="A408" s="20">
        <v>44344</v>
      </c>
      <c r="D408" s="20">
        <v>44348</v>
      </c>
      <c r="E408" s="43">
        <v>58.46</v>
      </c>
      <c r="F408" s="43">
        <v>2.0461999999999998</v>
      </c>
      <c r="G408"/>
      <c r="J408" s="20">
        <v>44348</v>
      </c>
      <c r="K408" s="43">
        <v>2.0461999999999998</v>
      </c>
      <c r="L408" s="43"/>
      <c r="M408"/>
    </row>
    <row r="409" spans="1:13">
      <c r="A409" s="20">
        <v>44347</v>
      </c>
      <c r="D409" s="20">
        <v>44349</v>
      </c>
      <c r="E409" s="43">
        <v>64.48</v>
      </c>
      <c r="F409" s="43">
        <v>2.0709</v>
      </c>
      <c r="G409"/>
      <c r="J409" s="20">
        <v>44349</v>
      </c>
      <c r="K409" s="43">
        <v>2.0709</v>
      </c>
      <c r="L409" s="43"/>
      <c r="M409"/>
    </row>
    <row r="410" spans="1:13">
      <c r="A410" s="20">
        <v>44348</v>
      </c>
      <c r="D410" s="20">
        <v>44350</v>
      </c>
      <c r="E410" s="43">
        <v>65.09</v>
      </c>
      <c r="F410" s="43">
        <v>2.1217000000000001</v>
      </c>
      <c r="G410"/>
      <c r="J410" s="20">
        <v>44350</v>
      </c>
      <c r="K410" s="43">
        <v>2.1217000000000001</v>
      </c>
      <c r="L410" s="43"/>
      <c r="M410"/>
    </row>
    <row r="411" spans="1:13">
      <c r="A411" s="20">
        <v>44349</v>
      </c>
      <c r="D411" s="20">
        <v>44351</v>
      </c>
      <c r="E411" s="43">
        <v>65.099999999999994</v>
      </c>
      <c r="F411" s="43">
        <v>2.1229</v>
      </c>
      <c r="G411"/>
      <c r="J411" s="20">
        <v>44351</v>
      </c>
      <c r="K411" s="43">
        <v>2.1229</v>
      </c>
      <c r="L411" s="43"/>
      <c r="M411"/>
    </row>
    <row r="412" spans="1:13">
      <c r="A412" s="20">
        <v>44350</v>
      </c>
      <c r="D412" s="20">
        <v>44354</v>
      </c>
      <c r="E412" s="43">
        <v>65.12</v>
      </c>
      <c r="F412" s="43">
        <v>2.1511999999999998</v>
      </c>
      <c r="G412"/>
      <c r="J412" s="20">
        <v>44354</v>
      </c>
      <c r="K412" s="43">
        <v>2.1511999999999998</v>
      </c>
      <c r="L412" s="43">
        <v>2.83</v>
      </c>
      <c r="M412"/>
    </row>
    <row r="413" spans="1:13">
      <c r="A413" s="20">
        <v>44351</v>
      </c>
      <c r="D413" s="20">
        <v>44355</v>
      </c>
      <c r="E413" s="43">
        <v>65.180000000000007</v>
      </c>
      <c r="F413" s="43">
        <v>2.1551999999999998</v>
      </c>
      <c r="G413"/>
      <c r="J413" s="20">
        <v>44355</v>
      </c>
      <c r="K413" s="43">
        <v>2.1551999999999998</v>
      </c>
      <c r="L413" s="43"/>
      <c r="M413"/>
    </row>
    <row r="414" spans="1:13">
      <c r="A414" s="20">
        <v>44354</v>
      </c>
      <c r="B414" s="43">
        <v>2.83</v>
      </c>
      <c r="D414" s="20">
        <v>44356</v>
      </c>
      <c r="E414" s="43">
        <v>65.16</v>
      </c>
      <c r="F414" s="43">
        <v>2.1368999999999998</v>
      </c>
      <c r="G414"/>
      <c r="J414" s="20">
        <v>44356</v>
      </c>
      <c r="K414" s="43">
        <v>2.1368999999999998</v>
      </c>
      <c r="L414" s="43">
        <v>2.9</v>
      </c>
      <c r="M414"/>
    </row>
    <row r="415" spans="1:13">
      <c r="A415" s="20">
        <v>44355</v>
      </c>
      <c r="D415" s="20">
        <v>44357</v>
      </c>
      <c r="E415" s="43">
        <v>67.67</v>
      </c>
      <c r="F415" s="43">
        <v>2.1703999999999999</v>
      </c>
      <c r="G415"/>
      <c r="J415" s="20">
        <v>44357</v>
      </c>
      <c r="K415" s="43">
        <v>2.1703999999999999</v>
      </c>
      <c r="L415" s="43"/>
      <c r="M415"/>
    </row>
    <row r="416" spans="1:13">
      <c r="A416" s="20">
        <v>44356</v>
      </c>
      <c r="B416" s="43">
        <v>2.9</v>
      </c>
      <c r="D416" s="20">
        <v>44358</v>
      </c>
      <c r="E416" s="43">
        <v>68.73</v>
      </c>
      <c r="F416" s="43">
        <v>2.1941000000000002</v>
      </c>
      <c r="G416"/>
      <c r="J416" s="20">
        <v>44358</v>
      </c>
      <c r="K416" s="43">
        <v>2.1941000000000002</v>
      </c>
      <c r="L416" s="43"/>
      <c r="M416"/>
    </row>
    <row r="417" spans="1:13">
      <c r="A417" s="20">
        <v>44357</v>
      </c>
      <c r="D417" s="20">
        <v>44361</v>
      </c>
      <c r="E417" s="43">
        <v>68.7</v>
      </c>
      <c r="F417" s="43">
        <v>2.2018</v>
      </c>
      <c r="G417"/>
      <c r="J417" s="20">
        <v>44361</v>
      </c>
      <c r="K417" s="43">
        <v>2.2018</v>
      </c>
      <c r="L417" s="43"/>
      <c r="M417"/>
    </row>
    <row r="418" spans="1:13">
      <c r="A418" s="20">
        <v>44358</v>
      </c>
      <c r="D418" s="20">
        <v>44362</v>
      </c>
      <c r="E418" s="43">
        <v>69.400000000000006</v>
      </c>
      <c r="F418" s="43">
        <v>2.2115</v>
      </c>
      <c r="G418"/>
      <c r="J418" s="20">
        <v>44362</v>
      </c>
      <c r="K418" s="43">
        <v>2.2115</v>
      </c>
      <c r="L418" s="43"/>
      <c r="M418"/>
    </row>
    <row r="419" spans="1:13">
      <c r="A419" s="20">
        <v>44361</v>
      </c>
      <c r="D419" s="20">
        <v>44363</v>
      </c>
      <c r="E419" s="43">
        <v>69.09</v>
      </c>
      <c r="F419" s="43">
        <v>2.1930999999999998</v>
      </c>
      <c r="G419"/>
      <c r="J419" s="20">
        <v>44363</v>
      </c>
      <c r="K419" s="43">
        <v>2.1930999999999998</v>
      </c>
      <c r="L419" s="43"/>
      <c r="M419"/>
    </row>
    <row r="420" spans="1:13">
      <c r="A420" s="20">
        <v>44362</v>
      </c>
      <c r="D420" s="20">
        <v>44364</v>
      </c>
      <c r="E420" s="43">
        <v>69.73</v>
      </c>
      <c r="F420" s="43">
        <v>2.2189999999999999</v>
      </c>
      <c r="G420"/>
      <c r="J420" s="20">
        <v>44364</v>
      </c>
      <c r="K420" s="43">
        <v>2.2189999999999999</v>
      </c>
      <c r="L420" s="43"/>
      <c r="M420"/>
    </row>
    <row r="421" spans="1:13">
      <c r="A421" s="20">
        <v>44363</v>
      </c>
      <c r="D421" s="20">
        <v>44365</v>
      </c>
      <c r="E421" s="43">
        <v>69.66</v>
      </c>
      <c r="F421" s="43">
        <v>2.2025000000000001</v>
      </c>
      <c r="G421"/>
      <c r="J421" s="20">
        <v>44365</v>
      </c>
      <c r="K421" s="43">
        <v>2.2025000000000001</v>
      </c>
      <c r="L421" s="43"/>
      <c r="M421"/>
    </row>
    <row r="422" spans="1:13">
      <c r="A422" s="20">
        <v>44364</v>
      </c>
      <c r="D422" s="20">
        <v>44368</v>
      </c>
      <c r="E422" s="43">
        <v>69.88</v>
      </c>
      <c r="F422" s="43">
        <v>2.2122000000000002</v>
      </c>
      <c r="G422"/>
      <c r="J422" s="20">
        <v>44368</v>
      </c>
      <c r="K422" s="43">
        <v>2.2122000000000002</v>
      </c>
      <c r="L422" s="43"/>
      <c r="M422"/>
    </row>
    <row r="423" spans="1:13">
      <c r="A423" s="20">
        <v>44365</v>
      </c>
      <c r="D423" s="20">
        <v>44369</v>
      </c>
      <c r="E423" s="43">
        <v>70.25</v>
      </c>
      <c r="F423" s="43">
        <v>2.1861000000000002</v>
      </c>
      <c r="G423"/>
      <c r="J423" s="20">
        <v>44369</v>
      </c>
      <c r="K423" s="43">
        <v>2.1861000000000002</v>
      </c>
      <c r="L423" s="43"/>
      <c r="M423"/>
    </row>
    <row r="424" spans="1:13">
      <c r="A424" s="20">
        <v>44368</v>
      </c>
      <c r="D424" s="20">
        <v>44370</v>
      </c>
      <c r="E424" s="43">
        <v>70.239999999999995</v>
      </c>
      <c r="F424" s="43">
        <v>2.173</v>
      </c>
      <c r="G424"/>
      <c r="J424" s="20">
        <v>44370</v>
      </c>
      <c r="K424" s="43">
        <v>2.173</v>
      </c>
      <c r="L424" s="43"/>
      <c r="M424"/>
    </row>
    <row r="425" spans="1:13">
      <c r="A425" s="20">
        <v>44369</v>
      </c>
      <c r="D425" s="20">
        <v>44371</v>
      </c>
      <c r="E425" s="43">
        <v>70.92</v>
      </c>
      <c r="F425" s="43">
        <v>2.1728999999999998</v>
      </c>
      <c r="G425"/>
      <c r="J425" s="20">
        <v>44371</v>
      </c>
      <c r="K425" s="43">
        <v>2.1728999999999998</v>
      </c>
      <c r="L425" s="43"/>
      <c r="M425"/>
    </row>
    <row r="426" spans="1:13">
      <c r="A426" s="20">
        <v>44370</v>
      </c>
      <c r="D426" s="20">
        <v>44372</v>
      </c>
      <c r="E426" s="43">
        <v>70.95</v>
      </c>
      <c r="F426" s="43">
        <v>2.16</v>
      </c>
      <c r="G426"/>
      <c r="J426" s="20">
        <v>44372</v>
      </c>
      <c r="K426" s="43">
        <v>2.16</v>
      </c>
      <c r="L426" s="43"/>
      <c r="M426"/>
    </row>
    <row r="427" spans="1:13">
      <c r="A427" s="20">
        <v>44371</v>
      </c>
      <c r="D427" s="20">
        <v>44375</v>
      </c>
      <c r="E427" s="43">
        <v>70.430000000000007</v>
      </c>
      <c r="F427" s="43">
        <v>2.1387999999999998</v>
      </c>
      <c r="G427"/>
      <c r="J427" s="20">
        <v>44375</v>
      </c>
      <c r="K427" s="43">
        <v>2.1387999999999998</v>
      </c>
      <c r="L427" s="43"/>
      <c r="M427"/>
    </row>
    <row r="428" spans="1:13">
      <c r="A428" s="20">
        <v>44372</v>
      </c>
      <c r="D428" s="20">
        <v>44376</v>
      </c>
      <c r="E428" s="43">
        <v>70.650000000000006</v>
      </c>
      <c r="F428" s="43">
        <v>2.1739999999999999</v>
      </c>
      <c r="G428"/>
      <c r="J428" s="20">
        <v>44376</v>
      </c>
      <c r="K428" s="43">
        <v>2.1739999999999999</v>
      </c>
      <c r="L428" s="43"/>
      <c r="M428"/>
    </row>
    <row r="429" spans="1:13">
      <c r="A429" s="20">
        <v>44375</v>
      </c>
      <c r="D429" s="20">
        <v>44377</v>
      </c>
      <c r="E429" s="43">
        <v>71.33</v>
      </c>
      <c r="F429" s="43">
        <v>2.2031000000000001</v>
      </c>
      <c r="G429"/>
      <c r="J429" s="20">
        <v>44377</v>
      </c>
      <c r="K429" s="43">
        <v>2.2031000000000001</v>
      </c>
      <c r="L429" s="43"/>
      <c r="M429"/>
    </row>
    <row r="430" spans="1:13">
      <c r="A430" s="20">
        <v>44376</v>
      </c>
      <c r="D430" s="20">
        <v>44378</v>
      </c>
      <c r="E430" s="43">
        <v>58.46</v>
      </c>
      <c r="F430" s="43">
        <v>2.2301000000000002</v>
      </c>
      <c r="G430"/>
      <c r="J430" s="20">
        <v>44378</v>
      </c>
      <c r="K430" s="43">
        <v>2.2301000000000002</v>
      </c>
      <c r="L430" s="43"/>
      <c r="M430"/>
    </row>
    <row r="431" spans="1:13">
      <c r="A431" s="20">
        <v>44377</v>
      </c>
      <c r="D431" s="20">
        <v>44379</v>
      </c>
      <c r="E431" s="43">
        <v>71.290000000000006</v>
      </c>
      <c r="F431" s="43">
        <v>2.2698999999999998</v>
      </c>
      <c r="G431"/>
      <c r="J431" s="20">
        <v>44379</v>
      </c>
      <c r="K431" s="43">
        <v>2.2698999999999998</v>
      </c>
      <c r="L431" s="43">
        <v>2.89</v>
      </c>
      <c r="M431"/>
    </row>
    <row r="432" spans="1:13">
      <c r="A432" s="20">
        <v>44378</v>
      </c>
      <c r="D432" s="20">
        <v>44382</v>
      </c>
      <c r="E432" s="43">
        <v>71.34</v>
      </c>
      <c r="F432" s="43">
        <v>2.2799999999999998</v>
      </c>
      <c r="G432"/>
      <c r="J432" s="20">
        <v>44382</v>
      </c>
      <c r="K432" s="43">
        <v>2.2799999999999998</v>
      </c>
      <c r="L432" s="43"/>
      <c r="M432"/>
    </row>
    <row r="433" spans="1:13">
      <c r="A433" s="20">
        <v>44379</v>
      </c>
      <c r="B433" s="43">
        <v>2.89</v>
      </c>
      <c r="D433" s="20">
        <v>44383</v>
      </c>
      <c r="E433" s="43">
        <v>71.48</v>
      </c>
      <c r="F433" s="43">
        <v>2.2612000000000001</v>
      </c>
      <c r="G433"/>
      <c r="J433" s="20">
        <v>44383</v>
      </c>
      <c r="K433" s="43">
        <v>2.2612000000000001</v>
      </c>
      <c r="L433" s="43"/>
      <c r="M433"/>
    </row>
    <row r="434" spans="1:13">
      <c r="A434" s="20">
        <v>44382</v>
      </c>
      <c r="D434" s="20">
        <v>44384</v>
      </c>
      <c r="E434" s="43">
        <v>71.319999999999993</v>
      </c>
      <c r="F434" s="43">
        <v>2.2176999999999998</v>
      </c>
      <c r="G434"/>
      <c r="J434" s="20">
        <v>44384</v>
      </c>
      <c r="K434" s="43">
        <v>2.2176999999999998</v>
      </c>
      <c r="L434" s="43"/>
      <c r="M434"/>
    </row>
    <row r="435" spans="1:13">
      <c r="A435" s="20">
        <v>44383</v>
      </c>
      <c r="D435" s="20">
        <v>44385</v>
      </c>
      <c r="E435" s="43">
        <v>71.33</v>
      </c>
      <c r="F435" s="43">
        <v>2.2414999999999998</v>
      </c>
      <c r="G435"/>
      <c r="J435" s="20">
        <v>44385</v>
      </c>
      <c r="K435" s="43">
        <v>2.2414999999999998</v>
      </c>
      <c r="L435" s="43"/>
      <c r="M435"/>
    </row>
    <row r="436" spans="1:13">
      <c r="A436" s="20">
        <v>44384</v>
      </c>
      <c r="D436" s="20">
        <v>44386</v>
      </c>
      <c r="E436" s="43">
        <v>71.349999999999994</v>
      </c>
      <c r="F436" s="43">
        <v>2.2418</v>
      </c>
      <c r="G436"/>
      <c r="J436" s="20">
        <v>44386</v>
      </c>
      <c r="K436" s="43">
        <v>2.2418</v>
      </c>
      <c r="L436" s="43"/>
      <c r="M436"/>
    </row>
    <row r="437" spans="1:13">
      <c r="A437" s="20">
        <v>44385</v>
      </c>
      <c r="D437" s="20">
        <v>44389</v>
      </c>
      <c r="E437" s="43">
        <v>74.33</v>
      </c>
      <c r="F437" s="43">
        <v>2.2675999999999998</v>
      </c>
      <c r="G437"/>
      <c r="J437" s="20">
        <v>44389</v>
      </c>
      <c r="K437" s="43">
        <v>2.2675999999999998</v>
      </c>
      <c r="L437" s="43"/>
      <c r="M437"/>
    </row>
    <row r="438" spans="1:13">
      <c r="A438" s="20">
        <v>44386</v>
      </c>
      <c r="D438" s="20">
        <v>44390</v>
      </c>
      <c r="E438" s="43">
        <v>74.86</v>
      </c>
      <c r="F438" s="43">
        <v>2.2997999999999998</v>
      </c>
      <c r="G438"/>
      <c r="J438" s="20">
        <v>44390</v>
      </c>
      <c r="K438" s="43">
        <v>2.2997999999999998</v>
      </c>
      <c r="L438" s="43"/>
      <c r="M438"/>
    </row>
    <row r="439" spans="1:13">
      <c r="A439" s="20">
        <v>44389</v>
      </c>
      <c r="D439" s="20">
        <v>44391</v>
      </c>
      <c r="E439" s="43">
        <v>73.239999999999995</v>
      </c>
      <c r="F439" s="43">
        <v>2.2282000000000002</v>
      </c>
      <c r="G439"/>
      <c r="J439" s="20">
        <v>44391</v>
      </c>
      <c r="K439" s="43">
        <v>2.2282000000000002</v>
      </c>
      <c r="L439" s="43">
        <v>3.3</v>
      </c>
      <c r="M439"/>
    </row>
    <row r="440" spans="1:13">
      <c r="A440" s="20">
        <v>44390</v>
      </c>
      <c r="D440" s="20">
        <v>44392</v>
      </c>
      <c r="E440" s="43">
        <v>72.27</v>
      </c>
      <c r="F440" s="43">
        <v>2.206</v>
      </c>
      <c r="G440"/>
      <c r="J440" s="20">
        <v>44392</v>
      </c>
      <c r="K440" s="43">
        <v>2.206</v>
      </c>
      <c r="L440" s="43"/>
      <c r="M440"/>
    </row>
    <row r="441" spans="1:13">
      <c r="A441" s="20">
        <v>44391</v>
      </c>
      <c r="B441" s="43">
        <v>3.3</v>
      </c>
      <c r="D441" s="20">
        <v>44393</v>
      </c>
      <c r="E441" s="43">
        <v>72.84</v>
      </c>
      <c r="F441" s="43">
        <v>2.2551999999999999</v>
      </c>
      <c r="G441"/>
      <c r="J441" s="20">
        <v>44393</v>
      </c>
      <c r="K441" s="43">
        <v>2.2551999999999999</v>
      </c>
      <c r="L441" s="43"/>
      <c r="M441"/>
    </row>
    <row r="442" spans="1:13">
      <c r="A442" s="20">
        <v>44392</v>
      </c>
      <c r="D442" s="20">
        <v>44396</v>
      </c>
      <c r="E442" s="43">
        <v>70.540000000000006</v>
      </c>
      <c r="F442" s="43">
        <v>2.2919999999999998</v>
      </c>
      <c r="G442"/>
      <c r="J442" s="20">
        <v>44396</v>
      </c>
      <c r="K442" s="43">
        <v>2.2919999999999998</v>
      </c>
      <c r="L442" s="43"/>
      <c r="M442"/>
    </row>
    <row r="443" spans="1:13">
      <c r="A443" s="20">
        <v>44393</v>
      </c>
      <c r="D443" s="20">
        <v>44397</v>
      </c>
      <c r="E443" s="43">
        <v>70.5</v>
      </c>
      <c r="F443" s="43">
        <v>2.2772000000000001</v>
      </c>
      <c r="G443"/>
      <c r="J443" s="20">
        <v>44397</v>
      </c>
      <c r="K443" s="43">
        <v>2.2772000000000001</v>
      </c>
      <c r="L443" s="43"/>
      <c r="M443"/>
    </row>
    <row r="444" spans="1:13">
      <c r="A444" s="20">
        <v>44396</v>
      </c>
      <c r="D444" s="20">
        <v>44398</v>
      </c>
      <c r="E444" s="43">
        <v>69.930000000000007</v>
      </c>
      <c r="F444" s="43">
        <v>2.3016999999999999</v>
      </c>
      <c r="G444"/>
      <c r="J444" s="20">
        <v>44398</v>
      </c>
      <c r="K444" s="43">
        <v>2.3016999999999999</v>
      </c>
      <c r="L444" s="43"/>
      <c r="M444"/>
    </row>
    <row r="445" spans="1:13">
      <c r="A445" s="20">
        <v>44397</v>
      </c>
      <c r="D445" s="20">
        <v>44399</v>
      </c>
      <c r="E445" s="43">
        <v>72.09</v>
      </c>
      <c r="F445" s="43">
        <v>2.2722000000000002</v>
      </c>
      <c r="G445"/>
      <c r="J445" s="20">
        <v>44399</v>
      </c>
      <c r="K445" s="43">
        <v>2.2722000000000002</v>
      </c>
      <c r="L445" s="43"/>
      <c r="M445"/>
    </row>
    <row r="446" spans="1:13">
      <c r="A446" s="20">
        <v>44398</v>
      </c>
      <c r="D446" s="20">
        <v>44400</v>
      </c>
      <c r="E446" s="43">
        <v>72.55</v>
      </c>
      <c r="F446" s="43">
        <v>2.2317999999999998</v>
      </c>
      <c r="G446"/>
      <c r="J446" s="20">
        <v>44400</v>
      </c>
      <c r="K446" s="43">
        <v>2.2317999999999998</v>
      </c>
      <c r="L446" s="43"/>
      <c r="M446"/>
    </row>
    <row r="447" spans="1:13">
      <c r="A447" s="20">
        <v>44399</v>
      </c>
      <c r="D447" s="20">
        <v>44403</v>
      </c>
      <c r="E447" s="43">
        <v>72.64</v>
      </c>
      <c r="F447" s="43">
        <v>2.2345000000000002</v>
      </c>
      <c r="G447"/>
      <c r="J447" s="20">
        <v>44403</v>
      </c>
      <c r="K447" s="43">
        <v>2.2345000000000002</v>
      </c>
      <c r="L447" s="43"/>
      <c r="M447"/>
    </row>
    <row r="448" spans="1:13">
      <c r="A448" s="20">
        <v>44400</v>
      </c>
      <c r="D448" s="20">
        <v>44404</v>
      </c>
      <c r="E448" s="43">
        <v>68.62</v>
      </c>
      <c r="F448" s="43">
        <v>2.0903</v>
      </c>
      <c r="G448"/>
      <c r="J448" s="20">
        <v>44404</v>
      </c>
      <c r="K448" s="43">
        <v>2.0903</v>
      </c>
      <c r="L448" s="43"/>
      <c r="M448"/>
    </row>
    <row r="449" spans="1:13">
      <c r="A449" s="20">
        <v>44403</v>
      </c>
      <c r="D449" s="20">
        <v>44405</v>
      </c>
      <c r="E449" s="43">
        <v>69.349999999999994</v>
      </c>
      <c r="F449" s="43">
        <v>2.1103999999999998</v>
      </c>
      <c r="G449"/>
      <c r="J449" s="20">
        <v>44405</v>
      </c>
      <c r="K449" s="43">
        <v>2.1103999999999998</v>
      </c>
      <c r="L449" s="43"/>
      <c r="M449"/>
    </row>
    <row r="450" spans="1:13">
      <c r="A450" s="20">
        <v>44404</v>
      </c>
      <c r="D450" s="20">
        <v>44406</v>
      </c>
      <c r="E450" s="43">
        <v>71.7</v>
      </c>
      <c r="F450" s="43">
        <v>2.1941000000000002</v>
      </c>
      <c r="G450"/>
      <c r="J450" s="20">
        <v>44406</v>
      </c>
      <c r="K450" s="43">
        <v>2.1941000000000002</v>
      </c>
      <c r="L450" s="43"/>
      <c r="M450"/>
    </row>
    <row r="451" spans="1:13">
      <c r="A451" s="20">
        <v>44405</v>
      </c>
      <c r="D451" s="20">
        <v>44407</v>
      </c>
      <c r="E451" s="43">
        <v>72.23</v>
      </c>
      <c r="F451" s="43">
        <v>2.2473999999999998</v>
      </c>
      <c r="G451"/>
      <c r="J451" s="20">
        <v>44407</v>
      </c>
      <c r="K451" s="43">
        <v>2.2473999999999998</v>
      </c>
      <c r="L451" s="43"/>
      <c r="M451"/>
    </row>
    <row r="452" spans="1:13">
      <c r="A452" s="20">
        <v>44406</v>
      </c>
      <c r="D452" s="20">
        <v>44410</v>
      </c>
      <c r="E452" s="43">
        <v>54.47</v>
      </c>
      <c r="F452" s="43">
        <v>2.2612000000000001</v>
      </c>
      <c r="G452"/>
      <c r="J452" s="20">
        <v>44410</v>
      </c>
      <c r="K452" s="43">
        <v>2.2612000000000001</v>
      </c>
      <c r="L452" s="43"/>
      <c r="M452"/>
    </row>
    <row r="453" spans="1:13">
      <c r="A453" s="20">
        <v>44407</v>
      </c>
      <c r="D453" s="20">
        <v>44411</v>
      </c>
      <c r="E453" s="43">
        <v>72.239999999999995</v>
      </c>
      <c r="F453" s="43">
        <v>2.2753999999999999</v>
      </c>
      <c r="G453"/>
      <c r="J453" s="20">
        <v>44411</v>
      </c>
      <c r="K453" s="43">
        <v>2.2753999999999999</v>
      </c>
      <c r="L453" s="43"/>
      <c r="M453"/>
    </row>
    <row r="454" spans="1:13">
      <c r="A454" s="20">
        <v>44410</v>
      </c>
      <c r="D454" s="20">
        <v>44412</v>
      </c>
      <c r="E454" s="43">
        <v>71.83</v>
      </c>
      <c r="F454" s="43">
        <v>2.2812999999999999</v>
      </c>
      <c r="G454"/>
      <c r="J454" s="20">
        <v>44412</v>
      </c>
      <c r="K454" s="43">
        <v>2.2812999999999999</v>
      </c>
      <c r="L454" s="43"/>
      <c r="M454"/>
    </row>
    <row r="455" spans="1:13">
      <c r="A455" s="20">
        <v>44411</v>
      </c>
      <c r="D455" s="20">
        <v>44413</v>
      </c>
      <c r="E455" s="43">
        <v>70.34</v>
      </c>
      <c r="F455" s="43">
        <v>2.282</v>
      </c>
      <c r="G455"/>
      <c r="J455" s="20">
        <v>44413</v>
      </c>
      <c r="K455" s="43">
        <v>2.282</v>
      </c>
      <c r="L455" s="43"/>
      <c r="M455"/>
    </row>
    <row r="456" spans="1:13">
      <c r="A456" s="20">
        <v>44412</v>
      </c>
      <c r="D456" s="20">
        <v>44414</v>
      </c>
      <c r="E456" s="43">
        <v>71.3</v>
      </c>
      <c r="F456" s="43">
        <v>2.3250999999999999</v>
      </c>
      <c r="G456"/>
      <c r="J456" s="20">
        <v>44414</v>
      </c>
      <c r="K456" s="43">
        <v>2.3250999999999999</v>
      </c>
      <c r="L456" s="43"/>
      <c r="M456"/>
    </row>
    <row r="457" spans="1:13">
      <c r="A457" s="20">
        <v>44413</v>
      </c>
      <c r="D457" s="20">
        <v>44417</v>
      </c>
      <c r="E457" s="43">
        <v>70.66</v>
      </c>
      <c r="F457" s="43">
        <v>2.3347000000000002</v>
      </c>
      <c r="G457"/>
      <c r="J457" s="20">
        <v>44417</v>
      </c>
      <c r="K457" s="43">
        <v>2.3347000000000002</v>
      </c>
      <c r="L457" s="43"/>
      <c r="M457"/>
    </row>
    <row r="458" spans="1:13">
      <c r="A458" s="20">
        <v>44414</v>
      </c>
      <c r="D458" s="20">
        <v>44418</v>
      </c>
      <c r="E458" s="43">
        <v>70.13</v>
      </c>
      <c r="F458" s="43">
        <v>2.2747000000000002</v>
      </c>
      <c r="G458"/>
      <c r="J458" s="20">
        <v>44418</v>
      </c>
      <c r="K458" s="43">
        <v>2.2747000000000002</v>
      </c>
      <c r="L458" s="43"/>
      <c r="M458"/>
    </row>
    <row r="459" spans="1:13">
      <c r="A459" s="20">
        <v>44417</v>
      </c>
      <c r="D459" s="20">
        <v>44419</v>
      </c>
      <c r="E459" s="43">
        <v>70.42</v>
      </c>
      <c r="F459" s="43">
        <v>2.2707999999999999</v>
      </c>
      <c r="G459"/>
      <c r="J459" s="20">
        <v>44419</v>
      </c>
      <c r="K459" s="43">
        <v>2.2707999999999999</v>
      </c>
      <c r="L459" s="43"/>
      <c r="M459"/>
    </row>
    <row r="460" spans="1:13">
      <c r="A460" s="20">
        <v>44418</v>
      </c>
      <c r="D460" s="20">
        <v>44420</v>
      </c>
      <c r="E460" s="43">
        <v>68.290000000000006</v>
      </c>
      <c r="F460" s="43">
        <v>2.25</v>
      </c>
      <c r="G460"/>
      <c r="J460" s="20">
        <v>44420</v>
      </c>
      <c r="K460" s="43">
        <v>2.25</v>
      </c>
      <c r="L460" s="43"/>
      <c r="M460"/>
    </row>
    <row r="461" spans="1:13">
      <c r="A461" s="20">
        <v>44419</v>
      </c>
      <c r="D461" s="20">
        <v>44421</v>
      </c>
      <c r="E461" s="43">
        <v>69.099999999999994</v>
      </c>
      <c r="F461" s="43">
        <v>2.294</v>
      </c>
      <c r="G461"/>
      <c r="J461" s="20">
        <v>44421</v>
      </c>
      <c r="K461" s="43">
        <v>2.294</v>
      </c>
      <c r="L461" s="43"/>
      <c r="M461"/>
    </row>
    <row r="462" spans="1:13">
      <c r="A462" s="20">
        <v>44420</v>
      </c>
      <c r="D462" s="20">
        <v>44424</v>
      </c>
      <c r="E462" s="43">
        <v>68.489999999999995</v>
      </c>
      <c r="F462" s="43">
        <v>2.2568999999999999</v>
      </c>
      <c r="G462"/>
      <c r="J462" s="20">
        <v>44424</v>
      </c>
      <c r="K462" s="43">
        <v>2.2568999999999999</v>
      </c>
      <c r="L462" s="43"/>
      <c r="M462"/>
    </row>
    <row r="463" spans="1:13">
      <c r="A463" s="20">
        <v>44421</v>
      </c>
      <c r="D463" s="20">
        <v>44425</v>
      </c>
      <c r="E463" s="43">
        <v>67.099999999999994</v>
      </c>
      <c r="F463" s="43">
        <v>2.2347999999999999</v>
      </c>
      <c r="G463"/>
      <c r="J463" s="20">
        <v>44425</v>
      </c>
      <c r="K463" s="43">
        <v>2.2347999999999999</v>
      </c>
      <c r="L463" s="43"/>
      <c r="M463"/>
    </row>
    <row r="464" spans="1:13">
      <c r="A464" s="20">
        <v>44424</v>
      </c>
      <c r="D464" s="20">
        <v>44426</v>
      </c>
      <c r="E464" s="43">
        <v>68.400000000000006</v>
      </c>
      <c r="F464" s="43">
        <v>2.2679</v>
      </c>
      <c r="G464"/>
      <c r="J464" s="20">
        <v>44426</v>
      </c>
      <c r="K464" s="43">
        <v>2.2679</v>
      </c>
      <c r="L464" s="43">
        <v>3.3</v>
      </c>
      <c r="M464"/>
    </row>
    <row r="465" spans="1:13">
      <c r="A465" s="20">
        <v>44425</v>
      </c>
      <c r="D465" s="20">
        <v>44427</v>
      </c>
      <c r="E465" s="43">
        <v>66.08</v>
      </c>
      <c r="F465" s="43">
        <v>2.3022</v>
      </c>
      <c r="G465"/>
      <c r="J465" s="20">
        <v>44427</v>
      </c>
      <c r="K465" s="43">
        <v>2.3022</v>
      </c>
      <c r="L465" s="43"/>
      <c r="M465"/>
    </row>
    <row r="466" spans="1:13">
      <c r="A466" s="20">
        <v>44426</v>
      </c>
      <c r="B466" s="43">
        <v>3.3</v>
      </c>
      <c r="D466" s="20">
        <v>44428</v>
      </c>
      <c r="E466" s="43">
        <v>66.13</v>
      </c>
      <c r="F466" s="43">
        <v>2.13</v>
      </c>
      <c r="G466"/>
      <c r="J466" s="20">
        <v>44428</v>
      </c>
      <c r="K466" s="43">
        <v>2.13</v>
      </c>
      <c r="L466" s="43"/>
      <c r="M466"/>
    </row>
    <row r="467" spans="1:13">
      <c r="A467" s="20">
        <v>44427</v>
      </c>
      <c r="D467" s="20">
        <v>44431</v>
      </c>
      <c r="E467" s="43">
        <v>67.33</v>
      </c>
      <c r="F467" s="43">
        <v>2.1128999999999998</v>
      </c>
      <c r="G467"/>
      <c r="J467" s="20">
        <v>44431</v>
      </c>
      <c r="K467" s="43">
        <v>2.1128999999999998</v>
      </c>
      <c r="L467" s="43"/>
      <c r="M467"/>
    </row>
    <row r="468" spans="1:13">
      <c r="A468" s="20">
        <v>44428</v>
      </c>
      <c r="D468" s="20">
        <v>44432</v>
      </c>
      <c r="E468" s="43">
        <v>67.94</v>
      </c>
      <c r="F468" s="43">
        <v>2.0668000000000002</v>
      </c>
      <c r="G468"/>
      <c r="J468" s="20">
        <v>44432</v>
      </c>
      <c r="K468" s="43">
        <v>2.0668000000000002</v>
      </c>
      <c r="L468" s="43"/>
      <c r="M468"/>
    </row>
    <row r="469" spans="1:13">
      <c r="A469" s="20">
        <v>44431</v>
      </c>
      <c r="D469" s="20">
        <v>44433</v>
      </c>
      <c r="E469" s="43">
        <v>67.59</v>
      </c>
      <c r="F469" s="43">
        <v>2.0396999999999998</v>
      </c>
      <c r="G469"/>
      <c r="J469" s="20">
        <v>44433</v>
      </c>
      <c r="K469" s="43">
        <v>2.0396999999999998</v>
      </c>
      <c r="L469" s="43"/>
      <c r="M469"/>
    </row>
    <row r="470" spans="1:13">
      <c r="A470" s="20">
        <v>44432</v>
      </c>
      <c r="D470" s="20">
        <v>44434</v>
      </c>
      <c r="E470" s="43">
        <v>67.069999999999993</v>
      </c>
      <c r="F470" s="43">
        <v>2.0162</v>
      </c>
      <c r="G470"/>
      <c r="J470" s="20">
        <v>44434</v>
      </c>
      <c r="K470" s="43">
        <v>2.0162</v>
      </c>
      <c r="L470" s="43"/>
      <c r="M470"/>
    </row>
    <row r="471" spans="1:13">
      <c r="A471" s="20">
        <v>44433</v>
      </c>
      <c r="D471" s="20">
        <v>44435</v>
      </c>
      <c r="E471" s="43">
        <v>66.37</v>
      </c>
      <c r="F471" s="43">
        <v>1.9524999999999999</v>
      </c>
      <c r="G471"/>
      <c r="J471" s="20">
        <v>44435</v>
      </c>
      <c r="K471" s="43">
        <v>1.9524999999999999</v>
      </c>
      <c r="L471" s="43"/>
      <c r="M471"/>
    </row>
    <row r="472" spans="1:13">
      <c r="A472" s="20">
        <v>44434</v>
      </c>
      <c r="D472" s="20">
        <v>44438</v>
      </c>
      <c r="E472" s="43">
        <v>65.180000000000007</v>
      </c>
      <c r="F472" s="43">
        <v>1.8902000000000001</v>
      </c>
      <c r="G472"/>
      <c r="J472" s="20">
        <v>44438</v>
      </c>
      <c r="K472" s="43">
        <v>1.8902000000000001</v>
      </c>
      <c r="L472" s="43"/>
      <c r="M472"/>
    </row>
    <row r="473" spans="1:13">
      <c r="A473" s="20">
        <v>44435</v>
      </c>
      <c r="D473" s="20">
        <v>44439</v>
      </c>
      <c r="E473" s="43">
        <v>66.989999999999995</v>
      </c>
      <c r="F473" s="43">
        <v>1.9865999999999999</v>
      </c>
      <c r="G473"/>
      <c r="J473" s="20">
        <v>44439</v>
      </c>
      <c r="K473" s="43">
        <v>1.9865999999999999</v>
      </c>
      <c r="L473" s="43"/>
      <c r="M473"/>
    </row>
    <row r="474" spans="1:13">
      <c r="A474" s="20">
        <v>44438</v>
      </c>
      <c r="D474" s="20">
        <v>44440</v>
      </c>
      <c r="E474" s="43">
        <v>58.02</v>
      </c>
      <c r="F474" s="43">
        <v>2.0575999999999999</v>
      </c>
      <c r="G474"/>
      <c r="J474" s="20">
        <v>44440</v>
      </c>
      <c r="K474" s="43">
        <v>2.0575999999999999</v>
      </c>
      <c r="L474" s="43"/>
      <c r="M474"/>
    </row>
    <row r="475" spans="1:13">
      <c r="A475" s="20">
        <v>44439</v>
      </c>
      <c r="D475" s="20">
        <v>44441</v>
      </c>
      <c r="E475" s="43">
        <v>67.69</v>
      </c>
      <c r="F475" s="43">
        <v>2.145</v>
      </c>
      <c r="G475"/>
      <c r="J475" s="20">
        <v>44441</v>
      </c>
      <c r="K475" s="43">
        <v>2.145</v>
      </c>
      <c r="L475" s="43"/>
      <c r="M475"/>
    </row>
    <row r="476" spans="1:13">
      <c r="A476" s="20">
        <v>44440</v>
      </c>
      <c r="D476" s="20">
        <v>44442</v>
      </c>
      <c r="E476" s="43">
        <v>67.52</v>
      </c>
      <c r="F476" s="43">
        <v>2.0922999999999998</v>
      </c>
      <c r="G476"/>
      <c r="J476" s="20">
        <v>44442</v>
      </c>
      <c r="K476" s="43">
        <v>2.0922999999999998</v>
      </c>
      <c r="L476" s="43"/>
      <c r="M476"/>
    </row>
    <row r="477" spans="1:13">
      <c r="A477" s="20">
        <v>44441</v>
      </c>
      <c r="D477" s="20">
        <v>44445</v>
      </c>
      <c r="E477" s="43">
        <v>67.7</v>
      </c>
      <c r="F477" s="43">
        <v>2.1196000000000002</v>
      </c>
      <c r="G477"/>
      <c r="J477" s="20">
        <v>44445</v>
      </c>
      <c r="K477" s="43">
        <v>2.1196000000000002</v>
      </c>
      <c r="L477" s="43"/>
      <c r="M477"/>
    </row>
    <row r="478" spans="1:13">
      <c r="A478" s="20">
        <v>44442</v>
      </c>
      <c r="D478" s="20">
        <v>44446</v>
      </c>
      <c r="E478" s="43">
        <v>67.739999999999995</v>
      </c>
      <c r="F478" s="43">
        <v>2.1537999999999999</v>
      </c>
      <c r="G478"/>
      <c r="J478" s="20">
        <v>44446</v>
      </c>
      <c r="K478" s="43">
        <v>2.1537999999999999</v>
      </c>
      <c r="L478" s="43"/>
      <c r="M478"/>
    </row>
    <row r="479" spans="1:13">
      <c r="A479" s="20">
        <v>44445</v>
      </c>
      <c r="D479" s="20">
        <v>44447</v>
      </c>
      <c r="E479" s="43">
        <v>67.709999999999994</v>
      </c>
      <c r="F479" s="43">
        <v>2.1419000000000001</v>
      </c>
      <c r="G479"/>
      <c r="J479" s="20">
        <v>44447</v>
      </c>
      <c r="K479" s="43">
        <v>2.1419000000000001</v>
      </c>
      <c r="L479" s="43"/>
      <c r="M479"/>
    </row>
    <row r="480" spans="1:13">
      <c r="A480" s="20">
        <v>44446</v>
      </c>
      <c r="D480" s="20">
        <v>44448</v>
      </c>
      <c r="E480" s="43">
        <v>68.5</v>
      </c>
      <c r="F480" s="43">
        <v>2.1109</v>
      </c>
      <c r="G480"/>
      <c r="J480" s="20">
        <v>44448</v>
      </c>
      <c r="K480" s="43">
        <v>2.1109</v>
      </c>
      <c r="L480" s="43"/>
      <c r="M480"/>
    </row>
    <row r="481" spans="1:13">
      <c r="A481" s="20">
        <v>44447</v>
      </c>
      <c r="D481" s="20">
        <v>44449</v>
      </c>
      <c r="E481" s="43">
        <v>69.84</v>
      </c>
      <c r="F481" s="43">
        <v>2.1635</v>
      </c>
      <c r="G481"/>
      <c r="J481" s="20">
        <v>44449</v>
      </c>
      <c r="K481" s="43">
        <v>2.1635</v>
      </c>
      <c r="L481" s="43"/>
      <c r="M481"/>
    </row>
    <row r="482" spans="1:13">
      <c r="A482" s="20">
        <v>44448</v>
      </c>
      <c r="D482" s="20">
        <v>44452</v>
      </c>
      <c r="E482" s="43">
        <v>69.22</v>
      </c>
      <c r="F482" s="43">
        <v>2.1539999999999999</v>
      </c>
      <c r="G482"/>
      <c r="J482" s="20">
        <v>44452</v>
      </c>
      <c r="K482" s="43">
        <v>2.1539999999999999</v>
      </c>
      <c r="L482" s="43"/>
      <c r="M482"/>
    </row>
    <row r="483" spans="1:13">
      <c r="A483" s="20">
        <v>44449</v>
      </c>
      <c r="D483" s="20">
        <v>44453</v>
      </c>
      <c r="E483" s="43">
        <v>68.41</v>
      </c>
      <c r="F483" s="43">
        <v>2.13</v>
      </c>
      <c r="G483"/>
      <c r="J483" s="20">
        <v>44453</v>
      </c>
      <c r="K483" s="43">
        <v>2.13</v>
      </c>
      <c r="L483" s="43"/>
      <c r="M483"/>
    </row>
    <row r="484" spans="1:13">
      <c r="A484" s="20">
        <v>44452</v>
      </c>
      <c r="D484" s="20">
        <v>44454</v>
      </c>
      <c r="E484" s="43">
        <v>69.17</v>
      </c>
      <c r="F484" s="43">
        <v>2.1320999999999999</v>
      </c>
      <c r="G484"/>
      <c r="J484" s="20">
        <v>44454</v>
      </c>
      <c r="K484" s="43">
        <v>2.1320999999999999</v>
      </c>
      <c r="L484" s="43"/>
      <c r="M484"/>
    </row>
    <row r="485" spans="1:13">
      <c r="A485" s="20">
        <v>44453</v>
      </c>
      <c r="D485" s="20">
        <v>44455</v>
      </c>
      <c r="E485" s="43">
        <v>68.3</v>
      </c>
      <c r="F485" s="43">
        <v>2.0996999999999999</v>
      </c>
      <c r="G485"/>
      <c r="J485" s="20">
        <v>44455</v>
      </c>
      <c r="K485" s="43">
        <v>2.0996999999999999</v>
      </c>
      <c r="L485" s="43"/>
      <c r="M485"/>
    </row>
    <row r="486" spans="1:13">
      <c r="A486" s="20">
        <v>44454</v>
      </c>
      <c r="D486" s="20">
        <v>44456</v>
      </c>
      <c r="E486" s="43">
        <v>69.41</v>
      </c>
      <c r="F486" s="43">
        <v>2.1539999999999999</v>
      </c>
      <c r="G486"/>
      <c r="J486" s="20">
        <v>44456</v>
      </c>
      <c r="K486" s="43">
        <v>2.1539999999999999</v>
      </c>
      <c r="L486" s="43"/>
      <c r="M486"/>
    </row>
    <row r="487" spans="1:13">
      <c r="A487" s="20">
        <v>44455</v>
      </c>
      <c r="D487" s="20">
        <v>44459</v>
      </c>
      <c r="E487" s="43">
        <v>69.900000000000006</v>
      </c>
      <c r="F487" s="43">
        <v>2.1608999999999998</v>
      </c>
      <c r="G487"/>
      <c r="J487" s="20">
        <v>44459</v>
      </c>
      <c r="K487" s="43">
        <v>2.1608999999999998</v>
      </c>
      <c r="L487" s="43"/>
      <c r="M487"/>
    </row>
    <row r="488" spans="1:13">
      <c r="A488" s="20">
        <v>44456</v>
      </c>
      <c r="D488" s="20">
        <v>44460</v>
      </c>
      <c r="E488" s="43">
        <v>69.91</v>
      </c>
      <c r="F488" s="43">
        <v>2.1118999999999999</v>
      </c>
      <c r="G488"/>
      <c r="J488" s="20">
        <v>44460</v>
      </c>
      <c r="K488" s="43">
        <v>2.1118999999999999</v>
      </c>
      <c r="L488" s="43"/>
      <c r="M488"/>
    </row>
    <row r="489" spans="1:13">
      <c r="A489" s="20">
        <v>44459</v>
      </c>
      <c r="D489" s="20">
        <v>44461</v>
      </c>
      <c r="E489" s="43">
        <v>71.13</v>
      </c>
      <c r="F489" s="43">
        <v>2.1438000000000001</v>
      </c>
      <c r="G489"/>
      <c r="J489" s="20">
        <v>44461</v>
      </c>
      <c r="K489" s="43">
        <v>2.1438000000000001</v>
      </c>
      <c r="L489" s="43">
        <v>3.0646499999999999</v>
      </c>
      <c r="M489"/>
    </row>
    <row r="490" spans="1:13">
      <c r="A490" s="20">
        <v>44460</v>
      </c>
      <c r="D490" s="20">
        <v>44462</v>
      </c>
      <c r="E490" s="43">
        <v>71.14</v>
      </c>
      <c r="F490" s="43">
        <v>2.1269</v>
      </c>
      <c r="G490"/>
      <c r="J490" s="20">
        <v>44462</v>
      </c>
      <c r="K490" s="43">
        <v>2.1269</v>
      </c>
      <c r="L490" s="43"/>
      <c r="M490"/>
    </row>
    <row r="491" spans="1:13">
      <c r="A491" s="20">
        <v>44461</v>
      </c>
      <c r="B491" s="43">
        <v>3.0646499999999999</v>
      </c>
      <c r="D491" s="20">
        <v>44463</v>
      </c>
      <c r="E491" s="43">
        <v>70.86</v>
      </c>
      <c r="F491" s="43">
        <v>2.1156999999999999</v>
      </c>
      <c r="G491"/>
      <c r="J491" s="20">
        <v>44463</v>
      </c>
      <c r="K491" s="43">
        <v>2.1156999999999999</v>
      </c>
      <c r="L491" s="43"/>
      <c r="M491"/>
    </row>
    <row r="492" spans="1:13">
      <c r="A492" s="20">
        <v>44462</v>
      </c>
      <c r="D492" s="20">
        <v>44466</v>
      </c>
      <c r="E492" s="43">
        <v>70.14</v>
      </c>
      <c r="F492" s="43">
        <v>2.0602999999999998</v>
      </c>
      <c r="G492"/>
      <c r="J492" s="20">
        <v>44466</v>
      </c>
      <c r="K492" s="43">
        <v>2.0602999999999998</v>
      </c>
      <c r="L492" s="43"/>
      <c r="M492"/>
    </row>
    <row r="493" spans="1:13">
      <c r="A493" s="20">
        <v>44463</v>
      </c>
      <c r="D493" s="20">
        <v>44467</v>
      </c>
      <c r="E493" s="43">
        <v>70.27</v>
      </c>
      <c r="F493" s="43">
        <v>2.0598000000000001</v>
      </c>
      <c r="G493"/>
      <c r="J493" s="20">
        <v>44467</v>
      </c>
      <c r="K493" s="43">
        <v>2.0598000000000001</v>
      </c>
      <c r="L493" s="43"/>
      <c r="M493"/>
    </row>
    <row r="494" spans="1:13">
      <c r="A494" s="20">
        <v>44466</v>
      </c>
      <c r="D494" s="20">
        <v>44468</v>
      </c>
      <c r="E494" s="43">
        <v>70.849999999999994</v>
      </c>
      <c r="F494" s="43">
        <v>2.0836999999999999</v>
      </c>
      <c r="G494"/>
      <c r="J494" s="20">
        <v>44468</v>
      </c>
      <c r="K494" s="43">
        <v>2.0836999999999999</v>
      </c>
      <c r="L494" s="43"/>
      <c r="M494"/>
    </row>
    <row r="495" spans="1:13">
      <c r="A495" s="20">
        <v>44467</v>
      </c>
      <c r="D495" s="20">
        <v>44469</v>
      </c>
      <c r="E495" s="43">
        <v>71.16</v>
      </c>
      <c r="F495" s="43">
        <v>2.1261000000000001</v>
      </c>
      <c r="G495"/>
      <c r="J495" s="20">
        <v>44469</v>
      </c>
      <c r="K495" s="43">
        <v>2.1261000000000001</v>
      </c>
      <c r="L495" s="43"/>
      <c r="M495"/>
    </row>
    <row r="496" spans="1:13">
      <c r="A496" s="20">
        <v>44468</v>
      </c>
      <c r="D496" s="20">
        <v>44470</v>
      </c>
      <c r="E496" s="43">
        <v>69.3</v>
      </c>
      <c r="F496" s="43">
        <v>2.1377000000000002</v>
      </c>
      <c r="G496"/>
      <c r="J496" s="20">
        <v>44470</v>
      </c>
      <c r="K496" s="43">
        <v>2.1377000000000002</v>
      </c>
      <c r="L496" s="43"/>
      <c r="M496"/>
    </row>
    <row r="497" spans="1:13">
      <c r="A497" s="20">
        <v>44469</v>
      </c>
      <c r="D497" s="20">
        <v>44473</v>
      </c>
      <c r="E497" s="43">
        <v>71.599999999999994</v>
      </c>
      <c r="F497" s="43">
        <v>2.17</v>
      </c>
      <c r="G497"/>
      <c r="J497" s="20">
        <v>44473</v>
      </c>
      <c r="K497" s="43">
        <v>2.17</v>
      </c>
      <c r="L497" s="43"/>
      <c r="M497"/>
    </row>
    <row r="498" spans="1:13">
      <c r="A498" s="20">
        <v>44470</v>
      </c>
      <c r="D498" s="20">
        <v>44474</v>
      </c>
      <c r="E498" s="43">
        <v>71.58</v>
      </c>
      <c r="F498" s="43">
        <v>2.1475</v>
      </c>
      <c r="G498"/>
      <c r="J498" s="20">
        <v>44474</v>
      </c>
      <c r="K498" s="43">
        <v>2.1475</v>
      </c>
      <c r="L498" s="43"/>
      <c r="M498"/>
    </row>
    <row r="499" spans="1:13">
      <c r="A499" s="20">
        <v>44473</v>
      </c>
      <c r="D499" s="20">
        <v>44475</v>
      </c>
      <c r="E499" s="43">
        <v>71.540000000000006</v>
      </c>
      <c r="F499" s="43">
        <v>2.1749999999999998</v>
      </c>
      <c r="G499"/>
      <c r="J499" s="20">
        <v>44475</v>
      </c>
      <c r="K499" s="43">
        <v>2.1749999999999998</v>
      </c>
      <c r="L499" s="43">
        <v>3.2890000000000001</v>
      </c>
      <c r="M499"/>
    </row>
    <row r="500" spans="1:13">
      <c r="A500" s="20">
        <v>44474</v>
      </c>
      <c r="D500" s="20">
        <v>44476</v>
      </c>
      <c r="E500" s="43">
        <v>71.13</v>
      </c>
      <c r="F500" s="43">
        <v>2.194</v>
      </c>
      <c r="G500"/>
      <c r="J500" s="20">
        <v>44476</v>
      </c>
      <c r="K500" s="43">
        <v>2.194</v>
      </c>
      <c r="L500" s="43"/>
      <c r="M500"/>
    </row>
    <row r="501" spans="1:13">
      <c r="A501" s="20">
        <v>44475</v>
      </c>
      <c r="B501" s="43">
        <v>3.2890000000000001</v>
      </c>
      <c r="D501" s="20">
        <v>44477</v>
      </c>
      <c r="E501" s="43">
        <v>75.78</v>
      </c>
      <c r="F501" s="43">
        <v>2.25</v>
      </c>
      <c r="G501"/>
      <c r="J501" s="20">
        <v>44477</v>
      </c>
      <c r="K501" s="43">
        <v>2.25</v>
      </c>
      <c r="L501" s="43"/>
      <c r="M501"/>
    </row>
    <row r="502" spans="1:13">
      <c r="A502" s="20">
        <v>44476</v>
      </c>
      <c r="D502" s="20">
        <v>44480</v>
      </c>
      <c r="E502" s="43">
        <v>77.44</v>
      </c>
      <c r="F502" s="43">
        <v>2.3085</v>
      </c>
      <c r="G502"/>
      <c r="J502" s="20">
        <v>44480</v>
      </c>
      <c r="K502" s="43">
        <v>2.3085</v>
      </c>
      <c r="L502" s="43"/>
      <c r="M502"/>
    </row>
    <row r="503" spans="1:13">
      <c r="A503" s="20">
        <v>44477</v>
      </c>
      <c r="D503" s="20">
        <v>44481</v>
      </c>
      <c r="E503" s="43">
        <v>78.599999999999994</v>
      </c>
      <c r="F503" s="43">
        <v>2.3578999999999999</v>
      </c>
      <c r="G503"/>
      <c r="J503" s="20">
        <v>44481</v>
      </c>
      <c r="K503" s="43">
        <v>2.3578999999999999</v>
      </c>
      <c r="L503" s="43"/>
      <c r="M503"/>
    </row>
    <row r="504" spans="1:13">
      <c r="A504" s="20">
        <v>44480</v>
      </c>
      <c r="D504" s="20">
        <v>44482</v>
      </c>
      <c r="E504" s="43">
        <v>77.31</v>
      </c>
      <c r="F504" s="43">
        <v>2.3081999999999998</v>
      </c>
      <c r="G504"/>
      <c r="J504" s="20">
        <v>44482</v>
      </c>
      <c r="K504" s="43">
        <v>2.3081999999999998</v>
      </c>
      <c r="L504" s="43"/>
      <c r="M504"/>
    </row>
    <row r="505" spans="1:13">
      <c r="A505" s="20">
        <v>44481</v>
      </c>
      <c r="D505" s="20">
        <v>44483</v>
      </c>
      <c r="E505" s="43">
        <v>78.03</v>
      </c>
      <c r="F505" s="43">
        <v>2.3344</v>
      </c>
      <c r="G505"/>
      <c r="J505" s="20">
        <v>44483</v>
      </c>
      <c r="K505" s="43">
        <v>2.3344</v>
      </c>
      <c r="L505" s="43"/>
      <c r="M505"/>
    </row>
    <row r="506" spans="1:13">
      <c r="A506" s="20">
        <v>44482</v>
      </c>
      <c r="D506" s="20">
        <v>44484</v>
      </c>
      <c r="E506" s="43">
        <v>78.739999999999995</v>
      </c>
      <c r="F506" s="43">
        <v>2.3662000000000001</v>
      </c>
      <c r="G506"/>
      <c r="J506" s="20">
        <v>44484</v>
      </c>
      <c r="K506" s="43">
        <v>2.3662000000000001</v>
      </c>
      <c r="L506" s="43"/>
      <c r="M506"/>
    </row>
    <row r="507" spans="1:13">
      <c r="A507" s="20">
        <v>44483</v>
      </c>
      <c r="D507" s="20">
        <v>44487</v>
      </c>
      <c r="E507" s="43">
        <v>79.58</v>
      </c>
      <c r="F507" s="43">
        <v>2.3778999999999999</v>
      </c>
      <c r="G507"/>
      <c r="J507" s="20">
        <v>44487</v>
      </c>
      <c r="K507" s="43">
        <v>2.3778999999999999</v>
      </c>
      <c r="L507" s="43"/>
      <c r="M507"/>
    </row>
    <row r="508" spans="1:13">
      <c r="A508" s="20">
        <v>44484</v>
      </c>
      <c r="D508" s="20">
        <v>44488</v>
      </c>
      <c r="E508" s="43">
        <v>79.62</v>
      </c>
      <c r="F508" s="43">
        <v>2.3828999999999998</v>
      </c>
      <c r="G508"/>
      <c r="J508" s="20">
        <v>44488</v>
      </c>
      <c r="K508" s="43">
        <v>2.3828999999999998</v>
      </c>
      <c r="L508" s="43"/>
      <c r="M508"/>
    </row>
    <row r="509" spans="1:13">
      <c r="A509" s="20">
        <v>44487</v>
      </c>
      <c r="D509" s="20">
        <v>44489</v>
      </c>
      <c r="E509" s="43">
        <v>79.53</v>
      </c>
      <c r="F509" s="43">
        <v>2.4055</v>
      </c>
      <c r="G509"/>
      <c r="J509" s="20">
        <v>44489</v>
      </c>
      <c r="K509" s="43">
        <v>2.4055</v>
      </c>
      <c r="L509" s="43"/>
      <c r="M509"/>
    </row>
    <row r="510" spans="1:13">
      <c r="A510" s="20">
        <v>44488</v>
      </c>
      <c r="D510" s="20">
        <v>44490</v>
      </c>
      <c r="E510" s="43">
        <v>80.05</v>
      </c>
      <c r="F510" s="43">
        <v>2.3824000000000001</v>
      </c>
      <c r="G510"/>
      <c r="J510" s="20">
        <v>44490</v>
      </c>
      <c r="K510" s="43">
        <v>2.3824000000000001</v>
      </c>
      <c r="L510" s="43"/>
      <c r="M510"/>
    </row>
    <row r="511" spans="1:13">
      <c r="A511" s="20">
        <v>44489</v>
      </c>
      <c r="D511" s="20">
        <v>44491</v>
      </c>
      <c r="E511" s="43">
        <v>80.55</v>
      </c>
      <c r="F511" s="43">
        <v>2.4251</v>
      </c>
      <c r="G511"/>
      <c r="J511" s="20">
        <v>44491</v>
      </c>
      <c r="K511" s="43">
        <v>2.4251</v>
      </c>
      <c r="L511" s="43"/>
      <c r="M511"/>
    </row>
    <row r="512" spans="1:13">
      <c r="A512" s="20">
        <v>44490</v>
      </c>
      <c r="D512" s="20">
        <v>44494</v>
      </c>
      <c r="E512" s="43">
        <v>80.56</v>
      </c>
      <c r="F512" s="43">
        <v>2.4222999999999999</v>
      </c>
      <c r="G512"/>
      <c r="J512" s="20">
        <v>44494</v>
      </c>
      <c r="K512" s="43">
        <v>2.4222999999999999</v>
      </c>
      <c r="L512" s="43"/>
      <c r="M512"/>
    </row>
    <row r="513" spans="1:13">
      <c r="A513" s="20">
        <v>44491</v>
      </c>
      <c r="D513" s="20">
        <v>44495</v>
      </c>
      <c r="E513" s="43">
        <v>80.86</v>
      </c>
      <c r="F513" s="43">
        <v>2.4176000000000002</v>
      </c>
      <c r="G513"/>
      <c r="J513" s="20">
        <v>44495</v>
      </c>
      <c r="K513" s="43">
        <v>2.4176000000000002</v>
      </c>
      <c r="L513" s="43"/>
      <c r="M513"/>
    </row>
    <row r="514" spans="1:13">
      <c r="A514" s="20">
        <v>44494</v>
      </c>
      <c r="D514" s="20">
        <v>44496</v>
      </c>
      <c r="E514" s="43">
        <v>81.23</v>
      </c>
      <c r="F514" s="43">
        <v>2.4468999999999999</v>
      </c>
      <c r="G514"/>
      <c r="J514" s="20">
        <v>44496</v>
      </c>
      <c r="K514" s="43">
        <v>2.4468999999999999</v>
      </c>
      <c r="L514" s="43">
        <v>3.05</v>
      </c>
      <c r="M514"/>
    </row>
    <row r="515" spans="1:13">
      <c r="A515" s="20">
        <v>44495</v>
      </c>
      <c r="D515" s="20">
        <v>44497</v>
      </c>
      <c r="E515" s="43">
        <v>80.930000000000007</v>
      </c>
      <c r="F515" s="43">
        <v>2.419</v>
      </c>
      <c r="G515"/>
      <c r="J515" s="20">
        <v>44497</v>
      </c>
      <c r="K515" s="43">
        <v>2.419</v>
      </c>
      <c r="L515" s="43"/>
      <c r="M515"/>
    </row>
    <row r="516" spans="1:13">
      <c r="A516" s="20">
        <v>44496</v>
      </c>
      <c r="B516" s="43">
        <v>3.05</v>
      </c>
      <c r="D516" s="20">
        <v>44498</v>
      </c>
      <c r="E516" s="43">
        <v>81.290000000000006</v>
      </c>
      <c r="F516" s="43">
        <v>2.4156</v>
      </c>
      <c r="G516"/>
      <c r="J516" s="20">
        <v>44498</v>
      </c>
      <c r="K516" s="43">
        <v>2.4156</v>
      </c>
      <c r="L516" s="43"/>
      <c r="M516"/>
    </row>
    <row r="517" spans="1:13">
      <c r="A517" s="20">
        <v>44497</v>
      </c>
      <c r="D517" s="20">
        <v>44501</v>
      </c>
      <c r="E517" s="43">
        <v>65.25</v>
      </c>
      <c r="F517" s="43">
        <v>2.4426999999999999</v>
      </c>
      <c r="G517"/>
      <c r="J517" s="20">
        <v>44501</v>
      </c>
      <c r="K517" s="43">
        <v>2.4426999999999999</v>
      </c>
      <c r="L517" s="43"/>
      <c r="M517"/>
    </row>
    <row r="518" spans="1:13">
      <c r="A518" s="20">
        <v>44498</v>
      </c>
      <c r="D518" s="20">
        <v>44502</v>
      </c>
      <c r="E518" s="43">
        <v>81.459999999999994</v>
      </c>
      <c r="F518" s="43">
        <v>2.4472</v>
      </c>
      <c r="G518"/>
      <c r="J518" s="20">
        <v>44502</v>
      </c>
      <c r="K518" s="43">
        <v>2.4472</v>
      </c>
      <c r="L518" s="43"/>
      <c r="M518"/>
    </row>
    <row r="519" spans="1:13">
      <c r="A519" s="20">
        <v>44501</v>
      </c>
      <c r="D519" s="20">
        <v>44503</v>
      </c>
      <c r="E519" s="43">
        <v>81.17</v>
      </c>
      <c r="F519" s="43">
        <v>2.3792</v>
      </c>
      <c r="G519"/>
      <c r="J519" s="20">
        <v>44503</v>
      </c>
      <c r="K519" s="43">
        <v>2.3792</v>
      </c>
      <c r="L519" s="43"/>
      <c r="M519"/>
    </row>
    <row r="520" spans="1:13">
      <c r="A520" s="20">
        <v>44502</v>
      </c>
      <c r="D520" s="20">
        <v>44504</v>
      </c>
      <c r="E520" s="43">
        <v>81.19</v>
      </c>
      <c r="F520" s="43">
        <v>2.3589000000000002</v>
      </c>
      <c r="G520"/>
      <c r="J520" s="20">
        <v>44504</v>
      </c>
      <c r="K520" s="43">
        <v>2.3589000000000002</v>
      </c>
      <c r="L520" s="43"/>
      <c r="M520"/>
    </row>
    <row r="521" spans="1:13">
      <c r="A521" s="20">
        <v>44503</v>
      </c>
      <c r="D521" s="20">
        <v>44505</v>
      </c>
      <c r="E521" s="43">
        <v>80.16</v>
      </c>
      <c r="F521" s="43">
        <v>2.3696999999999999</v>
      </c>
      <c r="G521"/>
      <c r="J521" s="20">
        <v>44505</v>
      </c>
      <c r="K521" s="43">
        <v>2.3696999999999999</v>
      </c>
      <c r="L521" s="43"/>
      <c r="M521"/>
    </row>
    <row r="522" spans="1:13">
      <c r="A522" s="20">
        <v>44504</v>
      </c>
      <c r="D522" s="20">
        <v>44508</v>
      </c>
      <c r="E522" s="43">
        <v>82.39</v>
      </c>
      <c r="F522" s="43">
        <v>2.4093</v>
      </c>
      <c r="G522"/>
      <c r="J522" s="20">
        <v>44508</v>
      </c>
      <c r="K522" s="43">
        <v>2.4093</v>
      </c>
      <c r="L522" s="43"/>
      <c r="M522"/>
    </row>
    <row r="523" spans="1:13">
      <c r="A523" s="20">
        <v>44505</v>
      </c>
      <c r="D523" s="20">
        <v>44509</v>
      </c>
      <c r="E523" s="43">
        <v>82.7</v>
      </c>
      <c r="F523" s="43">
        <v>2.4500999999999999</v>
      </c>
      <c r="G523"/>
      <c r="J523" s="20">
        <v>44509</v>
      </c>
      <c r="K523" s="43">
        <v>2.4500999999999999</v>
      </c>
      <c r="L523" s="43"/>
      <c r="M523"/>
    </row>
    <row r="524" spans="1:13">
      <c r="A524" s="20">
        <v>44508</v>
      </c>
      <c r="D524" s="20">
        <v>44510</v>
      </c>
      <c r="E524" s="43">
        <v>80.790000000000006</v>
      </c>
      <c r="F524" s="43">
        <v>2.3384999999999998</v>
      </c>
      <c r="G524"/>
      <c r="J524" s="20">
        <v>44510</v>
      </c>
      <c r="K524" s="43">
        <v>2.3384999999999998</v>
      </c>
      <c r="L524" s="43"/>
      <c r="M524"/>
    </row>
    <row r="525" spans="1:13">
      <c r="A525" s="20">
        <v>44509</v>
      </c>
      <c r="D525" s="20">
        <v>44511</v>
      </c>
      <c r="E525" s="43">
        <v>79.08</v>
      </c>
      <c r="F525" s="43">
        <v>2.2926000000000002</v>
      </c>
      <c r="G525"/>
      <c r="J525" s="20">
        <v>44511</v>
      </c>
      <c r="K525" s="43">
        <v>2.2926000000000002</v>
      </c>
      <c r="L525" s="43"/>
      <c r="M525"/>
    </row>
    <row r="526" spans="1:13">
      <c r="A526" s="20">
        <v>44510</v>
      </c>
      <c r="D526" s="20">
        <v>44512</v>
      </c>
      <c r="E526" s="43">
        <v>81.069999999999993</v>
      </c>
      <c r="F526" s="43">
        <v>2.3209</v>
      </c>
      <c r="G526"/>
      <c r="J526" s="20">
        <v>44512</v>
      </c>
      <c r="K526" s="43">
        <v>2.3209</v>
      </c>
      <c r="L526" s="43"/>
      <c r="M526"/>
    </row>
    <row r="527" spans="1:13">
      <c r="A527" s="20">
        <v>44511</v>
      </c>
      <c r="D527" s="20">
        <v>44515</v>
      </c>
      <c r="E527" s="43">
        <v>80.900000000000006</v>
      </c>
      <c r="F527" s="43">
        <v>2.3222</v>
      </c>
      <c r="G527"/>
      <c r="J527" s="20">
        <v>44515</v>
      </c>
      <c r="K527" s="43">
        <v>2.3222</v>
      </c>
      <c r="L527" s="43"/>
      <c r="M527"/>
    </row>
    <row r="528" spans="1:13">
      <c r="A528" s="20">
        <v>44512</v>
      </c>
      <c r="D528" s="20">
        <v>44516</v>
      </c>
      <c r="E528" s="43">
        <v>82.01</v>
      </c>
      <c r="F528" s="43">
        <v>2.3752</v>
      </c>
      <c r="G528"/>
      <c r="J528" s="20">
        <v>44516</v>
      </c>
      <c r="K528" s="43">
        <v>2.3752</v>
      </c>
      <c r="L528" s="43"/>
      <c r="M528"/>
    </row>
    <row r="529" spans="1:13">
      <c r="A529" s="20">
        <v>44515</v>
      </c>
      <c r="D529" s="20">
        <v>44517</v>
      </c>
      <c r="E529" s="43">
        <v>81.099999999999994</v>
      </c>
      <c r="F529" s="43">
        <v>2.2646000000000002</v>
      </c>
      <c r="G529"/>
      <c r="J529" s="20">
        <v>44517</v>
      </c>
      <c r="K529" s="43">
        <v>2.2646000000000002</v>
      </c>
      <c r="L529" s="43"/>
      <c r="M529"/>
    </row>
    <row r="530" spans="1:13">
      <c r="A530" s="20">
        <v>44516</v>
      </c>
      <c r="D530" s="20">
        <v>44518</v>
      </c>
      <c r="E530" s="43">
        <v>79.37</v>
      </c>
      <c r="F530" s="43">
        <v>2.2806000000000002</v>
      </c>
      <c r="G530"/>
      <c r="J530" s="20">
        <v>44518</v>
      </c>
      <c r="K530" s="43">
        <v>2.2806000000000002</v>
      </c>
      <c r="L530" s="43"/>
      <c r="M530"/>
    </row>
    <row r="531" spans="1:13">
      <c r="A531" s="20">
        <v>44517</v>
      </c>
      <c r="D531" s="20">
        <v>44519</v>
      </c>
      <c r="E531" s="43">
        <v>80.319999999999993</v>
      </c>
      <c r="F531" s="43">
        <v>2.2685</v>
      </c>
      <c r="G531"/>
      <c r="J531" s="20">
        <v>44519</v>
      </c>
      <c r="K531" s="43">
        <v>2.2685</v>
      </c>
      <c r="L531" s="43"/>
      <c r="M531"/>
    </row>
    <row r="532" spans="1:13">
      <c r="A532" s="20">
        <v>44518</v>
      </c>
      <c r="D532" s="20">
        <v>44522</v>
      </c>
      <c r="E532" s="43">
        <v>78.900000000000006</v>
      </c>
      <c r="F532" s="43">
        <v>2.2761999999999998</v>
      </c>
      <c r="G532"/>
      <c r="J532" s="20">
        <v>44522</v>
      </c>
      <c r="K532" s="43">
        <v>2.2761999999999998</v>
      </c>
      <c r="L532" s="43"/>
      <c r="M532"/>
    </row>
    <row r="533" spans="1:13">
      <c r="A533" s="20">
        <v>44519</v>
      </c>
      <c r="D533" s="20">
        <v>44523</v>
      </c>
      <c r="E533" s="43">
        <v>79.400000000000006</v>
      </c>
      <c r="F533" s="43">
        <v>2.2936000000000001</v>
      </c>
      <c r="G533"/>
      <c r="J533" s="20">
        <v>44523</v>
      </c>
      <c r="K533" s="43">
        <v>2.2936000000000001</v>
      </c>
      <c r="L533" s="43"/>
      <c r="M533"/>
    </row>
    <row r="534" spans="1:13">
      <c r="A534" s="20">
        <v>44522</v>
      </c>
      <c r="D534" s="20">
        <v>44524</v>
      </c>
      <c r="E534" s="43">
        <v>80.03</v>
      </c>
      <c r="F534" s="43">
        <v>2.2305000000000001</v>
      </c>
      <c r="G534"/>
      <c r="J534" s="20">
        <v>44524</v>
      </c>
      <c r="K534" s="43">
        <v>2.2305000000000001</v>
      </c>
      <c r="L534" s="43"/>
      <c r="M534"/>
    </row>
    <row r="535" spans="1:13">
      <c r="A535" s="20">
        <v>44523</v>
      </c>
      <c r="D535" s="20">
        <v>44525</v>
      </c>
      <c r="E535" s="43">
        <v>80.34</v>
      </c>
      <c r="F535" s="43">
        <v>2.2427000000000001</v>
      </c>
      <c r="G535"/>
      <c r="J535" s="20">
        <v>44525</v>
      </c>
      <c r="K535" s="43">
        <v>2.2427000000000001</v>
      </c>
      <c r="L535" s="43"/>
      <c r="M535"/>
    </row>
    <row r="536" spans="1:13">
      <c r="A536" s="20">
        <v>44524</v>
      </c>
      <c r="D536" s="20">
        <v>44526</v>
      </c>
      <c r="E536" s="43">
        <v>76.09</v>
      </c>
      <c r="F536" s="43">
        <v>2.1568999999999998</v>
      </c>
      <c r="G536"/>
      <c r="J536" s="20">
        <v>44526</v>
      </c>
      <c r="K536" s="43">
        <v>2.1568999999999998</v>
      </c>
      <c r="L536" s="43"/>
      <c r="M536"/>
    </row>
    <row r="537" spans="1:13">
      <c r="A537" s="20">
        <v>44525</v>
      </c>
      <c r="D537" s="20">
        <v>44529</v>
      </c>
      <c r="E537" s="43">
        <v>74.2</v>
      </c>
      <c r="F537" s="43">
        <v>2.2033</v>
      </c>
      <c r="G537"/>
      <c r="J537" s="20">
        <v>44529</v>
      </c>
      <c r="K537" s="43">
        <v>2.2033</v>
      </c>
      <c r="L537" s="43"/>
      <c r="M537"/>
    </row>
    <row r="538" spans="1:13">
      <c r="A538" s="20">
        <v>44526</v>
      </c>
      <c r="D538" s="20">
        <v>44530</v>
      </c>
      <c r="E538" s="43">
        <v>71.010000000000005</v>
      </c>
      <c r="F538" s="43">
        <v>2.2783000000000002</v>
      </c>
      <c r="G538"/>
      <c r="J538" s="20">
        <v>44530</v>
      </c>
      <c r="K538" s="43">
        <v>2.2783000000000002</v>
      </c>
      <c r="L538" s="43"/>
      <c r="M538"/>
    </row>
    <row r="539" spans="1:13">
      <c r="A539" s="20">
        <v>44529</v>
      </c>
      <c r="D539" s="20">
        <v>44531</v>
      </c>
      <c r="E539" s="43">
        <v>53.1</v>
      </c>
      <c r="F539" s="43">
        <v>2.2658999999999998</v>
      </c>
      <c r="G539"/>
      <c r="J539" s="20">
        <v>44531</v>
      </c>
      <c r="K539" s="43">
        <v>2.2658999999999998</v>
      </c>
      <c r="L539" s="43">
        <v>3.1</v>
      </c>
      <c r="M539"/>
    </row>
    <row r="540" spans="1:13">
      <c r="A540" s="20">
        <v>44530</v>
      </c>
      <c r="D540" s="20">
        <v>44532</v>
      </c>
      <c r="E540" s="43">
        <v>70.069999999999993</v>
      </c>
      <c r="F540" s="43">
        <v>1.9811000000000001</v>
      </c>
      <c r="G540"/>
      <c r="J540" s="20">
        <v>44532</v>
      </c>
      <c r="K540" s="43">
        <v>1.9811000000000001</v>
      </c>
      <c r="L540" s="43"/>
      <c r="M540"/>
    </row>
    <row r="541" spans="1:13">
      <c r="A541" s="20">
        <v>44531</v>
      </c>
      <c r="B541" s="43">
        <v>3.1</v>
      </c>
      <c r="D541" s="20">
        <v>44533</v>
      </c>
      <c r="E541" s="43">
        <v>71.650000000000006</v>
      </c>
      <c r="F541" s="43">
        <v>2.0329999999999999</v>
      </c>
      <c r="G541"/>
      <c r="J541" s="20">
        <v>44533</v>
      </c>
      <c r="K541" s="43">
        <v>2.0329999999999999</v>
      </c>
      <c r="L541" s="43"/>
      <c r="M541"/>
    </row>
    <row r="542" spans="1:13">
      <c r="A542" s="20">
        <v>44532</v>
      </c>
      <c r="D542" s="20">
        <v>44536</v>
      </c>
      <c r="E542" s="43">
        <v>70.569999999999993</v>
      </c>
      <c r="F542" s="43">
        <v>1.9400999999999999</v>
      </c>
      <c r="G542"/>
      <c r="J542" s="20">
        <v>44536</v>
      </c>
      <c r="K542" s="43">
        <v>1.9400999999999999</v>
      </c>
      <c r="L542" s="43"/>
      <c r="M542"/>
    </row>
    <row r="543" spans="1:13">
      <c r="A543" s="20">
        <v>44533</v>
      </c>
      <c r="D543" s="20">
        <v>44537</v>
      </c>
      <c r="E543" s="43">
        <v>65.5</v>
      </c>
      <c r="F543" s="43">
        <v>1.9511000000000001</v>
      </c>
      <c r="G543"/>
      <c r="J543" s="20">
        <v>44537</v>
      </c>
      <c r="K543" s="43">
        <v>1.9511000000000001</v>
      </c>
      <c r="L543" s="43"/>
      <c r="M543"/>
    </row>
    <row r="544" spans="1:13">
      <c r="A544" s="20">
        <v>44536</v>
      </c>
      <c r="D544" s="20">
        <v>44538</v>
      </c>
      <c r="E544" s="43">
        <v>66.37</v>
      </c>
      <c r="F544" s="43">
        <v>1.9677</v>
      </c>
      <c r="G544"/>
      <c r="J544" s="20">
        <v>44538</v>
      </c>
      <c r="K544" s="43">
        <v>1.9677</v>
      </c>
      <c r="L544" s="43"/>
      <c r="M544"/>
    </row>
    <row r="545" spans="1:13">
      <c r="A545" s="20">
        <v>44537</v>
      </c>
      <c r="D545" s="20">
        <v>44539</v>
      </c>
      <c r="E545" s="43">
        <v>66.180000000000007</v>
      </c>
      <c r="F545" s="43">
        <v>1.9529000000000001</v>
      </c>
      <c r="G545"/>
      <c r="J545" s="20">
        <v>44539</v>
      </c>
      <c r="K545" s="43">
        <v>1.9529000000000001</v>
      </c>
      <c r="L545" s="43"/>
      <c r="M545"/>
    </row>
    <row r="546" spans="1:13">
      <c r="A546" s="20">
        <v>44538</v>
      </c>
      <c r="D546" s="20">
        <v>44540</v>
      </c>
      <c r="E546" s="43">
        <v>68.959999999999994</v>
      </c>
      <c r="F546" s="43">
        <v>2.0432999999999999</v>
      </c>
      <c r="G546"/>
      <c r="J546" s="20">
        <v>44540</v>
      </c>
      <c r="K546" s="43">
        <v>2.0432999999999999</v>
      </c>
      <c r="L546" s="43"/>
      <c r="M546"/>
    </row>
    <row r="547" spans="1:13">
      <c r="A547" s="20">
        <v>44539</v>
      </c>
      <c r="D547" s="20">
        <v>44543</v>
      </c>
      <c r="E547" s="43">
        <v>71.05</v>
      </c>
      <c r="F547" s="43">
        <v>2.1</v>
      </c>
      <c r="G547"/>
      <c r="J547" s="20">
        <v>44543</v>
      </c>
      <c r="K547" s="43">
        <v>2.1</v>
      </c>
      <c r="L547" s="43"/>
      <c r="M547"/>
    </row>
    <row r="548" spans="1:13">
      <c r="A548" s="20">
        <v>44540</v>
      </c>
      <c r="D548" s="20">
        <v>44544</v>
      </c>
      <c r="E548" s="43">
        <v>71.3</v>
      </c>
      <c r="F548" s="43">
        <v>2.1484999999999999</v>
      </c>
      <c r="G548"/>
      <c r="J548" s="20">
        <v>44544</v>
      </c>
      <c r="K548" s="43">
        <v>2.1484999999999999</v>
      </c>
      <c r="L548" s="43"/>
      <c r="M548"/>
    </row>
    <row r="549" spans="1:13">
      <c r="A549" s="20">
        <v>44543</v>
      </c>
      <c r="D549" s="20">
        <v>44545</v>
      </c>
      <c r="E549" s="43">
        <v>70.28</v>
      </c>
      <c r="F549" s="43">
        <v>2.1284000000000001</v>
      </c>
      <c r="G549"/>
      <c r="J549" s="20">
        <v>44545</v>
      </c>
      <c r="K549" s="43">
        <v>2.1284000000000001</v>
      </c>
      <c r="L549" s="43"/>
      <c r="M549"/>
    </row>
    <row r="550" spans="1:13">
      <c r="A550" s="20">
        <v>44544</v>
      </c>
      <c r="D550" s="20">
        <v>44546</v>
      </c>
      <c r="E550" s="43">
        <v>70.760000000000005</v>
      </c>
      <c r="F550" s="43">
        <v>2.1372</v>
      </c>
      <c r="G550"/>
      <c r="J550" s="20">
        <v>44546</v>
      </c>
      <c r="K550" s="43">
        <v>2.1372</v>
      </c>
      <c r="L550" s="43"/>
      <c r="M550"/>
    </row>
    <row r="551" spans="1:13">
      <c r="A551" s="20">
        <v>44545</v>
      </c>
      <c r="D551" s="20">
        <v>44547</v>
      </c>
      <c r="E551" s="43">
        <v>70.5</v>
      </c>
      <c r="F551" s="43">
        <v>2.1164999999999998</v>
      </c>
      <c r="G551"/>
      <c r="J551" s="20">
        <v>44547</v>
      </c>
      <c r="K551" s="43">
        <v>2.1164999999999998</v>
      </c>
      <c r="L551" s="43"/>
      <c r="M551"/>
    </row>
    <row r="552" spans="1:13">
      <c r="A552" s="20">
        <v>44546</v>
      </c>
      <c r="D552" s="20">
        <v>44550</v>
      </c>
      <c r="E552" s="43">
        <v>70.180000000000007</v>
      </c>
      <c r="F552" s="43">
        <v>2.1107999999999998</v>
      </c>
      <c r="G552"/>
      <c r="J552" s="20">
        <v>44550</v>
      </c>
      <c r="K552" s="43">
        <v>2.1107999999999998</v>
      </c>
      <c r="L552" s="43"/>
      <c r="M552"/>
    </row>
    <row r="553" spans="1:13">
      <c r="A553" s="20">
        <v>44547</v>
      </c>
      <c r="D553" s="20">
        <v>44551</v>
      </c>
      <c r="E553" s="43">
        <v>70.260000000000005</v>
      </c>
      <c r="F553" s="43">
        <v>2.1122999999999998</v>
      </c>
      <c r="G553"/>
      <c r="J553" s="20">
        <v>44551</v>
      </c>
      <c r="K553" s="43">
        <v>2.1122999999999998</v>
      </c>
      <c r="L553" s="43"/>
      <c r="M553"/>
    </row>
    <row r="554" spans="1:13">
      <c r="A554" s="20">
        <v>44550</v>
      </c>
      <c r="D554" s="20">
        <v>44552</v>
      </c>
      <c r="E554" s="43">
        <v>71</v>
      </c>
      <c r="F554" s="43">
        <v>2.1644000000000001</v>
      </c>
      <c r="G554"/>
      <c r="J554" s="20">
        <v>44552</v>
      </c>
      <c r="K554" s="43">
        <v>2.1644000000000001</v>
      </c>
      <c r="L554" s="43"/>
      <c r="M554"/>
    </row>
    <row r="555" spans="1:13">
      <c r="A555" s="20">
        <v>44551</v>
      </c>
      <c r="D555" s="20">
        <v>44553</v>
      </c>
      <c r="E555" s="43">
        <v>70.349999999999994</v>
      </c>
      <c r="F555" s="43">
        <v>2.1126</v>
      </c>
      <c r="G555"/>
      <c r="J555" s="20">
        <v>44553</v>
      </c>
      <c r="K555" s="43">
        <v>2.1126</v>
      </c>
      <c r="L555" s="43"/>
      <c r="M555"/>
    </row>
    <row r="556" spans="1:13">
      <c r="A556" s="20">
        <v>44552</v>
      </c>
      <c r="D556" s="20">
        <v>44554</v>
      </c>
      <c r="E556" s="43">
        <v>69.459999999999994</v>
      </c>
      <c r="F556" s="43">
        <v>2.0785999999999998</v>
      </c>
      <c r="G556"/>
      <c r="J556" s="20">
        <v>44554</v>
      </c>
      <c r="K556" s="43">
        <v>2.0785999999999998</v>
      </c>
      <c r="L556" s="43"/>
      <c r="M556"/>
    </row>
    <row r="557" spans="1:13">
      <c r="A557" s="20">
        <v>44553</v>
      </c>
      <c r="D557" s="20">
        <v>44557</v>
      </c>
      <c r="E557" s="43">
        <v>70.37</v>
      </c>
      <c r="F557" s="43">
        <v>2.1448</v>
      </c>
      <c r="G557"/>
      <c r="J557" s="20">
        <v>44557</v>
      </c>
      <c r="K557" s="43">
        <v>2.1448</v>
      </c>
      <c r="L557" s="43"/>
      <c r="M557"/>
    </row>
    <row r="558" spans="1:13">
      <c r="A558" s="20">
        <v>44554</v>
      </c>
      <c r="D558" s="20">
        <v>44558</v>
      </c>
      <c r="E558" s="43">
        <v>70.89</v>
      </c>
      <c r="F558" s="43">
        <v>2.165</v>
      </c>
      <c r="G558"/>
      <c r="J558" s="20">
        <v>44558</v>
      </c>
      <c r="K558" s="43">
        <v>2.165</v>
      </c>
      <c r="L558" s="43"/>
      <c r="M558"/>
    </row>
    <row r="559" spans="1:13">
      <c r="A559" s="20">
        <v>44557</v>
      </c>
      <c r="D559" s="20">
        <v>44559</v>
      </c>
      <c r="E559" s="43">
        <v>71.17</v>
      </c>
      <c r="F559" s="43">
        <v>2.2033</v>
      </c>
      <c r="G559"/>
      <c r="J559" s="20">
        <v>44559</v>
      </c>
      <c r="K559" s="43">
        <v>2.2033</v>
      </c>
      <c r="L559" s="43"/>
      <c r="M559"/>
    </row>
    <row r="560" spans="1:13">
      <c r="A560" s="20">
        <v>44558</v>
      </c>
      <c r="D560" s="20">
        <v>44560</v>
      </c>
      <c r="E560" s="43">
        <v>71.58</v>
      </c>
      <c r="F560" s="43">
        <v>2.2303999999999999</v>
      </c>
      <c r="G560"/>
      <c r="J560" s="20">
        <v>44560</v>
      </c>
      <c r="K560" s="43">
        <v>2.2303999999999999</v>
      </c>
      <c r="L560" s="43"/>
      <c r="M560"/>
    </row>
    <row r="561" spans="1:13">
      <c r="A561" s="20">
        <v>44559</v>
      </c>
      <c r="D561" s="20">
        <v>44561</v>
      </c>
      <c r="E561" s="43">
        <v>71.650000000000006</v>
      </c>
      <c r="F561" s="43">
        <v>2.246</v>
      </c>
      <c r="G561"/>
      <c r="J561" s="20">
        <v>44561</v>
      </c>
      <c r="K561" s="43">
        <v>2.246</v>
      </c>
      <c r="L561" s="43"/>
      <c r="M561"/>
    </row>
    <row r="562" spans="1:13">
      <c r="A562" s="20">
        <v>44560</v>
      </c>
      <c r="D562" s="20">
        <v>44564</v>
      </c>
      <c r="E562" s="43">
        <v>65.25</v>
      </c>
      <c r="F562" s="43">
        <v>2.2665999999999999</v>
      </c>
      <c r="G562"/>
      <c r="J562" s="20">
        <v>44564</v>
      </c>
      <c r="K562" s="43">
        <v>2.2665999999999999</v>
      </c>
      <c r="L562" s="43"/>
      <c r="M562"/>
    </row>
    <row r="563" spans="1:13">
      <c r="A563" s="20">
        <v>44561</v>
      </c>
      <c r="D563" s="20">
        <v>44565</v>
      </c>
      <c r="E563" s="43">
        <v>71.77</v>
      </c>
      <c r="F563" s="43">
        <v>2.2913999999999999</v>
      </c>
      <c r="G563"/>
      <c r="J563" s="20">
        <v>44565</v>
      </c>
      <c r="K563" s="43">
        <v>2.2913999999999999</v>
      </c>
      <c r="L563" s="43"/>
      <c r="M563"/>
    </row>
    <row r="564" spans="1:13">
      <c r="A564" s="20">
        <v>44564</v>
      </c>
      <c r="D564" s="20">
        <v>44566</v>
      </c>
      <c r="E564" s="43">
        <v>71.69</v>
      </c>
      <c r="F564" s="43">
        <v>2.2246000000000001</v>
      </c>
      <c r="G564"/>
      <c r="J564" s="20">
        <v>44566</v>
      </c>
      <c r="K564" s="43">
        <v>2.2246000000000001</v>
      </c>
      <c r="L564" s="43"/>
      <c r="M564"/>
    </row>
    <row r="565" spans="1:13">
      <c r="A565" s="20">
        <v>44565</v>
      </c>
      <c r="D565" s="20">
        <v>44567</v>
      </c>
      <c r="E565" s="43">
        <v>76</v>
      </c>
      <c r="F565" s="43">
        <v>2.2565</v>
      </c>
      <c r="G565"/>
      <c r="J565" s="20">
        <v>44567</v>
      </c>
      <c r="K565" s="43">
        <v>2.2565</v>
      </c>
      <c r="L565" s="43">
        <v>3.4450000000000003</v>
      </c>
      <c r="M565"/>
    </row>
    <row r="566" spans="1:13">
      <c r="A566" s="20">
        <v>44566</v>
      </c>
      <c r="D566" s="20">
        <v>44568</v>
      </c>
      <c r="E566" s="43">
        <v>76.86</v>
      </c>
      <c r="F566" s="43">
        <v>2.2763</v>
      </c>
      <c r="G566"/>
      <c r="J566" s="20">
        <v>44568</v>
      </c>
      <c r="K566" s="43">
        <v>2.2763</v>
      </c>
      <c r="L566" s="43"/>
      <c r="M566"/>
    </row>
    <row r="567" spans="1:13">
      <c r="A567" s="20">
        <v>44567</v>
      </c>
      <c r="B567" s="43">
        <v>3.4450000000000003</v>
      </c>
      <c r="D567" s="20">
        <v>44571</v>
      </c>
      <c r="E567" s="43">
        <v>77.59</v>
      </c>
      <c r="F567" s="43">
        <v>2.2921</v>
      </c>
      <c r="G567"/>
      <c r="J567" s="20">
        <v>44571</v>
      </c>
      <c r="K567" s="43">
        <v>2.2921</v>
      </c>
      <c r="L567" s="43"/>
      <c r="M567"/>
    </row>
    <row r="568" spans="1:13">
      <c r="A568" s="20">
        <v>44568</v>
      </c>
      <c r="D568" s="20">
        <v>44572</v>
      </c>
      <c r="E568" s="43">
        <v>78.88</v>
      </c>
      <c r="F568" s="43">
        <v>2.3043</v>
      </c>
      <c r="G568"/>
      <c r="J568" s="20">
        <v>44572</v>
      </c>
      <c r="K568" s="43">
        <v>2.3043</v>
      </c>
      <c r="L568" s="43"/>
      <c r="M568"/>
    </row>
    <row r="569" spans="1:13">
      <c r="A569" s="20">
        <v>44571</v>
      </c>
      <c r="D569" s="20">
        <v>44573</v>
      </c>
      <c r="E569" s="43">
        <v>78.48</v>
      </c>
      <c r="F569" s="43">
        <v>2.2989000000000002</v>
      </c>
      <c r="G569"/>
      <c r="J569" s="20">
        <v>44573</v>
      </c>
      <c r="K569" s="43">
        <v>2.2989000000000002</v>
      </c>
      <c r="L569" s="43"/>
      <c r="M569"/>
    </row>
    <row r="570" spans="1:13">
      <c r="A570" s="20">
        <v>44572</v>
      </c>
      <c r="D570" s="20">
        <v>44574</v>
      </c>
      <c r="E570" s="43">
        <v>77.95</v>
      </c>
      <c r="F570" s="43">
        <v>2.2753999999999999</v>
      </c>
      <c r="G570"/>
      <c r="J570" s="20">
        <v>44574</v>
      </c>
      <c r="K570" s="43">
        <v>2.2753999999999999</v>
      </c>
      <c r="L570" s="43"/>
      <c r="M570"/>
    </row>
    <row r="571" spans="1:13">
      <c r="A571" s="20">
        <v>44573</v>
      </c>
      <c r="D571" s="20">
        <v>44575</v>
      </c>
      <c r="E571" s="43">
        <v>80.040000000000006</v>
      </c>
      <c r="F571" s="43">
        <v>2.3574000000000002</v>
      </c>
      <c r="G571"/>
      <c r="J571" s="20">
        <v>44575</v>
      </c>
      <c r="K571" s="43">
        <v>2.3574000000000002</v>
      </c>
      <c r="L571" s="43"/>
      <c r="M571"/>
    </row>
    <row r="572" spans="1:13">
      <c r="A572" s="20">
        <v>44574</v>
      </c>
      <c r="D572" s="20">
        <v>44578</v>
      </c>
      <c r="E572" s="43">
        <v>80.94</v>
      </c>
      <c r="F572" s="43">
        <v>2.3908</v>
      </c>
      <c r="G572"/>
      <c r="J572" s="20">
        <v>44578</v>
      </c>
      <c r="K572" s="43">
        <v>2.3908</v>
      </c>
      <c r="L572" s="43"/>
      <c r="M572"/>
    </row>
    <row r="573" spans="1:13">
      <c r="A573" s="20">
        <v>44575</v>
      </c>
      <c r="D573" s="20">
        <v>44579</v>
      </c>
      <c r="E573" s="43">
        <v>80.67</v>
      </c>
      <c r="F573" s="43">
        <v>2.3877000000000002</v>
      </c>
      <c r="G573"/>
      <c r="J573" s="20">
        <v>44579</v>
      </c>
      <c r="K573" s="43">
        <v>2.3877000000000002</v>
      </c>
      <c r="L573" s="43"/>
      <c r="M573"/>
    </row>
    <row r="574" spans="1:13">
      <c r="A574" s="20">
        <v>44578</v>
      </c>
      <c r="D574" s="20">
        <v>44580</v>
      </c>
      <c r="E574" s="43">
        <v>81.59</v>
      </c>
      <c r="F574" s="43">
        <v>2.4237000000000002</v>
      </c>
      <c r="G574"/>
      <c r="J574" s="20">
        <v>44580</v>
      </c>
      <c r="K574" s="43">
        <v>2.4237000000000002</v>
      </c>
      <c r="L574" s="43"/>
      <c r="M574"/>
    </row>
    <row r="575" spans="1:13">
      <c r="A575" s="20">
        <v>44579</v>
      </c>
      <c r="D575" s="20">
        <v>44581</v>
      </c>
      <c r="E575" s="43">
        <v>82.37</v>
      </c>
      <c r="F575" s="43">
        <v>2.4386999999999999</v>
      </c>
      <c r="G575"/>
      <c r="J575" s="20">
        <v>44581</v>
      </c>
      <c r="K575" s="43">
        <v>2.4386999999999999</v>
      </c>
      <c r="L575" s="43"/>
      <c r="M575"/>
    </row>
    <row r="576" spans="1:13">
      <c r="A576" s="20">
        <v>44580</v>
      </c>
      <c r="D576" s="20">
        <v>44582</v>
      </c>
      <c r="E576" s="43">
        <v>82.86</v>
      </c>
      <c r="F576" s="43">
        <v>2.4615</v>
      </c>
      <c r="G576"/>
      <c r="J576" s="20">
        <v>44582</v>
      </c>
      <c r="K576" s="43">
        <v>2.4615</v>
      </c>
      <c r="L576" s="43"/>
      <c r="M576"/>
    </row>
    <row r="577" spans="1:13">
      <c r="A577" s="20">
        <v>44581</v>
      </c>
      <c r="D577" s="20">
        <v>44585</v>
      </c>
      <c r="E577" s="43">
        <v>82.77</v>
      </c>
      <c r="F577" s="43">
        <v>2.4662000000000002</v>
      </c>
      <c r="G577"/>
      <c r="J577" s="20">
        <v>44585</v>
      </c>
      <c r="K577" s="43">
        <v>2.4662000000000002</v>
      </c>
      <c r="L577" s="43"/>
      <c r="M577"/>
    </row>
    <row r="578" spans="1:13">
      <c r="A578" s="20">
        <v>44582</v>
      </c>
      <c r="D578" s="20">
        <v>44586</v>
      </c>
      <c r="E578" s="43">
        <v>82.63</v>
      </c>
      <c r="F578" s="43">
        <v>2.4464999999999999</v>
      </c>
      <c r="G578"/>
      <c r="J578" s="20">
        <v>44586</v>
      </c>
      <c r="K578" s="43">
        <v>2.4464999999999999</v>
      </c>
      <c r="L578" s="43"/>
      <c r="M578"/>
    </row>
    <row r="579" spans="1:13">
      <c r="A579" s="20">
        <v>44585</v>
      </c>
      <c r="D579" s="20">
        <v>44587</v>
      </c>
      <c r="E579" s="43">
        <v>82.08</v>
      </c>
      <c r="F579" s="43">
        <v>2.4020999999999999</v>
      </c>
      <c r="G579"/>
      <c r="J579" s="20">
        <v>44587</v>
      </c>
      <c r="K579" s="43">
        <v>2.4020999999999999</v>
      </c>
      <c r="L579" s="43"/>
      <c r="M579"/>
    </row>
    <row r="580" spans="1:13">
      <c r="A580" s="20">
        <v>44586</v>
      </c>
      <c r="D580" s="20">
        <v>44588</v>
      </c>
      <c r="E580" s="43">
        <v>82.65</v>
      </c>
      <c r="F580" s="43">
        <v>2.4626000000000001</v>
      </c>
      <c r="G580"/>
      <c r="J580" s="20">
        <v>44588</v>
      </c>
      <c r="K580" s="43">
        <v>2.4626000000000001</v>
      </c>
      <c r="L580" s="43"/>
      <c r="M580"/>
    </row>
    <row r="581" spans="1:13">
      <c r="A581" s="20">
        <v>44587</v>
      </c>
      <c r="D581" s="20">
        <v>44589</v>
      </c>
      <c r="E581" s="43">
        <v>83</v>
      </c>
      <c r="F581" s="43">
        <v>2.5232000000000001</v>
      </c>
      <c r="G581"/>
      <c r="J581" s="20">
        <v>44589</v>
      </c>
      <c r="K581" s="43">
        <v>2.5232000000000001</v>
      </c>
      <c r="L581" s="43"/>
      <c r="M581"/>
    </row>
    <row r="582" spans="1:13">
      <c r="A582" s="20">
        <v>44588</v>
      </c>
      <c r="D582" s="20">
        <v>44592</v>
      </c>
      <c r="E582" s="43">
        <v>82.89</v>
      </c>
      <c r="F582" s="43">
        <v>2.5209999999999999</v>
      </c>
      <c r="G582"/>
      <c r="J582" s="20">
        <v>44592</v>
      </c>
      <c r="K582" s="43">
        <v>2.5209999999999999</v>
      </c>
      <c r="L582" s="43"/>
      <c r="M582"/>
    </row>
    <row r="583" spans="1:13">
      <c r="A583" s="20">
        <v>44589</v>
      </c>
      <c r="D583" s="20">
        <v>44593</v>
      </c>
      <c r="E583" s="43">
        <v>82.91</v>
      </c>
      <c r="F583" s="43">
        <v>2.5379</v>
      </c>
      <c r="G583"/>
      <c r="J583" s="20">
        <v>44593</v>
      </c>
      <c r="K583" s="43">
        <v>2.5379</v>
      </c>
      <c r="L583" s="43"/>
      <c r="M583"/>
    </row>
    <row r="584" spans="1:13">
      <c r="A584" s="20">
        <v>44592</v>
      </c>
      <c r="D584" s="20">
        <v>44594</v>
      </c>
      <c r="E584" s="43">
        <v>82.98</v>
      </c>
      <c r="F584" s="43">
        <v>2.5543999999999998</v>
      </c>
      <c r="G584"/>
      <c r="J584" s="20">
        <v>44594</v>
      </c>
      <c r="K584" s="43">
        <v>2.5543999999999998</v>
      </c>
      <c r="L584" s="43"/>
      <c r="M584"/>
    </row>
    <row r="585" spans="1:13">
      <c r="A585" s="20">
        <v>44593</v>
      </c>
      <c r="D585" s="20">
        <v>44595</v>
      </c>
      <c r="E585" s="43">
        <v>79.099999999999994</v>
      </c>
      <c r="F585" s="43">
        <v>2.5752000000000002</v>
      </c>
      <c r="G585"/>
      <c r="J585" s="20">
        <v>44595</v>
      </c>
      <c r="K585" s="43">
        <v>2.5752000000000002</v>
      </c>
      <c r="L585" s="43">
        <v>3.1989999999999998</v>
      </c>
      <c r="M585"/>
    </row>
    <row r="586" spans="1:13">
      <c r="A586" s="20">
        <v>44594</v>
      </c>
      <c r="D586" s="20">
        <v>44596</v>
      </c>
      <c r="E586" s="43">
        <v>87.93</v>
      </c>
      <c r="F586" s="43">
        <v>2.6070000000000002</v>
      </c>
      <c r="G586"/>
      <c r="J586" s="20">
        <v>44596</v>
      </c>
      <c r="K586" s="43">
        <v>2.6070000000000002</v>
      </c>
      <c r="L586" s="43"/>
      <c r="M586"/>
    </row>
    <row r="587" spans="1:13">
      <c r="A587" s="20">
        <v>44595</v>
      </c>
      <c r="B587" s="43">
        <v>3.1989999999999998</v>
      </c>
      <c r="D587" s="20">
        <v>44599</v>
      </c>
      <c r="E587" s="43">
        <v>89.67</v>
      </c>
      <c r="F587" s="43">
        <v>2.6427</v>
      </c>
      <c r="G587"/>
      <c r="J587" s="20">
        <v>44599</v>
      </c>
      <c r="K587" s="43">
        <v>2.6427</v>
      </c>
      <c r="L587" s="43"/>
      <c r="M587"/>
    </row>
    <row r="588" spans="1:13">
      <c r="A588" s="20">
        <v>44596</v>
      </c>
      <c r="D588" s="20">
        <v>44600</v>
      </c>
      <c r="E588" s="43">
        <v>91.36</v>
      </c>
      <c r="F588" s="43">
        <v>2.6785000000000001</v>
      </c>
      <c r="G588"/>
      <c r="J588" s="20">
        <v>44600</v>
      </c>
      <c r="K588" s="43">
        <v>2.6785000000000001</v>
      </c>
      <c r="L588" s="43"/>
      <c r="M588"/>
    </row>
    <row r="589" spans="1:13">
      <c r="A589" s="20">
        <v>44599</v>
      </c>
      <c r="D589" s="20">
        <v>44601</v>
      </c>
      <c r="E589" s="43">
        <v>90.67</v>
      </c>
      <c r="F589" s="43">
        <v>2.6852999999999998</v>
      </c>
      <c r="G589"/>
      <c r="J589" s="20">
        <v>44601</v>
      </c>
      <c r="K589" s="43">
        <v>2.6852999999999998</v>
      </c>
      <c r="L589" s="43"/>
      <c r="M589"/>
    </row>
    <row r="590" spans="1:13">
      <c r="A590" s="20">
        <v>44600</v>
      </c>
      <c r="D590" s="20">
        <v>44602</v>
      </c>
      <c r="E590" s="43">
        <v>89.24</v>
      </c>
      <c r="F590" s="43">
        <v>2.6251000000000002</v>
      </c>
      <c r="G590"/>
      <c r="J590" s="20">
        <v>44602</v>
      </c>
      <c r="K590" s="43">
        <v>2.6251000000000002</v>
      </c>
      <c r="L590" s="43"/>
      <c r="M590"/>
    </row>
    <row r="591" spans="1:13">
      <c r="A591" s="20">
        <v>44601</v>
      </c>
      <c r="D591" s="20">
        <v>44603</v>
      </c>
      <c r="E591" s="43">
        <v>89.51</v>
      </c>
      <c r="F591" s="43">
        <v>2.6534</v>
      </c>
      <c r="G591"/>
      <c r="J591" s="20">
        <v>44603</v>
      </c>
      <c r="K591" s="43">
        <v>2.6534</v>
      </c>
      <c r="L591" s="43"/>
      <c r="M591"/>
    </row>
    <row r="592" spans="1:13">
      <c r="A592" s="20">
        <v>44602</v>
      </c>
      <c r="D592" s="20">
        <v>44606</v>
      </c>
      <c r="E592" s="43">
        <v>89.61</v>
      </c>
      <c r="F592" s="43">
        <v>2.6654</v>
      </c>
      <c r="G592"/>
      <c r="J592" s="20">
        <v>44606</v>
      </c>
      <c r="K592" s="43">
        <v>2.6654</v>
      </c>
      <c r="L592" s="43"/>
      <c r="M592"/>
    </row>
    <row r="593" spans="1:13">
      <c r="A593" s="20">
        <v>44603</v>
      </c>
      <c r="D593" s="20">
        <v>44607</v>
      </c>
      <c r="E593" s="43">
        <v>91.4</v>
      </c>
      <c r="F593" s="43">
        <v>2.7385999999999999</v>
      </c>
      <c r="G593"/>
      <c r="J593" s="20">
        <v>44607</v>
      </c>
      <c r="K593" s="43">
        <v>2.7385999999999999</v>
      </c>
      <c r="L593" s="43"/>
      <c r="M593"/>
    </row>
    <row r="594" spans="1:13">
      <c r="A594" s="20">
        <v>44606</v>
      </c>
      <c r="D594" s="20">
        <v>44608</v>
      </c>
      <c r="E594" s="43">
        <v>92.59</v>
      </c>
      <c r="F594" s="43">
        <v>2.9068000000000001</v>
      </c>
      <c r="G594"/>
      <c r="J594" s="20">
        <v>44608</v>
      </c>
      <c r="K594" s="43">
        <v>2.9068000000000001</v>
      </c>
      <c r="L594" s="43"/>
      <c r="M594"/>
    </row>
    <row r="595" spans="1:13">
      <c r="A595" s="20">
        <v>44607</v>
      </c>
      <c r="D595" s="20">
        <v>44609</v>
      </c>
      <c r="E595" s="43">
        <v>91</v>
      </c>
      <c r="F595" s="43">
        <v>2.8094999999999999</v>
      </c>
      <c r="G595"/>
      <c r="J595" s="20">
        <v>44609</v>
      </c>
      <c r="K595" s="43">
        <v>2.8094999999999999</v>
      </c>
      <c r="L595" s="43"/>
      <c r="M595"/>
    </row>
    <row r="596" spans="1:13">
      <c r="A596" s="20">
        <v>44608</v>
      </c>
      <c r="D596" s="20">
        <v>44610</v>
      </c>
      <c r="E596" s="43">
        <v>91.68</v>
      </c>
      <c r="F596" s="43">
        <v>2.8283</v>
      </c>
      <c r="G596"/>
      <c r="J596" s="20">
        <v>44610</v>
      </c>
      <c r="K596" s="43">
        <v>2.8283</v>
      </c>
      <c r="L596" s="43"/>
      <c r="M596"/>
    </row>
    <row r="597" spans="1:13">
      <c r="A597" s="20">
        <v>44609</v>
      </c>
      <c r="D597" s="20">
        <v>44613</v>
      </c>
      <c r="E597" s="43">
        <v>91</v>
      </c>
      <c r="F597" s="43">
        <v>2.7959999999999998</v>
      </c>
      <c r="G597"/>
      <c r="J597" s="20">
        <v>44613</v>
      </c>
      <c r="K597" s="43">
        <v>2.7959999999999998</v>
      </c>
      <c r="L597" s="43">
        <v>3.4990000000000001</v>
      </c>
      <c r="M597"/>
    </row>
    <row r="598" spans="1:13">
      <c r="A598" s="20">
        <v>44610</v>
      </c>
      <c r="D598" s="20">
        <v>44614</v>
      </c>
      <c r="E598" s="43">
        <v>90.96</v>
      </c>
      <c r="F598" s="43">
        <v>2.8119000000000001</v>
      </c>
      <c r="G598"/>
      <c r="J598" s="20">
        <v>44614</v>
      </c>
      <c r="K598" s="43">
        <v>2.8119000000000001</v>
      </c>
      <c r="L598" s="43">
        <v>3.96</v>
      </c>
      <c r="M598"/>
    </row>
    <row r="599" spans="1:13">
      <c r="A599" s="20">
        <v>44613</v>
      </c>
      <c r="B599" s="43">
        <v>3.4990000000000001</v>
      </c>
      <c r="D599" s="20">
        <v>44615</v>
      </c>
      <c r="E599" s="43">
        <v>91.39</v>
      </c>
      <c r="F599" s="43">
        <v>2.8542999999999998</v>
      </c>
      <c r="G599"/>
      <c r="J599" s="20">
        <v>44615</v>
      </c>
      <c r="K599" s="43">
        <v>2.8542999999999998</v>
      </c>
      <c r="L599" s="43"/>
      <c r="M599"/>
    </row>
    <row r="600" spans="1:13">
      <c r="A600" s="20">
        <v>44614</v>
      </c>
      <c r="B600" s="43">
        <v>3.96</v>
      </c>
      <c r="D600" s="20">
        <v>44616</v>
      </c>
      <c r="E600" s="43">
        <v>91.43</v>
      </c>
      <c r="F600" s="43">
        <v>2.8759999999999999</v>
      </c>
      <c r="G600"/>
      <c r="J600" s="20">
        <v>44616</v>
      </c>
      <c r="K600" s="43">
        <v>2.8759999999999999</v>
      </c>
      <c r="L600" s="43"/>
      <c r="M600"/>
    </row>
    <row r="601" spans="1:13">
      <c r="A601" s="20">
        <v>44615</v>
      </c>
      <c r="D601" s="20">
        <v>44617</v>
      </c>
      <c r="E601" s="43">
        <v>91.54</v>
      </c>
      <c r="F601" s="43">
        <v>2.9165000000000001</v>
      </c>
      <c r="G601"/>
      <c r="J601" s="20">
        <v>44617</v>
      </c>
      <c r="K601" s="43">
        <v>2.9165000000000001</v>
      </c>
      <c r="L601" s="43"/>
      <c r="M601"/>
    </row>
    <row r="602" spans="1:13">
      <c r="A602" s="20">
        <v>44616</v>
      </c>
      <c r="D602" s="20">
        <v>44620</v>
      </c>
      <c r="E602" s="43">
        <v>91.41</v>
      </c>
      <c r="F602" s="43">
        <v>2.8740999999999999</v>
      </c>
      <c r="G602"/>
      <c r="J602" s="20">
        <v>44620</v>
      </c>
      <c r="K602" s="43">
        <v>2.8740999999999999</v>
      </c>
      <c r="L602" s="43">
        <v>3.92</v>
      </c>
      <c r="M602"/>
    </row>
    <row r="603" spans="1:13">
      <c r="A603" s="20">
        <v>44617</v>
      </c>
      <c r="D603" s="20">
        <v>44621</v>
      </c>
      <c r="E603" s="43">
        <v>91.63</v>
      </c>
      <c r="F603" s="43">
        <v>2.9325000000000001</v>
      </c>
      <c r="G603"/>
      <c r="J603" s="20">
        <v>44621</v>
      </c>
      <c r="K603" s="43">
        <v>2.9325000000000001</v>
      </c>
      <c r="L603" s="43"/>
      <c r="M603"/>
    </row>
    <row r="604" spans="1:13">
      <c r="A604" s="20">
        <v>44620</v>
      </c>
      <c r="B604" s="43">
        <v>3.92</v>
      </c>
      <c r="D604" s="20">
        <v>44622</v>
      </c>
      <c r="E604" s="43">
        <v>94.57</v>
      </c>
      <c r="F604" s="43">
        <v>3.0886999999999998</v>
      </c>
      <c r="G604"/>
      <c r="J604" s="20">
        <v>44622</v>
      </c>
      <c r="K604" s="43">
        <v>3.0886999999999998</v>
      </c>
      <c r="L604" s="43"/>
      <c r="M604"/>
    </row>
    <row r="605" spans="1:13">
      <c r="A605" s="20">
        <v>44621</v>
      </c>
      <c r="D605" s="20">
        <v>44623</v>
      </c>
      <c r="E605" s="43">
        <v>109.21</v>
      </c>
      <c r="F605" s="43">
        <v>3.3083</v>
      </c>
      <c r="G605"/>
      <c r="J605" s="20">
        <v>44623</v>
      </c>
      <c r="K605" s="43">
        <v>3.3083</v>
      </c>
      <c r="L605" s="43">
        <v>3.9</v>
      </c>
      <c r="M605"/>
    </row>
    <row r="606" spans="1:13">
      <c r="A606" s="20">
        <v>44622</v>
      </c>
      <c r="D606" s="20">
        <v>44624</v>
      </c>
      <c r="E606" s="43">
        <v>106.68</v>
      </c>
      <c r="F606" s="43">
        <v>3.2844000000000002</v>
      </c>
      <c r="G606"/>
      <c r="J606" s="20">
        <v>44624</v>
      </c>
      <c r="K606" s="43">
        <v>3.2844000000000002</v>
      </c>
      <c r="L606" s="43"/>
      <c r="M606"/>
    </row>
    <row r="607" spans="1:13">
      <c r="A607" s="20">
        <v>44623</v>
      </c>
      <c r="B607" s="43">
        <v>3.9</v>
      </c>
      <c r="D607" s="20">
        <v>44627</v>
      </c>
      <c r="E607" s="43">
        <v>113.49</v>
      </c>
      <c r="F607" s="43">
        <v>3.544</v>
      </c>
      <c r="G607"/>
      <c r="J607" s="20">
        <v>44627</v>
      </c>
      <c r="K607" s="43">
        <v>3.544</v>
      </c>
      <c r="L607" s="43"/>
      <c r="M607"/>
    </row>
    <row r="608" spans="1:13">
      <c r="A608" s="20">
        <v>44624</v>
      </c>
      <c r="D608" s="20">
        <v>44628</v>
      </c>
      <c r="E608" s="43">
        <v>116.55</v>
      </c>
      <c r="F608" s="43">
        <v>3.5720999999999998</v>
      </c>
      <c r="G608"/>
      <c r="J608" s="20">
        <v>44628</v>
      </c>
      <c r="K608" s="43">
        <v>3.5720999999999998</v>
      </c>
      <c r="L608" s="43">
        <v>3.85</v>
      </c>
      <c r="M608"/>
    </row>
    <row r="609" spans="1:13">
      <c r="A609" s="20">
        <v>44627</v>
      </c>
      <c r="D609" s="20">
        <v>44629</v>
      </c>
      <c r="E609" s="43">
        <v>119.78</v>
      </c>
      <c r="F609" s="43">
        <v>3.6825999999999999</v>
      </c>
      <c r="G609"/>
      <c r="J609" s="20">
        <v>44629</v>
      </c>
      <c r="K609" s="43">
        <v>3.6825999999999999</v>
      </c>
      <c r="L609" s="43"/>
      <c r="M609"/>
    </row>
    <row r="610" spans="1:13">
      <c r="A610" s="20">
        <v>44628</v>
      </c>
      <c r="B610" s="43">
        <v>3.85</v>
      </c>
      <c r="D610" s="20">
        <v>44630</v>
      </c>
      <c r="E610" s="43">
        <v>108.82</v>
      </c>
      <c r="F610" s="43">
        <v>3.2938000000000001</v>
      </c>
      <c r="G610"/>
      <c r="J610" s="20">
        <v>44630</v>
      </c>
      <c r="K610" s="43">
        <v>3.2938000000000001</v>
      </c>
      <c r="L610" s="43"/>
      <c r="M610"/>
    </row>
    <row r="611" spans="1:13">
      <c r="A611" s="20">
        <v>44629</v>
      </c>
      <c r="D611" s="20">
        <v>44631</v>
      </c>
      <c r="E611" s="43">
        <v>107.14</v>
      </c>
      <c r="F611" s="43">
        <v>3.1566999999999998</v>
      </c>
      <c r="G611"/>
      <c r="J611" s="20">
        <v>44631</v>
      </c>
      <c r="K611" s="43">
        <v>3.1566999999999998</v>
      </c>
      <c r="L611" s="43">
        <v>3.82</v>
      </c>
      <c r="M611"/>
    </row>
    <row r="612" spans="1:13">
      <c r="A612" s="20">
        <v>44630</v>
      </c>
      <c r="D612" s="20">
        <v>44634</v>
      </c>
      <c r="E612" s="43">
        <v>109.3</v>
      </c>
      <c r="F612" s="43">
        <v>3.3121</v>
      </c>
      <c r="G612"/>
      <c r="J612" s="20">
        <v>44634</v>
      </c>
      <c r="K612" s="43">
        <v>3.3121</v>
      </c>
      <c r="L612" s="43"/>
      <c r="M612"/>
    </row>
    <row r="613" spans="1:13">
      <c r="A613" s="20">
        <v>44631</v>
      </c>
      <c r="B613" s="43">
        <v>3.82</v>
      </c>
      <c r="D613" s="20">
        <v>44635</v>
      </c>
      <c r="E613" s="43">
        <v>102.67</v>
      </c>
      <c r="F613" s="43">
        <v>3.1339000000000001</v>
      </c>
      <c r="G613"/>
      <c r="J613" s="20">
        <v>44635</v>
      </c>
      <c r="K613" s="43">
        <v>3.1339000000000001</v>
      </c>
      <c r="L613" s="43">
        <v>4.1900000000000004</v>
      </c>
      <c r="M613"/>
    </row>
    <row r="614" spans="1:13">
      <c r="A614" s="20">
        <v>44634</v>
      </c>
      <c r="D614" s="20">
        <v>44636</v>
      </c>
      <c r="E614" s="43">
        <v>99.91</v>
      </c>
      <c r="F614" s="43">
        <v>2.9657</v>
      </c>
      <c r="G614"/>
      <c r="J614" s="20">
        <v>44636</v>
      </c>
      <c r="K614" s="43">
        <v>2.9657</v>
      </c>
      <c r="L614" s="43">
        <v>3.8</v>
      </c>
      <c r="M614"/>
    </row>
    <row r="615" spans="1:13">
      <c r="A615" s="20">
        <v>44635</v>
      </c>
      <c r="B615" s="43">
        <v>4.1900000000000004</v>
      </c>
      <c r="D615" s="20">
        <v>44637</v>
      </c>
      <c r="E615" s="43">
        <v>98.02</v>
      </c>
      <c r="F615" s="43">
        <v>2.952</v>
      </c>
      <c r="G615"/>
      <c r="J615" s="20">
        <v>44637</v>
      </c>
      <c r="K615" s="43">
        <v>2.952</v>
      </c>
      <c r="L615" s="43"/>
      <c r="M615"/>
    </row>
    <row r="616" spans="1:13">
      <c r="A616" s="20">
        <v>44636</v>
      </c>
      <c r="B616" s="43">
        <v>3.8</v>
      </c>
      <c r="D616" s="20">
        <v>44638</v>
      </c>
      <c r="E616" s="43">
        <v>105.32</v>
      </c>
      <c r="F616" s="43">
        <v>3.1821999999999999</v>
      </c>
      <c r="G616"/>
      <c r="J616" s="20">
        <v>44638</v>
      </c>
      <c r="K616" s="43">
        <v>3.1821999999999999</v>
      </c>
      <c r="L616" s="43"/>
      <c r="M616"/>
    </row>
    <row r="617" spans="1:13">
      <c r="A617" s="20">
        <v>44637</v>
      </c>
      <c r="D617" s="20">
        <v>44641</v>
      </c>
      <c r="E617" s="43">
        <v>105.99</v>
      </c>
      <c r="F617" s="43">
        <v>3.2059000000000002</v>
      </c>
      <c r="G617"/>
      <c r="J617" s="20">
        <v>44641</v>
      </c>
      <c r="K617" s="43">
        <v>3.2059000000000002</v>
      </c>
      <c r="L617" s="43"/>
      <c r="M617"/>
    </row>
    <row r="618" spans="1:13">
      <c r="A618" s="20">
        <v>44638</v>
      </c>
      <c r="D618" s="20">
        <v>44642</v>
      </c>
      <c r="E618" s="43">
        <v>108.73</v>
      </c>
      <c r="F618" s="43">
        <v>3.3378999999999999</v>
      </c>
      <c r="G618"/>
      <c r="J618" s="20">
        <v>44642</v>
      </c>
      <c r="K618" s="43">
        <v>3.3378999999999999</v>
      </c>
      <c r="L618" s="43">
        <v>3.82</v>
      </c>
      <c r="M618"/>
    </row>
    <row r="619" spans="1:13">
      <c r="A619" s="20">
        <v>44641</v>
      </c>
      <c r="D619" s="20">
        <v>44643</v>
      </c>
      <c r="E619" s="43">
        <v>108.5</v>
      </c>
      <c r="F619" s="43">
        <v>3.3046000000000002</v>
      </c>
      <c r="G619"/>
      <c r="J619" s="20">
        <v>44643</v>
      </c>
      <c r="K619" s="43">
        <v>3.3046000000000002</v>
      </c>
      <c r="L619" s="43"/>
      <c r="M619"/>
    </row>
    <row r="620" spans="1:13">
      <c r="A620" s="20">
        <v>44642</v>
      </c>
      <c r="B620" s="43">
        <v>3.82</v>
      </c>
      <c r="D620" s="20">
        <v>44644</v>
      </c>
      <c r="E620" s="43">
        <v>110.22</v>
      </c>
      <c r="F620" s="43">
        <v>3.4195000000000002</v>
      </c>
      <c r="G620"/>
      <c r="J620" s="20">
        <v>44644</v>
      </c>
      <c r="K620" s="43">
        <v>3.4195000000000002</v>
      </c>
      <c r="L620" s="43"/>
      <c r="M620"/>
    </row>
    <row r="621" spans="1:13">
      <c r="A621" s="20">
        <v>44643</v>
      </c>
      <c r="D621" s="20">
        <v>44645</v>
      </c>
      <c r="E621" s="43">
        <v>109.54</v>
      </c>
      <c r="F621" s="43">
        <v>3.3689</v>
      </c>
      <c r="G621"/>
      <c r="J621" s="20">
        <v>44645</v>
      </c>
      <c r="K621" s="43">
        <v>3.3689</v>
      </c>
      <c r="L621" s="43">
        <v>3.83</v>
      </c>
      <c r="M621"/>
    </row>
    <row r="622" spans="1:13">
      <c r="A622" s="20">
        <v>44644</v>
      </c>
      <c r="D622" s="20">
        <v>44648</v>
      </c>
      <c r="E622" s="43">
        <v>109.88</v>
      </c>
      <c r="F622" s="43">
        <v>3.4363000000000001</v>
      </c>
      <c r="G622"/>
      <c r="J622" s="20">
        <v>44648</v>
      </c>
      <c r="K622" s="43">
        <v>3.4363000000000001</v>
      </c>
      <c r="L622" s="43"/>
      <c r="M622"/>
    </row>
    <row r="623" spans="1:13">
      <c r="A623" s="20">
        <v>44645</v>
      </c>
      <c r="B623" s="43">
        <v>3.83</v>
      </c>
      <c r="D623" s="20">
        <v>44649</v>
      </c>
      <c r="E623" s="43">
        <v>108.5</v>
      </c>
      <c r="F623" s="43">
        <v>3.1962000000000002</v>
      </c>
      <c r="G623"/>
      <c r="J623" s="20">
        <v>44649</v>
      </c>
      <c r="K623" s="43">
        <v>3.1962000000000002</v>
      </c>
      <c r="L623" s="43"/>
      <c r="M623"/>
    </row>
    <row r="624" spans="1:13">
      <c r="A624" s="20">
        <v>44648</v>
      </c>
      <c r="D624" s="20">
        <v>44650</v>
      </c>
      <c r="E624" s="43">
        <v>108.28</v>
      </c>
      <c r="F624" s="43">
        <v>3.1766999999999999</v>
      </c>
      <c r="G624"/>
      <c r="J624" s="20">
        <v>44650</v>
      </c>
      <c r="K624" s="43">
        <v>3.1766999999999999</v>
      </c>
      <c r="L624" s="43">
        <v>3.82</v>
      </c>
      <c r="M624"/>
    </row>
    <row r="625" spans="1:13">
      <c r="A625" s="20">
        <v>44649</v>
      </c>
      <c r="D625" s="20">
        <v>44651</v>
      </c>
      <c r="E625" s="43">
        <v>107.74</v>
      </c>
      <c r="F625" s="43">
        <v>3.2864</v>
      </c>
      <c r="G625"/>
      <c r="J625" s="20">
        <v>44651</v>
      </c>
      <c r="K625" s="43">
        <v>3.2864</v>
      </c>
      <c r="L625" s="43"/>
      <c r="M625"/>
    </row>
    <row r="626" spans="1:13">
      <c r="A626" s="20">
        <v>44650</v>
      </c>
      <c r="B626" s="43">
        <v>3.82</v>
      </c>
      <c r="D626" s="20">
        <v>44652</v>
      </c>
      <c r="E626" s="43">
        <v>104.93</v>
      </c>
      <c r="F626" s="43">
        <v>3.1509</v>
      </c>
      <c r="G626"/>
      <c r="J626" s="20">
        <v>44652</v>
      </c>
      <c r="K626" s="43">
        <v>3.1509</v>
      </c>
      <c r="L626" s="43"/>
      <c r="M626"/>
    </row>
    <row r="627" spans="1:13">
      <c r="A627" s="20">
        <v>44651</v>
      </c>
      <c r="D627" s="20">
        <v>44655</v>
      </c>
      <c r="E627" s="43">
        <v>89.06</v>
      </c>
      <c r="F627" s="43">
        <v>3.1535000000000002</v>
      </c>
      <c r="G627"/>
      <c r="J627" s="20">
        <v>44655</v>
      </c>
      <c r="K627" s="43">
        <v>3.1535000000000002</v>
      </c>
      <c r="L627" s="43">
        <v>3.78</v>
      </c>
      <c r="M627"/>
    </row>
    <row r="628" spans="1:13">
      <c r="A628" s="20">
        <v>44652</v>
      </c>
      <c r="D628" s="20">
        <v>44656</v>
      </c>
      <c r="E628" s="43">
        <v>102.58</v>
      </c>
      <c r="F628" s="43">
        <v>3.1981000000000002</v>
      </c>
      <c r="G628"/>
      <c r="J628" s="20">
        <v>44656</v>
      </c>
      <c r="K628" s="43">
        <v>3.1981000000000002</v>
      </c>
      <c r="L628" s="43"/>
      <c r="M628"/>
    </row>
    <row r="629" spans="1:13">
      <c r="A629" s="20">
        <v>44655</v>
      </c>
      <c r="B629" s="43">
        <v>3.78</v>
      </c>
      <c r="D629" s="20">
        <v>44657</v>
      </c>
      <c r="E629" s="43">
        <v>101.44</v>
      </c>
      <c r="F629" s="43">
        <v>3.1648999999999998</v>
      </c>
      <c r="G629"/>
      <c r="J629" s="20">
        <v>44657</v>
      </c>
      <c r="K629" s="43">
        <v>3.1648999999999998</v>
      </c>
      <c r="L629" s="43"/>
      <c r="M629"/>
    </row>
    <row r="630" spans="1:13">
      <c r="A630" s="20">
        <v>44656</v>
      </c>
      <c r="D630" s="20">
        <v>44658</v>
      </c>
      <c r="E630" s="43">
        <v>96.73</v>
      </c>
      <c r="F630" s="43">
        <v>3.0461999999999998</v>
      </c>
      <c r="G630"/>
      <c r="J630" s="20">
        <v>44658</v>
      </c>
      <c r="K630" s="43">
        <v>3.0461999999999998</v>
      </c>
      <c r="L630" s="43">
        <v>3.92</v>
      </c>
      <c r="M630"/>
    </row>
    <row r="631" spans="1:13">
      <c r="A631" s="20">
        <v>44657</v>
      </c>
      <c r="D631" s="20">
        <v>44659</v>
      </c>
      <c r="E631" s="43">
        <v>96.68</v>
      </c>
      <c r="F631" s="43">
        <v>3.0398000000000001</v>
      </c>
      <c r="G631"/>
      <c r="J631" s="20">
        <v>44659</v>
      </c>
      <c r="K631" s="43">
        <v>3.0398000000000001</v>
      </c>
      <c r="L631" s="43"/>
      <c r="M631"/>
    </row>
    <row r="632" spans="1:13">
      <c r="A632" s="20">
        <v>44658</v>
      </c>
      <c r="B632" s="43">
        <v>3.92</v>
      </c>
      <c r="D632" s="20">
        <v>44662</v>
      </c>
      <c r="E632" s="43">
        <v>98.35</v>
      </c>
      <c r="F632" s="43">
        <v>3.1316000000000002</v>
      </c>
      <c r="G632"/>
      <c r="J632" s="20">
        <v>44662</v>
      </c>
      <c r="K632" s="43">
        <v>3.1316000000000002</v>
      </c>
      <c r="L632" s="43"/>
      <c r="M632"/>
    </row>
    <row r="633" spans="1:13">
      <c r="A633" s="20">
        <v>44659</v>
      </c>
      <c r="D633" s="20">
        <v>44663</v>
      </c>
      <c r="E633" s="43">
        <v>95.63</v>
      </c>
      <c r="F633" s="43">
        <v>3.0030999999999999</v>
      </c>
      <c r="G633"/>
      <c r="J633" s="20">
        <v>44663</v>
      </c>
      <c r="K633" s="43">
        <v>3.0030999999999999</v>
      </c>
      <c r="L633" s="43">
        <v>3.96</v>
      </c>
      <c r="M633"/>
    </row>
    <row r="634" spans="1:13">
      <c r="A634" s="20">
        <v>44662</v>
      </c>
      <c r="D634" s="20">
        <v>44664</v>
      </c>
      <c r="E634" s="43">
        <v>99.7</v>
      </c>
      <c r="F634" s="43">
        <v>3.1537999999999999</v>
      </c>
      <c r="G634"/>
      <c r="J634" s="20">
        <v>44664</v>
      </c>
      <c r="K634" s="43">
        <v>3.1537999999999999</v>
      </c>
      <c r="L634" s="43"/>
      <c r="M634"/>
    </row>
    <row r="635" spans="1:13">
      <c r="A635" s="20">
        <v>44663</v>
      </c>
      <c r="B635" s="43">
        <v>3.96</v>
      </c>
      <c r="D635" s="20">
        <v>44665</v>
      </c>
      <c r="E635" s="43">
        <v>101.89</v>
      </c>
      <c r="F635" s="43">
        <v>3.2913000000000001</v>
      </c>
      <c r="G635"/>
      <c r="J635" s="20">
        <v>44665</v>
      </c>
      <c r="K635" s="43">
        <v>3.2913000000000001</v>
      </c>
      <c r="L635" s="43"/>
      <c r="M635"/>
    </row>
    <row r="636" spans="1:13">
      <c r="A636" s="20">
        <v>44664</v>
      </c>
      <c r="D636" s="20">
        <v>44669</v>
      </c>
      <c r="E636" s="43">
        <v>103.33</v>
      </c>
      <c r="F636" s="43">
        <v>3.3814000000000002</v>
      </c>
      <c r="G636"/>
      <c r="J636" s="20">
        <v>44669</v>
      </c>
      <c r="K636" s="43">
        <v>3.3814000000000002</v>
      </c>
      <c r="L636" s="43"/>
      <c r="M636"/>
    </row>
    <row r="637" spans="1:13">
      <c r="A637" s="20">
        <v>44665</v>
      </c>
      <c r="D637" s="20">
        <v>44670</v>
      </c>
      <c r="E637" s="43">
        <v>103.95</v>
      </c>
      <c r="F637" s="43">
        <v>3.3580000000000001</v>
      </c>
      <c r="G637"/>
      <c r="J637" s="20">
        <v>44670</v>
      </c>
      <c r="K637" s="43">
        <v>3.3580000000000001</v>
      </c>
      <c r="L637" s="43">
        <v>4.05</v>
      </c>
      <c r="M637"/>
    </row>
    <row r="638" spans="1:13">
      <c r="A638" s="20">
        <v>44669</v>
      </c>
      <c r="D638" s="20">
        <v>44671</v>
      </c>
      <c r="E638" s="43">
        <v>101.44</v>
      </c>
      <c r="F638" s="43">
        <v>3.2288999999999999</v>
      </c>
      <c r="G638"/>
      <c r="J638" s="20">
        <v>44671</v>
      </c>
      <c r="K638" s="43">
        <v>3.2288999999999999</v>
      </c>
      <c r="L638" s="43"/>
      <c r="M638"/>
    </row>
    <row r="639" spans="1:13">
      <c r="A639" s="20">
        <v>44670</v>
      </c>
      <c r="B639" s="43">
        <v>4.05</v>
      </c>
      <c r="D639" s="20">
        <v>44672</v>
      </c>
      <c r="E639" s="43">
        <v>101.5</v>
      </c>
      <c r="F639" s="43">
        <v>3.2618</v>
      </c>
      <c r="G639"/>
      <c r="J639" s="20">
        <v>44672</v>
      </c>
      <c r="K639" s="43">
        <v>3.2618</v>
      </c>
      <c r="L639" s="43"/>
      <c r="M639"/>
    </row>
    <row r="640" spans="1:13">
      <c r="A640" s="20">
        <v>44671</v>
      </c>
      <c r="D640" s="20">
        <v>44673</v>
      </c>
      <c r="E640" s="43">
        <v>102.06</v>
      </c>
      <c r="F640" s="43">
        <v>3.3174999999999999</v>
      </c>
      <c r="G640"/>
      <c r="J640" s="20">
        <v>44673</v>
      </c>
      <c r="K640" s="43">
        <v>3.3174999999999999</v>
      </c>
      <c r="L640" s="43">
        <v>4.17</v>
      </c>
      <c r="M640"/>
    </row>
    <row r="641" spans="1:13">
      <c r="A641" s="20">
        <v>44672</v>
      </c>
      <c r="D641" s="20">
        <v>44676</v>
      </c>
      <c r="E641" s="43">
        <v>101.54</v>
      </c>
      <c r="F641" s="43">
        <v>3.286</v>
      </c>
      <c r="G641"/>
      <c r="J641" s="20">
        <v>44676</v>
      </c>
      <c r="K641" s="43">
        <v>3.286</v>
      </c>
      <c r="L641" s="43"/>
      <c r="M641"/>
    </row>
    <row r="642" spans="1:13">
      <c r="A642" s="20">
        <v>44673</v>
      </c>
      <c r="B642" s="43">
        <v>4.17</v>
      </c>
      <c r="D642" s="20">
        <v>44677</v>
      </c>
      <c r="E642" s="43">
        <v>100.66</v>
      </c>
      <c r="F642" s="43">
        <v>3.2206000000000001</v>
      </c>
      <c r="G642"/>
      <c r="J642" s="20">
        <v>44677</v>
      </c>
      <c r="K642" s="43">
        <v>3.2206000000000001</v>
      </c>
      <c r="L642" s="43"/>
      <c r="M642"/>
    </row>
    <row r="643" spans="1:13">
      <c r="A643" s="20">
        <v>44676</v>
      </c>
      <c r="D643" s="20">
        <v>44678</v>
      </c>
      <c r="E643" s="43">
        <v>101.29</v>
      </c>
      <c r="F643" s="43">
        <v>3.3109999999999999</v>
      </c>
      <c r="G643"/>
      <c r="J643" s="20">
        <v>44678</v>
      </c>
      <c r="K643" s="43">
        <v>3.3109999999999999</v>
      </c>
      <c r="L643" s="43">
        <v>4.2300000000000004</v>
      </c>
      <c r="M643"/>
    </row>
    <row r="644" spans="1:13">
      <c r="A644" s="20">
        <v>44677</v>
      </c>
      <c r="D644" s="20">
        <v>44679</v>
      </c>
      <c r="E644" s="43">
        <v>101.34</v>
      </c>
      <c r="F644" s="43">
        <v>3.4135</v>
      </c>
      <c r="G644"/>
      <c r="J644" s="20">
        <v>44679</v>
      </c>
      <c r="K644" s="43">
        <v>3.4135</v>
      </c>
      <c r="L644" s="43"/>
      <c r="M644"/>
    </row>
    <row r="645" spans="1:13">
      <c r="A645" s="20">
        <v>44678</v>
      </c>
      <c r="B645" s="43">
        <v>4.2300000000000004</v>
      </c>
      <c r="D645" s="20">
        <v>44680</v>
      </c>
      <c r="E645" s="43">
        <v>101.67</v>
      </c>
      <c r="F645" s="43">
        <v>3.4759000000000002</v>
      </c>
      <c r="G645"/>
      <c r="J645" s="20">
        <v>44680</v>
      </c>
      <c r="K645" s="43">
        <v>3.4759000000000002</v>
      </c>
      <c r="L645" s="43">
        <v>3.99</v>
      </c>
      <c r="M645"/>
    </row>
    <row r="646" spans="1:13">
      <c r="A646" s="20">
        <v>44679</v>
      </c>
      <c r="D646" s="20">
        <v>44683</v>
      </c>
      <c r="E646" s="43">
        <v>101.64</v>
      </c>
      <c r="F646" s="43">
        <v>3.4424000000000001</v>
      </c>
      <c r="G646"/>
      <c r="J646" s="20">
        <v>44683</v>
      </c>
      <c r="K646" s="43">
        <v>3.4424000000000001</v>
      </c>
      <c r="L646" s="43">
        <v>4.24</v>
      </c>
      <c r="M646"/>
    </row>
    <row r="647" spans="1:13">
      <c r="A647" s="20">
        <v>44680</v>
      </c>
      <c r="B647" s="43">
        <v>3.99</v>
      </c>
      <c r="D647" s="20">
        <v>44684</v>
      </c>
      <c r="E647" s="43">
        <v>104.67</v>
      </c>
      <c r="F647" s="43">
        <v>3.5101</v>
      </c>
      <c r="G647"/>
      <c r="J647" s="20">
        <v>44684</v>
      </c>
      <c r="K647" s="43">
        <v>3.5101</v>
      </c>
      <c r="L647" s="43"/>
      <c r="M647"/>
    </row>
    <row r="648" spans="1:13">
      <c r="A648" s="20">
        <v>44683</v>
      </c>
      <c r="B648" s="43">
        <v>4.24</v>
      </c>
      <c r="D648" s="20">
        <v>44685</v>
      </c>
      <c r="E648" s="43">
        <v>102.11</v>
      </c>
      <c r="F648" s="43">
        <v>3.5011999999999999</v>
      </c>
      <c r="G648"/>
      <c r="J648" s="20">
        <v>44685</v>
      </c>
      <c r="K648" s="43">
        <v>3.5011999999999999</v>
      </c>
      <c r="L648" s="43">
        <v>4.25</v>
      </c>
      <c r="M648"/>
    </row>
    <row r="649" spans="1:13">
      <c r="A649" s="20">
        <v>44684</v>
      </c>
      <c r="D649" s="20">
        <v>44686</v>
      </c>
      <c r="E649" s="43">
        <v>106.97</v>
      </c>
      <c r="F649" s="43">
        <v>3.6522999999999999</v>
      </c>
      <c r="G649"/>
      <c r="J649" s="20">
        <v>44686</v>
      </c>
      <c r="K649" s="43">
        <v>3.6522999999999999</v>
      </c>
      <c r="L649" s="43"/>
      <c r="M649"/>
    </row>
    <row r="650" spans="1:13">
      <c r="A650" s="20">
        <v>44685</v>
      </c>
      <c r="B650" s="43">
        <v>4.25</v>
      </c>
      <c r="D650" s="20">
        <v>44687</v>
      </c>
      <c r="E650" s="43">
        <v>107.38</v>
      </c>
      <c r="F650" s="43">
        <v>3.6587000000000001</v>
      </c>
      <c r="G650"/>
      <c r="J650" s="20">
        <v>44687</v>
      </c>
      <c r="K650" s="43">
        <v>3.6587000000000001</v>
      </c>
      <c r="L650" s="43"/>
      <c r="M650"/>
    </row>
    <row r="651" spans="1:13">
      <c r="A651" s="20">
        <v>44686</v>
      </c>
      <c r="D651" s="20">
        <v>44690</v>
      </c>
      <c r="E651" s="43">
        <v>108.62</v>
      </c>
      <c r="F651" s="43">
        <v>3.7589999999999999</v>
      </c>
      <c r="G651"/>
      <c r="J651" s="20">
        <v>44690</v>
      </c>
      <c r="K651" s="43">
        <v>3.7589999999999999</v>
      </c>
      <c r="L651" s="43"/>
      <c r="M651"/>
    </row>
    <row r="652" spans="1:13">
      <c r="A652" s="20">
        <v>44687</v>
      </c>
      <c r="D652" s="20">
        <v>44691</v>
      </c>
      <c r="E652" s="43">
        <v>103.57</v>
      </c>
      <c r="F652" s="43">
        <v>3.6419000000000001</v>
      </c>
      <c r="G652"/>
      <c r="J652" s="20">
        <v>44691</v>
      </c>
      <c r="K652" s="43">
        <v>3.6419000000000001</v>
      </c>
      <c r="L652" s="43">
        <v>4.37</v>
      </c>
      <c r="M652"/>
    </row>
    <row r="653" spans="1:13">
      <c r="A653" s="20">
        <v>44690</v>
      </c>
      <c r="D653" s="20">
        <v>44692</v>
      </c>
      <c r="E653" s="43">
        <v>101.19</v>
      </c>
      <c r="F653" s="43">
        <v>3.5415000000000001</v>
      </c>
      <c r="G653"/>
      <c r="J653" s="20">
        <v>44692</v>
      </c>
      <c r="K653" s="43">
        <v>3.5415000000000001</v>
      </c>
      <c r="L653" s="43"/>
      <c r="M653"/>
    </row>
    <row r="654" spans="1:13">
      <c r="A654" s="20">
        <v>44691</v>
      </c>
      <c r="B654" s="43">
        <v>4.37</v>
      </c>
      <c r="D654" s="20">
        <v>44693</v>
      </c>
      <c r="E654" s="43">
        <v>105.05</v>
      </c>
      <c r="F654" s="43">
        <v>3.6855000000000002</v>
      </c>
      <c r="G654"/>
      <c r="J654" s="20">
        <v>44693</v>
      </c>
      <c r="K654" s="43">
        <v>3.6855000000000002</v>
      </c>
      <c r="L654" s="43"/>
      <c r="M654"/>
    </row>
    <row r="655" spans="1:13">
      <c r="A655" s="20">
        <v>44692</v>
      </c>
      <c r="D655" s="20">
        <v>44694</v>
      </c>
      <c r="E655" s="43">
        <v>105.3</v>
      </c>
      <c r="F655" s="43">
        <v>3.7917000000000001</v>
      </c>
      <c r="G655"/>
      <c r="J655" s="20">
        <v>44694</v>
      </c>
      <c r="K655" s="43">
        <v>3.7917000000000001</v>
      </c>
      <c r="L655" s="43"/>
      <c r="M655"/>
    </row>
    <row r="656" spans="1:13">
      <c r="A656" s="20">
        <v>44693</v>
      </c>
      <c r="D656" s="20">
        <v>44697</v>
      </c>
      <c r="E656" s="43">
        <v>107.75</v>
      </c>
      <c r="F656" s="43">
        <v>3.9578000000000002</v>
      </c>
      <c r="G656"/>
      <c r="J656" s="20">
        <v>44697</v>
      </c>
      <c r="K656" s="43">
        <v>3.9578000000000002</v>
      </c>
      <c r="L656" s="43">
        <v>4.37</v>
      </c>
      <c r="M656"/>
    </row>
    <row r="657" spans="1:13">
      <c r="A657" s="20">
        <v>44694</v>
      </c>
      <c r="D657" s="20">
        <v>44698</v>
      </c>
      <c r="E657" s="43">
        <v>109.55</v>
      </c>
      <c r="F657" s="43">
        <v>3.8405</v>
      </c>
      <c r="G657"/>
      <c r="J657" s="20">
        <v>44698</v>
      </c>
      <c r="K657" s="43">
        <v>3.8405</v>
      </c>
      <c r="L657" s="43"/>
      <c r="M657"/>
    </row>
    <row r="658" spans="1:13">
      <c r="A658" s="20">
        <v>44697</v>
      </c>
      <c r="B658" s="43">
        <v>4.37</v>
      </c>
      <c r="D658" s="20">
        <v>44699</v>
      </c>
      <c r="E658" s="43">
        <v>108.58</v>
      </c>
      <c r="F658" s="43">
        <v>3.7763</v>
      </c>
      <c r="G658"/>
      <c r="J658" s="20">
        <v>44699</v>
      </c>
      <c r="K658" s="43">
        <v>3.7763</v>
      </c>
      <c r="L658" s="43"/>
      <c r="M658"/>
    </row>
    <row r="659" spans="1:13">
      <c r="A659" s="20">
        <v>44698</v>
      </c>
      <c r="D659" s="20">
        <v>44700</v>
      </c>
      <c r="E659" s="43">
        <v>107.44</v>
      </c>
      <c r="F659" s="43">
        <v>3.5912999999999999</v>
      </c>
      <c r="G659"/>
      <c r="J659" s="20">
        <v>44700</v>
      </c>
      <c r="K659" s="43">
        <v>3.5912999999999999</v>
      </c>
      <c r="L659" s="43">
        <v>4.3499999999999996</v>
      </c>
      <c r="M659"/>
    </row>
    <row r="660" spans="1:13">
      <c r="A660" s="20">
        <v>44699</v>
      </c>
      <c r="D660" s="20">
        <v>44701</v>
      </c>
      <c r="E660" s="43">
        <v>108.5</v>
      </c>
      <c r="F660" s="43">
        <v>3.6776</v>
      </c>
      <c r="G660"/>
      <c r="J660" s="20">
        <v>44701</v>
      </c>
      <c r="K660" s="43">
        <v>3.6776</v>
      </c>
      <c r="L660" s="43"/>
      <c r="M660"/>
    </row>
    <row r="661" spans="1:13">
      <c r="A661" s="20">
        <v>44700</v>
      </c>
      <c r="B661" s="43">
        <v>4.3499999999999996</v>
      </c>
      <c r="D661" s="20">
        <v>44704</v>
      </c>
      <c r="E661" s="43">
        <v>108.66</v>
      </c>
      <c r="F661" s="43">
        <v>3.6897000000000002</v>
      </c>
      <c r="G661"/>
      <c r="J661" s="20">
        <v>44704</v>
      </c>
      <c r="K661" s="43">
        <v>3.6897000000000002</v>
      </c>
      <c r="L661" s="43">
        <v>4.3600000000000003</v>
      </c>
      <c r="M661"/>
    </row>
    <row r="662" spans="1:13">
      <c r="A662" s="20">
        <v>44701</v>
      </c>
      <c r="D662" s="20">
        <v>44705</v>
      </c>
      <c r="E662" s="43">
        <v>108.67</v>
      </c>
      <c r="F662" s="43">
        <v>3.6802000000000001</v>
      </c>
      <c r="G662"/>
      <c r="J662" s="20">
        <v>44705</v>
      </c>
      <c r="K662" s="43">
        <v>3.6802000000000001</v>
      </c>
      <c r="L662" s="43">
        <v>4.3899999999999997</v>
      </c>
      <c r="M662"/>
    </row>
    <row r="663" spans="1:13">
      <c r="A663" s="20">
        <v>44704</v>
      </c>
      <c r="B663" s="43">
        <v>4.3600000000000003</v>
      </c>
      <c r="D663" s="20">
        <v>44706</v>
      </c>
      <c r="E663" s="43">
        <v>108.54</v>
      </c>
      <c r="F663" s="43">
        <v>3.6897000000000002</v>
      </c>
      <c r="G663"/>
      <c r="J663" s="20">
        <v>44706</v>
      </c>
      <c r="K663" s="43">
        <v>3.6897000000000002</v>
      </c>
      <c r="L663" s="43">
        <v>4.4400000000000004</v>
      </c>
      <c r="M663"/>
    </row>
    <row r="664" spans="1:13">
      <c r="A664" s="20">
        <v>44705</v>
      </c>
      <c r="B664" s="43">
        <v>4.3899999999999997</v>
      </c>
      <c r="D664" s="20">
        <v>44707</v>
      </c>
      <c r="E664" s="43">
        <v>108.65</v>
      </c>
      <c r="F664" s="43">
        <v>3.7252999999999998</v>
      </c>
      <c r="G664"/>
      <c r="J664" s="20">
        <v>44707</v>
      </c>
      <c r="K664" s="43">
        <v>3.7252999999999998</v>
      </c>
      <c r="L664" s="43">
        <v>4.51</v>
      </c>
      <c r="M664"/>
    </row>
    <row r="665" spans="1:13">
      <c r="A665" s="20">
        <v>44706</v>
      </c>
      <c r="B665" s="43">
        <v>4.4400000000000004</v>
      </c>
      <c r="D665" s="20">
        <v>44708</v>
      </c>
      <c r="E665" s="43">
        <v>109.19</v>
      </c>
      <c r="F665" s="43">
        <v>3.7924000000000002</v>
      </c>
      <c r="G665"/>
      <c r="J665" s="20">
        <v>44708</v>
      </c>
      <c r="K665" s="43">
        <v>3.7924000000000002</v>
      </c>
      <c r="L665" s="43">
        <v>4.5199999999999996</v>
      </c>
      <c r="M665"/>
    </row>
    <row r="666" spans="1:13">
      <c r="A666" s="20">
        <v>44707</v>
      </c>
      <c r="B666" s="43">
        <v>4.51</v>
      </c>
      <c r="D666" s="20">
        <v>44711</v>
      </c>
      <c r="E666" s="43">
        <v>100.97</v>
      </c>
      <c r="F666" s="43">
        <v>3.9119000000000002</v>
      </c>
      <c r="G666"/>
      <c r="J666" s="20">
        <v>44711</v>
      </c>
      <c r="K666" s="43">
        <v>3.9119000000000002</v>
      </c>
      <c r="L666" s="43">
        <v>4.5199999999999996</v>
      </c>
      <c r="M666"/>
    </row>
    <row r="667" spans="1:13">
      <c r="A667" s="20">
        <v>44708</v>
      </c>
      <c r="B667" s="43">
        <v>4.5199999999999996</v>
      </c>
      <c r="D667" s="20">
        <v>44712</v>
      </c>
      <c r="E667" s="43">
        <v>100.57</v>
      </c>
      <c r="F667" s="43">
        <v>3.9161999999999999</v>
      </c>
      <c r="G667"/>
      <c r="J667" s="20">
        <v>44712</v>
      </c>
      <c r="K667" s="43">
        <v>3.9161999999999999</v>
      </c>
      <c r="L667" s="43">
        <v>4.57</v>
      </c>
      <c r="M667"/>
    </row>
    <row r="668" spans="1:13">
      <c r="A668" s="20">
        <v>44711</v>
      </c>
      <c r="B668" s="43">
        <v>4.5199999999999996</v>
      </c>
      <c r="D668" s="20">
        <v>44713</v>
      </c>
      <c r="E668" s="43">
        <v>101.16</v>
      </c>
      <c r="F668" s="43">
        <v>4.0716000000000001</v>
      </c>
      <c r="G668"/>
      <c r="J668" s="20">
        <v>44713</v>
      </c>
      <c r="K668" s="43">
        <v>4.0716000000000001</v>
      </c>
      <c r="L668" s="43">
        <v>4.6500000000000004</v>
      </c>
      <c r="M668"/>
    </row>
    <row r="669" spans="1:13">
      <c r="A669" s="20">
        <v>44712</v>
      </c>
      <c r="B669" s="43">
        <v>4.57</v>
      </c>
      <c r="D669" s="20">
        <v>44714</v>
      </c>
      <c r="E669" s="43">
        <v>102.77</v>
      </c>
      <c r="F669" s="43">
        <v>4.1909000000000001</v>
      </c>
      <c r="G669"/>
      <c r="J669" s="20">
        <v>44714</v>
      </c>
      <c r="K669" s="43">
        <v>4.1909000000000001</v>
      </c>
      <c r="L669" s="43">
        <v>4.68</v>
      </c>
      <c r="M669"/>
    </row>
    <row r="670" spans="1:13">
      <c r="A670" s="20">
        <v>44713</v>
      </c>
      <c r="B670" s="43">
        <v>4.6500000000000004</v>
      </c>
      <c r="D670" s="20">
        <v>44715</v>
      </c>
      <c r="E670" s="43">
        <v>104.77</v>
      </c>
      <c r="F670" s="43">
        <v>4.2522000000000002</v>
      </c>
      <c r="G670"/>
      <c r="J670" s="20">
        <v>44715</v>
      </c>
      <c r="K670" s="43">
        <v>4.2522000000000002</v>
      </c>
      <c r="L670" s="43">
        <v>4.68</v>
      </c>
      <c r="M670"/>
    </row>
    <row r="671" spans="1:13">
      <c r="A671" s="20">
        <v>44714</v>
      </c>
      <c r="B671" s="43">
        <v>4.68</v>
      </c>
      <c r="D671" s="20">
        <v>44718</v>
      </c>
      <c r="E671" s="43">
        <v>104.4</v>
      </c>
      <c r="F671" s="43">
        <v>4.1929999999999996</v>
      </c>
      <c r="G671"/>
      <c r="J671" s="20">
        <v>44718</v>
      </c>
      <c r="K671" s="43">
        <v>4.1929999999999996</v>
      </c>
      <c r="L671" s="43">
        <v>4.6900000000000004</v>
      </c>
      <c r="M671"/>
    </row>
    <row r="672" spans="1:13">
      <c r="A672" s="20">
        <v>44715</v>
      </c>
      <c r="B672" s="43">
        <v>4.68</v>
      </c>
      <c r="D672" s="20">
        <v>44719</v>
      </c>
      <c r="E672" s="43">
        <v>105.31</v>
      </c>
      <c r="F672" s="43">
        <v>4.1577000000000002</v>
      </c>
      <c r="G672"/>
      <c r="J672" s="20">
        <v>44719</v>
      </c>
      <c r="K672" s="43">
        <v>4.1577000000000002</v>
      </c>
      <c r="L672" s="43">
        <v>4.68</v>
      </c>
      <c r="M672"/>
    </row>
    <row r="673" spans="1:13">
      <c r="A673" s="20">
        <v>44718</v>
      </c>
      <c r="B673" s="43">
        <v>4.6900000000000004</v>
      </c>
      <c r="D673" s="20">
        <v>44720</v>
      </c>
      <c r="E673" s="43">
        <v>108.01</v>
      </c>
      <c r="F673" s="43">
        <v>4.2218999999999998</v>
      </c>
      <c r="G673"/>
      <c r="J673" s="20">
        <v>44720</v>
      </c>
      <c r="K673" s="43">
        <v>4.2218999999999998</v>
      </c>
      <c r="L673" s="43">
        <v>4.67</v>
      </c>
      <c r="M673"/>
    </row>
    <row r="674" spans="1:13">
      <c r="A674" s="20">
        <v>44719</v>
      </c>
      <c r="B674" s="43">
        <v>4.68</v>
      </c>
      <c r="D674" s="20">
        <v>44721</v>
      </c>
      <c r="E674" s="43">
        <v>107.41</v>
      </c>
      <c r="F674" s="43">
        <v>4.2762000000000002</v>
      </c>
      <c r="G674"/>
      <c r="J674" s="20">
        <v>44721</v>
      </c>
      <c r="K674" s="43">
        <v>4.2762000000000002</v>
      </c>
      <c r="L674" s="43">
        <v>4.6500000000000004</v>
      </c>
      <c r="M674"/>
    </row>
    <row r="675" spans="1:13">
      <c r="A675" s="20">
        <v>44720</v>
      </c>
      <c r="B675" s="43">
        <v>4.67</v>
      </c>
      <c r="D675" s="20">
        <v>44722</v>
      </c>
      <c r="E675" s="43">
        <v>106.57</v>
      </c>
      <c r="F675" s="43">
        <v>4.1722000000000001</v>
      </c>
      <c r="G675"/>
      <c r="J675" s="20">
        <v>44722</v>
      </c>
      <c r="K675" s="43">
        <v>4.1722000000000001</v>
      </c>
      <c r="L675" s="43">
        <v>4.67</v>
      </c>
      <c r="M675"/>
    </row>
    <row r="676" spans="1:13">
      <c r="A676" s="20">
        <v>44721</v>
      </c>
      <c r="B676" s="43">
        <v>4.6500000000000004</v>
      </c>
      <c r="D676" s="20">
        <v>44725</v>
      </c>
      <c r="E676" s="43">
        <v>106.83</v>
      </c>
      <c r="F676" s="43">
        <v>4.0353000000000003</v>
      </c>
      <c r="G676"/>
      <c r="J676" s="20">
        <v>44725</v>
      </c>
      <c r="K676" s="43">
        <v>4.0353000000000003</v>
      </c>
      <c r="L676" s="43">
        <v>4.67</v>
      </c>
      <c r="M676"/>
    </row>
    <row r="677" spans="1:13">
      <c r="A677" s="20">
        <v>44722</v>
      </c>
      <c r="B677" s="43">
        <v>4.67</v>
      </c>
      <c r="D677" s="20">
        <v>44726</v>
      </c>
      <c r="E677" s="43">
        <v>104.83</v>
      </c>
      <c r="F677" s="43">
        <v>3.9937999999999998</v>
      </c>
      <c r="G677"/>
      <c r="J677" s="20">
        <v>44726</v>
      </c>
      <c r="K677" s="43">
        <v>3.9937999999999998</v>
      </c>
      <c r="L677" s="43">
        <v>4.66</v>
      </c>
      <c r="M677"/>
    </row>
    <row r="678" spans="1:13">
      <c r="A678" s="20">
        <v>44725</v>
      </c>
      <c r="B678" s="43">
        <v>4.67</v>
      </c>
      <c r="D678" s="20">
        <v>44727</v>
      </c>
      <c r="E678" s="43">
        <v>101.21</v>
      </c>
      <c r="F678" s="43">
        <v>3.8942000000000001</v>
      </c>
      <c r="G678"/>
      <c r="J678" s="20">
        <v>44727</v>
      </c>
      <c r="K678" s="43">
        <v>3.8942000000000001</v>
      </c>
      <c r="L678" s="43">
        <v>4.6399999999999997</v>
      </c>
      <c r="M678"/>
    </row>
    <row r="679" spans="1:13">
      <c r="A679" s="20">
        <v>44726</v>
      </c>
      <c r="B679" s="43">
        <v>4.66</v>
      </c>
      <c r="D679" s="20">
        <v>44728</v>
      </c>
      <c r="E679" s="43">
        <v>97.66</v>
      </c>
      <c r="F679" s="43">
        <v>3.9558</v>
      </c>
      <c r="G679"/>
      <c r="J679" s="20">
        <v>44728</v>
      </c>
      <c r="K679" s="43">
        <v>3.9558</v>
      </c>
      <c r="L679" s="43">
        <v>4.63</v>
      </c>
      <c r="M679"/>
    </row>
    <row r="680" spans="1:13">
      <c r="A680" s="20">
        <v>44727</v>
      </c>
      <c r="B680" s="43">
        <v>4.6399999999999997</v>
      </c>
      <c r="D680" s="20">
        <v>44729</v>
      </c>
      <c r="E680" s="43">
        <v>96</v>
      </c>
      <c r="F680" s="43">
        <v>3.7930000000000001</v>
      </c>
      <c r="G680"/>
      <c r="J680" s="20">
        <v>44729</v>
      </c>
      <c r="K680" s="43">
        <v>3.7930000000000001</v>
      </c>
      <c r="L680" s="43">
        <v>4.63</v>
      </c>
      <c r="M680"/>
    </row>
    <row r="681" spans="1:13">
      <c r="A681" s="20">
        <v>44728</v>
      </c>
      <c r="B681" s="43">
        <v>4.63</v>
      </c>
      <c r="D681" s="20">
        <v>44733</v>
      </c>
      <c r="E681" s="43">
        <v>95.42</v>
      </c>
      <c r="F681" s="43">
        <v>3.69</v>
      </c>
      <c r="G681"/>
      <c r="J681" s="20">
        <v>44733</v>
      </c>
      <c r="K681" s="43">
        <v>3.69</v>
      </c>
      <c r="L681" s="43">
        <v>4.59</v>
      </c>
      <c r="M681"/>
    </row>
    <row r="682" spans="1:13">
      <c r="A682" s="20">
        <v>44729</v>
      </c>
      <c r="B682" s="43">
        <v>4.63</v>
      </c>
      <c r="D682" s="20">
        <v>44734</v>
      </c>
      <c r="E682" s="43">
        <v>92.09</v>
      </c>
      <c r="F682" s="43">
        <v>3.7298</v>
      </c>
      <c r="G682"/>
      <c r="J682" s="20">
        <v>44734</v>
      </c>
      <c r="K682" s="43">
        <v>3.7298</v>
      </c>
      <c r="L682" s="43">
        <v>4.5599999999999996</v>
      </c>
      <c r="M682"/>
    </row>
    <row r="683" spans="1:13">
      <c r="A683" s="20">
        <v>44733</v>
      </c>
      <c r="B683" s="43">
        <v>4.59</v>
      </c>
      <c r="D683" s="20">
        <v>44735</v>
      </c>
      <c r="E683" s="43">
        <v>90.17</v>
      </c>
      <c r="F683" s="43">
        <v>3.661</v>
      </c>
      <c r="G683"/>
      <c r="J683" s="20">
        <v>44735</v>
      </c>
      <c r="K683" s="43">
        <v>3.661</v>
      </c>
      <c r="L683" s="43">
        <v>4.54</v>
      </c>
      <c r="M683"/>
    </row>
    <row r="684" spans="1:13">
      <c r="A684" s="20">
        <v>44734</v>
      </c>
      <c r="B684" s="43">
        <v>4.5599999999999996</v>
      </c>
      <c r="D684" s="20">
        <v>44736</v>
      </c>
      <c r="E684" s="43">
        <v>93.52</v>
      </c>
      <c r="F684" s="43">
        <v>3.72</v>
      </c>
      <c r="G684"/>
      <c r="J684" s="20">
        <v>44736</v>
      </c>
      <c r="K684" s="43">
        <v>3.72</v>
      </c>
      <c r="L684" s="43">
        <v>4.54</v>
      </c>
      <c r="M684"/>
    </row>
    <row r="685" spans="1:13">
      <c r="A685" s="20">
        <v>44735</v>
      </c>
      <c r="B685" s="43">
        <v>4.54</v>
      </c>
      <c r="D685" s="20">
        <v>44739</v>
      </c>
      <c r="E685" s="43">
        <v>97.66</v>
      </c>
      <c r="F685" s="43">
        <v>3.73</v>
      </c>
      <c r="G685"/>
      <c r="J685" s="20">
        <v>44739</v>
      </c>
      <c r="K685" s="43">
        <v>3.73</v>
      </c>
      <c r="L685" s="43">
        <v>4.5199999999999996</v>
      </c>
      <c r="M685"/>
    </row>
    <row r="686" spans="1:13">
      <c r="A686" s="20">
        <v>44736</v>
      </c>
      <c r="B686" s="43">
        <v>4.54</v>
      </c>
      <c r="D686"/>
      <c r="J686"/>
    </row>
    <row r="687" spans="1:13">
      <c r="A687" s="20">
        <v>44739</v>
      </c>
      <c r="B687" s="43">
        <v>4.5199999999999996</v>
      </c>
    </row>
  </sheetData>
  <pageMargins left="0.7" right="0.7" top="0.75" bottom="0.75" header="0.3" footer="0.3"/>
  <drawing r:id="rId4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9FA1FB-81EF-4DA3-A453-A3AB6E323374}">
  <sheetPr codeName="Sheet5"/>
  <dimension ref="A1:V688"/>
  <sheetViews>
    <sheetView topLeftCell="A65" workbookViewId="0">
      <selection activeCell="A4" sqref="A4:C688"/>
    </sheetView>
  </sheetViews>
  <sheetFormatPr defaultRowHeight="15.75"/>
  <cols>
    <col min="1" max="1" width="12.375" bestFit="1" customWidth="1"/>
    <col min="2" max="2" width="13.375" bestFit="1" customWidth="1"/>
    <col min="3" max="3" width="13" bestFit="1" customWidth="1"/>
    <col min="17" max="17" width="10.375" bestFit="1" customWidth="1"/>
    <col min="18" max="18" width="15.125" customWidth="1"/>
    <col min="19" max="19" width="14.75" customWidth="1"/>
    <col min="20" max="20" width="12.375" bestFit="1" customWidth="1"/>
    <col min="21" max="21" width="16.375" bestFit="1" customWidth="1"/>
    <col min="22" max="22" width="16.125" bestFit="1" customWidth="1"/>
  </cols>
  <sheetData>
    <row r="1" spans="1:22">
      <c r="Q1" s="21" t="s">
        <v>44</v>
      </c>
      <c r="R1" s="21" t="s">
        <v>34</v>
      </c>
      <c r="S1" s="21" t="s">
        <v>35</v>
      </c>
    </row>
    <row r="2" spans="1:22">
      <c r="Q2" s="15">
        <v>44706</v>
      </c>
      <c r="R2" s="25">
        <v>3.6897000000000002</v>
      </c>
      <c r="S2" s="25">
        <v>119.24</v>
      </c>
      <c r="T2" s="1" t="s">
        <v>0</v>
      </c>
      <c r="U2" t="s">
        <v>45</v>
      </c>
      <c r="V2" t="s">
        <v>46</v>
      </c>
    </row>
    <row r="3" spans="1:22">
      <c r="A3" s="1" t="s">
        <v>0</v>
      </c>
      <c r="B3" t="s">
        <v>34</v>
      </c>
      <c r="C3" t="s">
        <v>35</v>
      </c>
      <c r="Q3" s="15">
        <v>44705</v>
      </c>
      <c r="R3" s="25">
        <v>3.6802000000000001</v>
      </c>
      <c r="S3" s="25">
        <v>119.84</v>
      </c>
      <c r="T3" s="20">
        <v>43930</v>
      </c>
      <c r="U3" s="43">
        <v>0.49469999999999997</v>
      </c>
      <c r="V3" s="43">
        <v>12.41</v>
      </c>
    </row>
    <row r="4" spans="1:22">
      <c r="A4" s="20">
        <v>43769</v>
      </c>
      <c r="B4" s="25">
        <v>52.66</v>
      </c>
      <c r="C4" s="25">
        <v>1.5871</v>
      </c>
      <c r="D4" s="25"/>
      <c r="Q4" s="15">
        <v>44704</v>
      </c>
      <c r="R4" s="25">
        <v>3.6897000000000002</v>
      </c>
      <c r="S4" s="25">
        <v>120.3</v>
      </c>
      <c r="T4" s="20">
        <v>43934</v>
      </c>
      <c r="U4" s="43">
        <v>0.51049999999999995</v>
      </c>
      <c r="V4" s="43">
        <v>14.36</v>
      </c>
    </row>
    <row r="5" spans="1:22">
      <c r="A5" s="20">
        <v>43770</v>
      </c>
      <c r="B5" s="25">
        <v>53.32</v>
      </c>
      <c r="C5" s="25">
        <v>1.6233</v>
      </c>
      <c r="D5" s="25"/>
      <c r="Q5" s="15">
        <v>44701</v>
      </c>
      <c r="R5" s="25">
        <v>3.6776</v>
      </c>
      <c r="S5" s="25">
        <v>118.25</v>
      </c>
      <c r="T5" s="20">
        <v>43935</v>
      </c>
      <c r="U5" s="43">
        <v>0.60540000000000005</v>
      </c>
      <c r="V5" s="43">
        <v>18.05</v>
      </c>
    </row>
    <row r="6" spans="1:22">
      <c r="A6" s="20">
        <v>43773</v>
      </c>
      <c r="B6" s="25">
        <v>54.09</v>
      </c>
      <c r="C6" s="25">
        <v>1.6388</v>
      </c>
      <c r="D6" s="25"/>
      <c r="Q6" s="15">
        <v>44700</v>
      </c>
      <c r="R6" s="25">
        <v>3.5912999999999999</v>
      </c>
      <c r="S6" s="25">
        <v>117.47</v>
      </c>
      <c r="T6" s="20">
        <v>43936</v>
      </c>
      <c r="U6" s="43">
        <v>0.59799999999999998</v>
      </c>
      <c r="V6" s="43">
        <v>16.52</v>
      </c>
    </row>
    <row r="7" spans="1:22">
      <c r="A7" s="20">
        <v>43774</v>
      </c>
      <c r="B7" s="25">
        <v>53.41</v>
      </c>
      <c r="C7" s="25">
        <v>1.5702</v>
      </c>
      <c r="D7" s="25"/>
      <c r="Q7" s="15">
        <v>44699</v>
      </c>
      <c r="R7" s="25">
        <v>3.7763</v>
      </c>
      <c r="S7" s="25">
        <v>117.15</v>
      </c>
      <c r="T7" s="20">
        <v>43937</v>
      </c>
      <c r="U7" s="43">
        <v>0.61360000000000003</v>
      </c>
      <c r="V7" s="43">
        <v>18.36</v>
      </c>
    </row>
    <row r="8" spans="1:22">
      <c r="A8" s="20">
        <v>43775</v>
      </c>
      <c r="B8" s="25">
        <v>52.97</v>
      </c>
      <c r="C8" s="25">
        <v>1.5704</v>
      </c>
      <c r="D8" s="25"/>
      <c r="Q8" s="15">
        <v>44698</v>
      </c>
      <c r="R8" s="25">
        <v>3.8405</v>
      </c>
      <c r="S8" s="25">
        <v>114.62</v>
      </c>
      <c r="T8" s="20">
        <v>43938</v>
      </c>
      <c r="U8" s="43">
        <v>0.61680000000000001</v>
      </c>
      <c r="V8" s="43">
        <v>21.43</v>
      </c>
    </row>
    <row r="9" spans="1:22">
      <c r="A9" s="20">
        <v>43776</v>
      </c>
      <c r="B9" s="25">
        <v>53.26</v>
      </c>
      <c r="C9" s="25">
        <v>1.5842000000000001</v>
      </c>
      <c r="D9" s="25"/>
      <c r="Q9" s="15">
        <v>44697</v>
      </c>
      <c r="R9" s="25">
        <v>3.9578000000000002</v>
      </c>
      <c r="S9" s="25">
        <v>114.41</v>
      </c>
      <c r="T9" s="20">
        <v>43941</v>
      </c>
      <c r="U9" s="43">
        <v>0.5927</v>
      </c>
      <c r="V9" s="43">
        <v>22.4</v>
      </c>
    </row>
    <row r="10" spans="1:22">
      <c r="A10" s="20">
        <v>43777</v>
      </c>
      <c r="B10" s="25">
        <v>53.54</v>
      </c>
      <c r="C10" s="25">
        <v>1.5819000000000001</v>
      </c>
      <c r="D10" s="25"/>
      <c r="Q10" s="15">
        <v>44694</v>
      </c>
      <c r="R10" s="25">
        <v>3.7917000000000001</v>
      </c>
      <c r="S10" s="25">
        <v>109.26</v>
      </c>
      <c r="T10" s="20">
        <v>43942</v>
      </c>
      <c r="U10" s="43">
        <v>0.54649999999999999</v>
      </c>
      <c r="V10" s="43">
        <v>16.18</v>
      </c>
    </row>
    <row r="11" spans="1:22">
      <c r="A11" s="20">
        <v>43780</v>
      </c>
      <c r="B11" s="25">
        <v>53.47</v>
      </c>
      <c r="C11" s="25">
        <v>1.5778000000000001</v>
      </c>
      <c r="D11" s="25"/>
      <c r="Q11" s="15">
        <v>44693</v>
      </c>
      <c r="R11" s="25">
        <v>3.6855000000000002</v>
      </c>
      <c r="S11" s="25">
        <v>109.28</v>
      </c>
      <c r="T11" s="20">
        <v>43943</v>
      </c>
      <c r="U11" s="43">
        <v>0.66279999999999994</v>
      </c>
      <c r="V11" s="43">
        <v>15.5</v>
      </c>
    </row>
    <row r="12" spans="1:22">
      <c r="A12" s="20">
        <v>43781</v>
      </c>
      <c r="B12" s="25">
        <v>53.32</v>
      </c>
      <c r="C12" s="25">
        <v>1.5637000000000001</v>
      </c>
      <c r="D12" s="25"/>
      <c r="E12" s="25">
        <v>119.24</v>
      </c>
      <c r="Q12" s="15">
        <v>44692</v>
      </c>
      <c r="R12" s="25">
        <v>3.5415000000000001</v>
      </c>
      <c r="S12" s="25">
        <v>109.19</v>
      </c>
      <c r="T12" s="20">
        <v>43944</v>
      </c>
      <c r="U12" s="43">
        <v>0.69159999999999999</v>
      </c>
      <c r="V12" s="43">
        <v>16.23</v>
      </c>
    </row>
    <row r="13" spans="1:22">
      <c r="A13" s="20">
        <v>43782</v>
      </c>
      <c r="B13" s="25">
        <v>53.65</v>
      </c>
      <c r="C13" s="25">
        <v>1.569</v>
      </c>
      <c r="D13" s="25"/>
      <c r="E13" s="25">
        <v>119.84</v>
      </c>
      <c r="Q13" s="15">
        <v>44691</v>
      </c>
      <c r="R13" s="25">
        <v>3.6419000000000001</v>
      </c>
      <c r="S13" s="25">
        <v>108.65</v>
      </c>
      <c r="T13" s="20">
        <v>43945</v>
      </c>
      <c r="U13" s="43">
        <v>0.7016</v>
      </c>
      <c r="V13" s="43">
        <v>17.010000000000002</v>
      </c>
    </row>
    <row r="14" spans="1:22">
      <c r="A14" s="20">
        <v>43783</v>
      </c>
      <c r="B14" s="25">
        <v>54.11</v>
      </c>
      <c r="C14" s="25">
        <v>1.6133</v>
      </c>
      <c r="D14" s="25"/>
      <c r="E14" s="25">
        <v>120.3</v>
      </c>
      <c r="Q14" s="15">
        <v>44690</v>
      </c>
      <c r="R14" s="25">
        <v>3.7589999999999999</v>
      </c>
      <c r="S14" s="25">
        <v>108.54</v>
      </c>
      <c r="T14" s="20">
        <v>43948</v>
      </c>
      <c r="U14" s="43">
        <v>0.6482</v>
      </c>
      <c r="V14" s="43">
        <v>17.12</v>
      </c>
    </row>
    <row r="15" spans="1:22">
      <c r="A15" s="20">
        <v>43784</v>
      </c>
      <c r="B15" s="25">
        <v>54.18</v>
      </c>
      <c r="C15" s="25">
        <v>1.6258999999999999</v>
      </c>
      <c r="E15" s="25">
        <v>118.25</v>
      </c>
      <c r="Q15" s="15">
        <v>44687</v>
      </c>
      <c r="R15" s="25">
        <v>3.6587000000000001</v>
      </c>
      <c r="S15" s="25">
        <v>108.67</v>
      </c>
      <c r="T15" s="20">
        <v>43949</v>
      </c>
      <c r="U15" s="43">
        <v>0.67800000000000005</v>
      </c>
      <c r="V15" s="43">
        <v>16.32</v>
      </c>
    </row>
    <row r="16" spans="1:22">
      <c r="A16" s="20">
        <v>43787</v>
      </c>
      <c r="B16" s="25">
        <v>54.27</v>
      </c>
      <c r="C16" s="25">
        <v>1.6355999999999999</v>
      </c>
      <c r="D16" s="25">
        <v>119.24</v>
      </c>
      <c r="E16" s="25">
        <v>117.47</v>
      </c>
      <c r="Q16" s="15">
        <v>44686</v>
      </c>
      <c r="R16" s="25">
        <v>3.6522999999999999</v>
      </c>
      <c r="S16" s="25">
        <v>108.66</v>
      </c>
      <c r="T16" s="20">
        <v>43950</v>
      </c>
      <c r="U16" s="43">
        <v>0.67730000000000001</v>
      </c>
      <c r="V16" s="43">
        <v>16.260000000000002</v>
      </c>
    </row>
    <row r="17" spans="1:22">
      <c r="A17" s="20">
        <v>43788</v>
      </c>
      <c r="B17" s="25">
        <v>54.12</v>
      </c>
      <c r="C17" s="25">
        <v>1.6344000000000001</v>
      </c>
      <c r="D17" s="25">
        <v>119.84</v>
      </c>
      <c r="E17" s="25">
        <v>117.15</v>
      </c>
      <c r="Q17" s="15">
        <v>44685</v>
      </c>
      <c r="R17" s="25">
        <v>3.5011999999999999</v>
      </c>
      <c r="S17" s="25">
        <v>108.5</v>
      </c>
      <c r="T17" s="20">
        <v>43951</v>
      </c>
      <c r="U17" s="43">
        <v>0.70330000000000004</v>
      </c>
      <c r="V17" s="43">
        <v>16.52</v>
      </c>
    </row>
    <row r="18" spans="1:22">
      <c r="A18" s="20">
        <v>43789</v>
      </c>
      <c r="B18" s="25">
        <v>54.09</v>
      </c>
      <c r="C18" s="25">
        <v>1.6415999999999999</v>
      </c>
      <c r="D18" s="25">
        <v>120.3</v>
      </c>
      <c r="E18" s="25">
        <v>114.62</v>
      </c>
      <c r="O18">
        <f>CORREL($C$16:$C$564,$D$16:$D$564)</f>
        <v>-0.58706877687808035</v>
      </c>
      <c r="P18" t="s">
        <v>41</v>
      </c>
      <c r="Q18" s="15">
        <v>44684</v>
      </c>
      <c r="R18" s="25">
        <v>3.5101</v>
      </c>
      <c r="S18" s="25">
        <v>107.44</v>
      </c>
      <c r="T18" s="20">
        <v>43952</v>
      </c>
      <c r="U18" s="43">
        <v>0.72</v>
      </c>
      <c r="V18" s="43">
        <v>16.7</v>
      </c>
    </row>
    <row r="19" spans="1:22">
      <c r="A19" s="20">
        <v>43790</v>
      </c>
      <c r="B19" s="25">
        <v>54.04</v>
      </c>
      <c r="C19" s="25">
        <v>1.6645000000000001</v>
      </c>
      <c r="D19" s="25">
        <v>118.25</v>
      </c>
      <c r="E19" s="25">
        <v>114.41</v>
      </c>
      <c r="O19">
        <f>CORREL(E12:E564,C12:C564)</f>
        <v>-0.58240022094464927</v>
      </c>
      <c r="P19" t="s">
        <v>42</v>
      </c>
      <c r="Q19" s="15">
        <v>44683</v>
      </c>
      <c r="R19" s="25">
        <v>3.4424000000000001</v>
      </c>
      <c r="S19" s="25">
        <v>108.58</v>
      </c>
      <c r="T19" s="20">
        <v>43955</v>
      </c>
      <c r="U19" s="43">
        <v>0.72040000000000004</v>
      </c>
      <c r="V19" s="43">
        <v>20.66</v>
      </c>
    </row>
    <row r="20" spans="1:22">
      <c r="A20" s="20">
        <v>43791</v>
      </c>
      <c r="B20" s="25">
        <v>54.01</v>
      </c>
      <c r="C20" s="25">
        <v>1.5946</v>
      </c>
      <c r="D20" s="25">
        <v>117.47</v>
      </c>
      <c r="E20" s="25">
        <v>109.26</v>
      </c>
      <c r="O20">
        <f>CORREL(B4:B564,C4:C564)</f>
        <v>0.95117835311972965</v>
      </c>
      <c r="P20" s="10" t="s">
        <v>43</v>
      </c>
      <c r="Q20" s="15">
        <v>44680</v>
      </c>
      <c r="R20" s="25">
        <v>3.4759000000000002</v>
      </c>
      <c r="S20" s="25">
        <v>109.55</v>
      </c>
      <c r="T20" s="20">
        <v>43956</v>
      </c>
      <c r="U20" s="43">
        <v>0.75690000000000002</v>
      </c>
      <c r="V20" s="43">
        <v>21.2</v>
      </c>
    </row>
    <row r="21" spans="1:22">
      <c r="A21" s="20">
        <v>43794</v>
      </c>
      <c r="B21" s="25">
        <v>56.22</v>
      </c>
      <c r="C21" s="25">
        <v>1.6556999999999999</v>
      </c>
      <c r="D21" s="25">
        <v>117.15</v>
      </c>
      <c r="E21" s="25">
        <v>109.28</v>
      </c>
      <c r="Q21" s="15">
        <v>44679</v>
      </c>
      <c r="R21" s="25">
        <v>3.4135</v>
      </c>
      <c r="S21" s="25">
        <v>107.75</v>
      </c>
      <c r="T21" s="20">
        <v>43957</v>
      </c>
      <c r="U21" s="43">
        <v>0.76459999999999995</v>
      </c>
      <c r="V21" s="43">
        <v>24.79</v>
      </c>
    </row>
    <row r="22" spans="1:22">
      <c r="A22" s="20">
        <v>43795</v>
      </c>
      <c r="B22" s="25">
        <v>56.54</v>
      </c>
      <c r="C22" s="25">
        <v>1.6637</v>
      </c>
      <c r="D22" s="25">
        <v>114.62</v>
      </c>
      <c r="E22" s="25">
        <v>109.19</v>
      </c>
      <c r="Q22" s="15">
        <v>44678</v>
      </c>
      <c r="R22" s="25">
        <v>3.3109999999999999</v>
      </c>
      <c r="S22" s="25">
        <v>105.3</v>
      </c>
      <c r="T22" s="20">
        <v>43958</v>
      </c>
      <c r="U22" s="43">
        <v>0.72550000000000003</v>
      </c>
      <c r="V22" s="43">
        <v>24.2</v>
      </c>
    </row>
    <row r="23" spans="1:22">
      <c r="A23" s="20">
        <v>43796</v>
      </c>
      <c r="B23" s="25">
        <v>57.16</v>
      </c>
      <c r="C23" s="25">
        <v>1.6746000000000001</v>
      </c>
      <c r="D23" s="25">
        <v>114.41</v>
      </c>
      <c r="E23" s="25">
        <v>108.65</v>
      </c>
      <c r="Q23" s="15">
        <v>44677</v>
      </c>
      <c r="R23" s="25">
        <v>3.2206000000000001</v>
      </c>
      <c r="S23" s="25">
        <v>105.05</v>
      </c>
      <c r="T23" s="20">
        <v>43959</v>
      </c>
      <c r="U23" s="43">
        <v>0.62529999999999997</v>
      </c>
      <c r="V23" s="43">
        <v>23.72</v>
      </c>
    </row>
    <row r="24" spans="1:22">
      <c r="A24" s="20">
        <v>43797</v>
      </c>
      <c r="B24" s="25">
        <v>56.41</v>
      </c>
      <c r="C24" s="25">
        <v>1.6262000000000001</v>
      </c>
      <c r="D24" s="25">
        <v>109.26</v>
      </c>
      <c r="E24" s="25">
        <v>108.54</v>
      </c>
      <c r="Q24" s="15">
        <v>44676</v>
      </c>
      <c r="R24" s="25">
        <v>3.286</v>
      </c>
      <c r="S24" s="25">
        <v>101.19</v>
      </c>
      <c r="T24" s="20">
        <v>43962</v>
      </c>
      <c r="U24" s="43">
        <v>0.6875</v>
      </c>
      <c r="V24" s="43">
        <v>24.67</v>
      </c>
    </row>
    <row r="25" spans="1:22">
      <c r="A25" s="20">
        <v>43798</v>
      </c>
      <c r="B25" s="25">
        <v>57.04</v>
      </c>
      <c r="C25" s="25">
        <v>1.6355</v>
      </c>
      <c r="D25" s="25">
        <v>109.28</v>
      </c>
      <c r="E25" s="25">
        <v>108.67</v>
      </c>
      <c r="Q25" s="15">
        <v>44673</v>
      </c>
      <c r="R25" s="25">
        <v>3.3174999999999999</v>
      </c>
      <c r="S25" s="25">
        <v>103.57</v>
      </c>
      <c r="T25" s="20">
        <v>43963</v>
      </c>
      <c r="U25" s="43">
        <v>0.68210000000000004</v>
      </c>
      <c r="V25" s="43">
        <v>24.08</v>
      </c>
    </row>
    <row r="26" spans="1:22">
      <c r="A26" s="20">
        <v>43801</v>
      </c>
      <c r="B26" s="25">
        <v>57.11</v>
      </c>
      <c r="C26" s="25">
        <v>1.6336999999999999</v>
      </c>
      <c r="D26" s="25">
        <v>109.19</v>
      </c>
      <c r="E26" s="25">
        <v>108.66</v>
      </c>
      <c r="Q26" s="15">
        <v>44672</v>
      </c>
      <c r="R26" s="25">
        <v>3.2618</v>
      </c>
      <c r="S26" s="25">
        <v>108.62</v>
      </c>
      <c r="T26" s="20">
        <v>43964</v>
      </c>
      <c r="U26" s="43">
        <v>0.70009999999999994</v>
      </c>
      <c r="V26" s="43">
        <v>25.01</v>
      </c>
    </row>
    <row r="27" spans="1:22">
      <c r="A27" s="20">
        <v>43802</v>
      </c>
      <c r="B27" s="25">
        <v>56.85</v>
      </c>
      <c r="C27" s="25">
        <v>1.6099000000000001</v>
      </c>
      <c r="D27" s="25">
        <v>108.65</v>
      </c>
      <c r="E27" s="25">
        <v>108.5</v>
      </c>
      <c r="Q27" s="15">
        <v>44671</v>
      </c>
      <c r="R27" s="25">
        <v>3.2288999999999999</v>
      </c>
      <c r="S27" s="25">
        <v>107.38</v>
      </c>
      <c r="T27" s="20">
        <v>43965</v>
      </c>
      <c r="U27" s="43">
        <v>0.68489999999999995</v>
      </c>
      <c r="V27" s="43">
        <v>24.66</v>
      </c>
    </row>
    <row r="28" spans="1:22">
      <c r="A28" s="20">
        <v>43803</v>
      </c>
      <c r="B28" s="25">
        <v>56.81</v>
      </c>
      <c r="C28" s="25">
        <v>1.6144000000000001</v>
      </c>
      <c r="D28" s="25">
        <v>108.54</v>
      </c>
      <c r="E28" s="25">
        <v>107.44</v>
      </c>
      <c r="Q28" s="15">
        <v>44670</v>
      </c>
      <c r="R28" s="25">
        <v>3.3580000000000001</v>
      </c>
      <c r="S28" s="25">
        <v>106.97</v>
      </c>
      <c r="T28" s="20">
        <v>43966</v>
      </c>
      <c r="U28" s="43">
        <v>0.70399999999999996</v>
      </c>
      <c r="V28" s="43">
        <v>25.88</v>
      </c>
    </row>
    <row r="29" spans="1:22">
      <c r="A29" s="20">
        <v>43804</v>
      </c>
      <c r="B29" s="25">
        <v>57.01</v>
      </c>
      <c r="C29" s="25">
        <v>1.6309</v>
      </c>
      <c r="D29" s="25">
        <v>108.67</v>
      </c>
      <c r="E29" s="25">
        <v>108.58</v>
      </c>
      <c r="Q29" s="15">
        <v>44669</v>
      </c>
      <c r="R29" s="25">
        <v>3.3814000000000002</v>
      </c>
      <c r="S29" s="25">
        <v>102.11</v>
      </c>
      <c r="T29" s="20">
        <v>43969</v>
      </c>
      <c r="U29" s="43">
        <v>0.72719999999999996</v>
      </c>
      <c r="V29" s="43">
        <v>26.74</v>
      </c>
    </row>
    <row r="30" spans="1:22">
      <c r="A30" s="20">
        <v>43805</v>
      </c>
      <c r="B30" s="25">
        <v>56.83</v>
      </c>
      <c r="C30" s="25">
        <v>1.6115999999999999</v>
      </c>
      <c r="D30" s="25">
        <v>108.66</v>
      </c>
      <c r="E30" s="25">
        <v>109.55</v>
      </c>
      <c r="Q30" s="15">
        <v>44665</v>
      </c>
      <c r="R30" s="25">
        <v>3.2913000000000001</v>
      </c>
      <c r="S30" s="25">
        <v>104.67</v>
      </c>
      <c r="T30" s="20">
        <v>43970</v>
      </c>
      <c r="U30" s="43">
        <v>0.78369999999999995</v>
      </c>
      <c r="V30" s="43">
        <v>27.72</v>
      </c>
    </row>
    <row r="31" spans="1:22">
      <c r="A31" s="20">
        <v>43808</v>
      </c>
      <c r="B31" s="25">
        <v>57.31</v>
      </c>
      <c r="C31" s="25">
        <v>1.6308</v>
      </c>
      <c r="D31" s="25">
        <v>108.5</v>
      </c>
      <c r="E31" s="25">
        <v>107.75</v>
      </c>
      <c r="Q31" s="15">
        <v>44664</v>
      </c>
      <c r="R31" s="25">
        <v>3.1537999999999999</v>
      </c>
      <c r="S31" s="25">
        <v>101.64</v>
      </c>
      <c r="T31" s="20">
        <v>43971</v>
      </c>
      <c r="U31" s="43">
        <v>0.76629999999999998</v>
      </c>
      <c r="V31" s="43">
        <v>27.86</v>
      </c>
    </row>
    <row r="32" spans="1:22">
      <c r="A32" s="20">
        <v>43809</v>
      </c>
      <c r="B32" s="25">
        <v>57</v>
      </c>
      <c r="C32" s="25">
        <v>1.6160000000000001</v>
      </c>
      <c r="D32" s="25">
        <v>107.44</v>
      </c>
      <c r="E32" s="25">
        <v>105.3</v>
      </c>
      <c r="Q32" s="15">
        <v>44663</v>
      </c>
      <c r="R32" s="25">
        <v>3.0030999999999999</v>
      </c>
      <c r="S32" s="25">
        <v>101.67</v>
      </c>
      <c r="T32" s="20">
        <v>43972</v>
      </c>
      <c r="U32" s="43">
        <v>0.82150000000000001</v>
      </c>
      <c r="V32" s="43">
        <v>28.4</v>
      </c>
    </row>
    <row r="33" spans="1:22">
      <c r="A33" s="20">
        <v>43810</v>
      </c>
      <c r="B33" s="25">
        <v>56.28</v>
      </c>
      <c r="C33" s="25">
        <v>1.6036999999999999</v>
      </c>
      <c r="D33" s="25">
        <v>108.58</v>
      </c>
      <c r="E33" s="25">
        <v>105.05</v>
      </c>
      <c r="Q33" s="15">
        <v>44662</v>
      </c>
      <c r="R33" s="25">
        <v>3.1316000000000002</v>
      </c>
      <c r="S33" s="25">
        <v>101.34</v>
      </c>
      <c r="T33" s="20">
        <v>43973</v>
      </c>
      <c r="U33" s="43">
        <v>0.90129999999999999</v>
      </c>
      <c r="V33" s="43">
        <v>28.53</v>
      </c>
    </row>
    <row r="34" spans="1:22">
      <c r="A34" s="20">
        <v>43811</v>
      </c>
      <c r="B34" s="25">
        <v>56.87</v>
      </c>
      <c r="C34" s="25">
        <v>1.6563000000000001</v>
      </c>
      <c r="D34" s="25">
        <v>109.55</v>
      </c>
      <c r="E34" s="25">
        <v>101.19</v>
      </c>
      <c r="Q34" s="15">
        <v>44659</v>
      </c>
      <c r="R34" s="25">
        <v>3.0398000000000001</v>
      </c>
      <c r="S34" s="25">
        <v>101.29</v>
      </c>
      <c r="T34" s="20">
        <v>43977</v>
      </c>
      <c r="U34" s="43">
        <v>0.87690000000000001</v>
      </c>
      <c r="V34" s="43">
        <v>28.36</v>
      </c>
    </row>
    <row r="35" spans="1:22">
      <c r="A35" s="20">
        <v>43812</v>
      </c>
      <c r="B35" s="25">
        <v>57.34</v>
      </c>
      <c r="C35" s="25">
        <v>1.6982999999999999</v>
      </c>
      <c r="D35" s="25">
        <v>107.75</v>
      </c>
      <c r="E35" s="25">
        <v>103.57</v>
      </c>
      <c r="Q35" s="15">
        <v>44658</v>
      </c>
      <c r="R35" s="25">
        <v>3.0461999999999998</v>
      </c>
      <c r="S35" s="25">
        <v>100.66</v>
      </c>
      <c r="T35" s="20">
        <v>43978</v>
      </c>
      <c r="U35" s="43">
        <v>0.93140000000000001</v>
      </c>
      <c r="V35" s="43">
        <v>28.58</v>
      </c>
    </row>
    <row r="36" spans="1:22">
      <c r="A36" s="20">
        <v>43815</v>
      </c>
      <c r="B36" s="25">
        <v>57.14</v>
      </c>
      <c r="C36" s="25">
        <v>1.6742999999999999</v>
      </c>
      <c r="D36" s="25">
        <v>105.3</v>
      </c>
      <c r="E36" s="25">
        <v>108.62</v>
      </c>
      <c r="Q36" s="15">
        <v>44657</v>
      </c>
      <c r="R36" s="25">
        <v>3.1648999999999998</v>
      </c>
      <c r="S36" s="25">
        <v>101.54</v>
      </c>
      <c r="T36" s="20">
        <v>43979</v>
      </c>
      <c r="U36" s="43">
        <v>0.95220000000000005</v>
      </c>
      <c r="V36" s="43">
        <v>28.35</v>
      </c>
    </row>
    <row r="37" spans="1:22">
      <c r="A37" s="20">
        <v>43816</v>
      </c>
      <c r="B37" s="25">
        <v>57.19</v>
      </c>
      <c r="C37" s="25">
        <v>1.6715</v>
      </c>
      <c r="D37" s="25">
        <v>105.05</v>
      </c>
      <c r="E37" s="25">
        <v>107.38</v>
      </c>
      <c r="Q37" s="15">
        <v>44656</v>
      </c>
      <c r="R37" s="25">
        <v>3.1981000000000002</v>
      </c>
      <c r="S37" s="25">
        <v>102.06</v>
      </c>
      <c r="T37" s="20">
        <v>43980</v>
      </c>
      <c r="U37" s="43">
        <v>0.92420000000000002</v>
      </c>
      <c r="V37" s="43">
        <v>28.44</v>
      </c>
    </row>
    <row r="38" spans="1:22">
      <c r="A38" s="20">
        <v>43817</v>
      </c>
      <c r="B38" s="25">
        <v>57.25</v>
      </c>
      <c r="C38" s="25">
        <v>1.6976</v>
      </c>
      <c r="D38" s="25">
        <v>101.19</v>
      </c>
      <c r="E38" s="25">
        <v>106.97</v>
      </c>
      <c r="Q38" s="15">
        <v>44655</v>
      </c>
      <c r="R38" s="25">
        <v>3.1535000000000002</v>
      </c>
      <c r="S38" s="25">
        <v>101.5</v>
      </c>
      <c r="T38" s="20">
        <v>43983</v>
      </c>
      <c r="U38" s="43">
        <v>0.93630000000000002</v>
      </c>
      <c r="V38" s="43">
        <v>28.53</v>
      </c>
    </row>
    <row r="39" spans="1:22">
      <c r="A39" s="20">
        <v>43818</v>
      </c>
      <c r="B39" s="25">
        <v>57.22</v>
      </c>
      <c r="C39" s="25">
        <v>1.6792</v>
      </c>
      <c r="D39" s="25">
        <v>103.57</v>
      </c>
      <c r="E39" s="25">
        <v>102.11</v>
      </c>
      <c r="Q39" s="15">
        <v>44652</v>
      </c>
      <c r="R39" s="25">
        <v>3.1509</v>
      </c>
      <c r="S39" s="25">
        <v>101.44</v>
      </c>
      <c r="T39" s="20">
        <v>43984</v>
      </c>
      <c r="U39" s="43">
        <v>0.88180000000000003</v>
      </c>
      <c r="V39" s="43">
        <v>35.54</v>
      </c>
    </row>
    <row r="40" spans="1:22">
      <c r="A40" s="20">
        <v>43819</v>
      </c>
      <c r="B40" s="25">
        <v>57.07</v>
      </c>
      <c r="C40" s="25">
        <v>1.591</v>
      </c>
      <c r="D40" s="25">
        <v>108.62</v>
      </c>
      <c r="E40" s="25">
        <v>104.67</v>
      </c>
      <c r="Q40" s="15">
        <v>44651</v>
      </c>
      <c r="R40" s="25">
        <v>3.2864</v>
      </c>
      <c r="S40" s="25">
        <v>103.95</v>
      </c>
      <c r="T40" s="20">
        <v>43985</v>
      </c>
      <c r="U40" s="43">
        <v>0.93689999999999996</v>
      </c>
      <c r="V40" s="43">
        <v>36.82</v>
      </c>
    </row>
    <row r="41" spans="1:22">
      <c r="A41" s="20">
        <v>43822</v>
      </c>
      <c r="B41" s="25">
        <v>55.94</v>
      </c>
      <c r="C41" s="25">
        <v>1.5732999999999999</v>
      </c>
      <c r="D41" s="25">
        <v>107.38</v>
      </c>
      <c r="E41" s="25">
        <v>101.64</v>
      </c>
      <c r="Q41" s="15">
        <v>44650</v>
      </c>
      <c r="R41" s="25">
        <v>3.1766999999999999</v>
      </c>
      <c r="S41" s="25">
        <v>103.33</v>
      </c>
      <c r="T41" s="20">
        <v>43986</v>
      </c>
      <c r="U41" s="43">
        <v>0.98380000000000001</v>
      </c>
      <c r="V41" s="43">
        <v>37.270000000000003</v>
      </c>
    </row>
    <row r="42" spans="1:22">
      <c r="A42" s="20">
        <v>43823</v>
      </c>
      <c r="B42" s="25">
        <v>56.07</v>
      </c>
      <c r="C42" s="25">
        <v>1.5629</v>
      </c>
      <c r="D42" s="25">
        <v>106.97</v>
      </c>
      <c r="E42" s="25">
        <v>101.67</v>
      </c>
      <c r="Q42" s="15">
        <v>44649</v>
      </c>
      <c r="R42" s="25">
        <v>3.1962000000000002</v>
      </c>
      <c r="S42" s="25">
        <v>101.89</v>
      </c>
      <c r="T42" s="20">
        <v>43987</v>
      </c>
      <c r="U42" s="43">
        <v>1.0426</v>
      </c>
      <c r="V42" s="43">
        <v>37.369999999999997</v>
      </c>
    </row>
    <row r="43" spans="1:22">
      <c r="A43" s="20">
        <v>43825</v>
      </c>
      <c r="B43" s="25">
        <v>58.17</v>
      </c>
      <c r="C43" s="25">
        <v>1.6042000000000001</v>
      </c>
      <c r="D43" s="25">
        <v>102.11</v>
      </c>
      <c r="E43" s="25">
        <v>101.34</v>
      </c>
      <c r="Q43" s="15">
        <v>44648</v>
      </c>
      <c r="R43" s="25">
        <v>3.4363000000000001</v>
      </c>
      <c r="S43" s="25">
        <v>99.7</v>
      </c>
      <c r="T43" s="20">
        <v>43990</v>
      </c>
      <c r="U43" s="43">
        <v>1.0549999999999999</v>
      </c>
      <c r="V43" s="43">
        <v>38.17</v>
      </c>
    </row>
    <row r="44" spans="1:22">
      <c r="A44" s="20">
        <v>43826</v>
      </c>
      <c r="B44" s="25">
        <v>58.17</v>
      </c>
      <c r="C44" s="25">
        <v>1.6211</v>
      </c>
      <c r="D44" s="25">
        <v>104.67</v>
      </c>
      <c r="E44" s="25">
        <v>101.29</v>
      </c>
      <c r="Q44" s="15">
        <v>44645</v>
      </c>
      <c r="R44" s="25">
        <v>3.3689</v>
      </c>
      <c r="S44" s="25">
        <v>95.63</v>
      </c>
      <c r="T44" s="20">
        <v>43991</v>
      </c>
      <c r="U44" s="43">
        <v>1.0438000000000001</v>
      </c>
      <c r="V44" s="43">
        <v>37.18</v>
      </c>
    </row>
    <row r="45" spans="1:22">
      <c r="A45" s="20">
        <v>43829</v>
      </c>
      <c r="B45" s="25">
        <v>58.79</v>
      </c>
      <c r="C45" s="25">
        <v>1.6474</v>
      </c>
      <c r="D45" s="25">
        <v>101.64</v>
      </c>
      <c r="E45" s="25">
        <v>100.66</v>
      </c>
      <c r="Q45" s="15">
        <v>44644</v>
      </c>
      <c r="R45" s="25">
        <v>3.4195000000000002</v>
      </c>
      <c r="S45" s="25">
        <v>98.35</v>
      </c>
      <c r="T45" s="20">
        <v>43992</v>
      </c>
      <c r="U45" s="43">
        <v>1.0618000000000001</v>
      </c>
      <c r="V45" s="43">
        <v>37.99</v>
      </c>
    </row>
    <row r="46" spans="1:22">
      <c r="A46" s="20">
        <v>43830</v>
      </c>
      <c r="B46" s="25">
        <v>58.65</v>
      </c>
      <c r="C46" s="25">
        <v>1.6548</v>
      </c>
      <c r="D46" s="25">
        <v>101.67</v>
      </c>
      <c r="E46" s="25">
        <v>101.54</v>
      </c>
      <c r="Q46" s="15">
        <v>44643</v>
      </c>
      <c r="R46" s="25">
        <v>3.3046000000000002</v>
      </c>
      <c r="S46" s="25">
        <v>96.68</v>
      </c>
      <c r="T46" s="20">
        <v>43993</v>
      </c>
      <c r="U46" s="43">
        <v>1.0518000000000001</v>
      </c>
      <c r="V46" s="43">
        <v>37.340000000000003</v>
      </c>
    </row>
    <row r="47" spans="1:22">
      <c r="A47" s="20">
        <v>43832</v>
      </c>
      <c r="B47" s="25">
        <v>58.81</v>
      </c>
      <c r="C47" s="25">
        <v>1.6525000000000001</v>
      </c>
      <c r="D47" s="25">
        <v>101.34</v>
      </c>
      <c r="E47" s="25">
        <v>102.06</v>
      </c>
      <c r="Q47" s="15">
        <v>44642</v>
      </c>
      <c r="R47" s="25">
        <v>3.3378999999999999</v>
      </c>
      <c r="S47" s="25">
        <v>96.73</v>
      </c>
      <c r="T47" s="20">
        <v>43994</v>
      </c>
      <c r="U47" s="43">
        <v>1.0648</v>
      </c>
      <c r="V47" s="43">
        <v>36.97</v>
      </c>
    </row>
    <row r="48" spans="1:22">
      <c r="A48" s="20">
        <v>43833</v>
      </c>
      <c r="B48" s="25">
        <v>58.49</v>
      </c>
      <c r="C48" s="25">
        <v>1.6261000000000001</v>
      </c>
      <c r="D48" s="25">
        <v>101.29</v>
      </c>
      <c r="E48" s="25">
        <v>101.5</v>
      </c>
      <c r="Q48" s="15">
        <v>44641</v>
      </c>
      <c r="R48" s="25">
        <v>3.2059000000000002</v>
      </c>
      <c r="S48" s="25">
        <v>101.44</v>
      </c>
      <c r="T48" s="20">
        <v>43997</v>
      </c>
      <c r="U48" s="43">
        <v>1.0177</v>
      </c>
      <c r="V48" s="43">
        <v>36.93</v>
      </c>
    </row>
    <row r="49" spans="1:22">
      <c r="A49" s="20">
        <v>43836</v>
      </c>
      <c r="B49" s="25">
        <v>58.74</v>
      </c>
      <c r="C49" s="25">
        <v>1.6283000000000001</v>
      </c>
      <c r="D49" s="25">
        <v>100.66</v>
      </c>
      <c r="E49" s="25">
        <v>101.44</v>
      </c>
      <c r="Q49" s="15">
        <v>44638</v>
      </c>
      <c r="R49" s="25">
        <v>3.1821999999999999</v>
      </c>
      <c r="S49" s="25">
        <v>102.58</v>
      </c>
      <c r="T49" s="20">
        <v>43998</v>
      </c>
      <c r="U49" s="43">
        <v>1.026</v>
      </c>
      <c r="V49" s="43">
        <v>37.42</v>
      </c>
    </row>
    <row r="50" spans="1:22">
      <c r="A50" s="20">
        <v>43837</v>
      </c>
      <c r="B50" s="25">
        <v>59.26</v>
      </c>
      <c r="C50" s="25">
        <v>1.6632</v>
      </c>
      <c r="D50" s="25">
        <v>101.54</v>
      </c>
      <c r="E50" s="25">
        <v>103.95</v>
      </c>
      <c r="Q50" s="15">
        <v>44637</v>
      </c>
      <c r="R50" s="25">
        <v>2.952</v>
      </c>
      <c r="S50" s="25">
        <v>89.06</v>
      </c>
      <c r="T50" s="20">
        <v>43999</v>
      </c>
      <c r="U50" s="43">
        <v>1.0785</v>
      </c>
      <c r="V50" s="43">
        <v>38.03</v>
      </c>
    </row>
    <row r="51" spans="1:22">
      <c r="A51" s="20">
        <v>43838</v>
      </c>
      <c r="B51" s="25">
        <v>59.34</v>
      </c>
      <c r="C51" s="25">
        <v>1.6677999999999999</v>
      </c>
      <c r="D51" s="25">
        <v>102.06</v>
      </c>
      <c r="E51" s="25">
        <v>103.33</v>
      </c>
      <c r="Q51" s="15">
        <v>44636</v>
      </c>
      <c r="R51" s="25">
        <v>2.9657</v>
      </c>
      <c r="S51" s="25">
        <v>104.93</v>
      </c>
      <c r="T51" s="20">
        <v>44000</v>
      </c>
      <c r="U51" s="43">
        <v>1.0667</v>
      </c>
      <c r="V51" s="43">
        <v>37.840000000000003</v>
      </c>
    </row>
    <row r="52" spans="1:22">
      <c r="A52" s="20">
        <v>43839</v>
      </c>
      <c r="B52" s="25">
        <v>59.69</v>
      </c>
      <c r="C52" s="25">
        <v>1.6899</v>
      </c>
      <c r="D52" s="25">
        <v>101.5</v>
      </c>
      <c r="E52" s="25">
        <v>101.89</v>
      </c>
      <c r="Q52" s="15">
        <v>44635</v>
      </c>
      <c r="R52" s="25">
        <v>3.1339000000000001</v>
      </c>
      <c r="S52" s="25">
        <v>107.74</v>
      </c>
      <c r="T52" s="20">
        <v>44001</v>
      </c>
      <c r="U52" s="43">
        <v>1.1183000000000001</v>
      </c>
      <c r="V52" s="43">
        <v>38.19</v>
      </c>
    </row>
    <row r="53" spans="1:22">
      <c r="A53" s="20">
        <v>43840</v>
      </c>
      <c r="B53" s="25">
        <v>59.68</v>
      </c>
      <c r="C53" s="25">
        <v>1.6904999999999999</v>
      </c>
      <c r="D53" s="25">
        <v>101.44</v>
      </c>
      <c r="E53" s="25">
        <v>99.7</v>
      </c>
      <c r="Q53" s="15">
        <v>44634</v>
      </c>
      <c r="R53" s="25">
        <v>3.3121</v>
      </c>
      <c r="S53" s="25">
        <v>108.28</v>
      </c>
      <c r="T53" s="20">
        <v>44004</v>
      </c>
      <c r="U53" s="43">
        <v>1.1193</v>
      </c>
      <c r="V53" s="43">
        <v>38.479999999999997</v>
      </c>
    </row>
    <row r="54" spans="1:22">
      <c r="A54" s="20">
        <v>43843</v>
      </c>
      <c r="B54" s="25">
        <v>59.81</v>
      </c>
      <c r="C54" s="25">
        <v>1.7097</v>
      </c>
      <c r="D54" s="25">
        <v>103.95</v>
      </c>
      <c r="E54" s="25">
        <v>95.63</v>
      </c>
      <c r="Q54" s="15">
        <v>44631</v>
      </c>
      <c r="R54" s="25">
        <v>3.1566999999999998</v>
      </c>
      <c r="S54" s="25">
        <v>108.5</v>
      </c>
      <c r="T54" s="20">
        <v>44005</v>
      </c>
      <c r="U54" s="43">
        <v>1.149</v>
      </c>
      <c r="V54" s="43">
        <v>38.76</v>
      </c>
    </row>
    <row r="55" spans="1:22">
      <c r="A55" s="20">
        <v>43844</v>
      </c>
      <c r="B55" s="25">
        <v>59.56</v>
      </c>
      <c r="C55" s="25">
        <v>1.7072000000000001</v>
      </c>
      <c r="D55" s="25">
        <v>103.33</v>
      </c>
      <c r="E55" s="25">
        <v>98.35</v>
      </c>
      <c r="Q55" s="15">
        <v>44630</v>
      </c>
      <c r="R55" s="25">
        <v>3.2938000000000001</v>
      </c>
      <c r="S55" s="25">
        <v>109.88</v>
      </c>
      <c r="T55" s="20">
        <v>44006</v>
      </c>
      <c r="U55" s="43">
        <v>1.2136</v>
      </c>
      <c r="V55" s="43">
        <v>38.659999999999997</v>
      </c>
    </row>
    <row r="56" spans="1:22">
      <c r="A56" s="20">
        <v>43845</v>
      </c>
      <c r="B56" s="25">
        <v>59.58</v>
      </c>
      <c r="C56" s="25">
        <v>1.7064999999999999</v>
      </c>
      <c r="D56" s="25">
        <v>101.89</v>
      </c>
      <c r="E56" s="25">
        <v>96.68</v>
      </c>
      <c r="Q56" s="15">
        <v>44629</v>
      </c>
      <c r="R56" s="25">
        <v>3.6825999999999999</v>
      </c>
      <c r="S56" s="25">
        <v>109.54</v>
      </c>
      <c r="T56" s="20">
        <v>44007</v>
      </c>
      <c r="U56" s="43">
        <v>1.1950000000000001</v>
      </c>
      <c r="V56" s="43">
        <v>38.130000000000003</v>
      </c>
    </row>
    <row r="57" spans="1:22">
      <c r="A57" s="20">
        <v>43846</v>
      </c>
      <c r="B57" s="25">
        <v>59.72</v>
      </c>
      <c r="C57" s="25">
        <v>1.7274</v>
      </c>
      <c r="D57" s="25">
        <v>99.7</v>
      </c>
      <c r="E57" s="25">
        <v>96.73</v>
      </c>
      <c r="Q57" s="15">
        <v>44628</v>
      </c>
      <c r="R57" s="25">
        <v>3.5720999999999998</v>
      </c>
      <c r="S57" s="25">
        <v>110.22</v>
      </c>
      <c r="T57" s="20">
        <v>44008</v>
      </c>
      <c r="U57" s="43">
        <v>1.2102999999999999</v>
      </c>
      <c r="V57" s="43">
        <v>38.25</v>
      </c>
    </row>
    <row r="58" spans="1:22">
      <c r="A58" s="20">
        <v>43847</v>
      </c>
      <c r="B58" s="25">
        <v>59.83</v>
      </c>
      <c r="C58" s="25">
        <v>1.7539</v>
      </c>
      <c r="D58" s="25">
        <v>95.63</v>
      </c>
      <c r="E58" s="25">
        <v>101.44</v>
      </c>
      <c r="Q58" s="15">
        <v>44627</v>
      </c>
      <c r="R58" s="25">
        <v>3.544</v>
      </c>
      <c r="S58" s="25">
        <v>108.5</v>
      </c>
      <c r="T58" s="20">
        <v>44011</v>
      </c>
      <c r="U58" s="43">
        <v>1.2099</v>
      </c>
      <c r="V58" s="43">
        <v>38.22</v>
      </c>
    </row>
    <row r="59" spans="1:22">
      <c r="A59" s="20">
        <v>43850</v>
      </c>
      <c r="B59" s="25">
        <v>59.84</v>
      </c>
      <c r="C59" s="25">
        <v>1.7446999999999999</v>
      </c>
      <c r="D59" s="25">
        <v>98.35</v>
      </c>
      <c r="E59" s="25">
        <v>102.58</v>
      </c>
      <c r="Q59" s="15">
        <v>44624</v>
      </c>
      <c r="R59" s="25">
        <v>3.2844000000000002</v>
      </c>
      <c r="S59" s="25">
        <v>108.73</v>
      </c>
      <c r="T59" s="20">
        <v>44012</v>
      </c>
      <c r="U59" s="43">
        <v>1.1188</v>
      </c>
      <c r="V59" s="43">
        <v>38.33</v>
      </c>
    </row>
    <row r="60" spans="1:22">
      <c r="A60" s="20">
        <v>43851</v>
      </c>
      <c r="B60" s="25">
        <v>59.83</v>
      </c>
      <c r="C60" s="25">
        <v>1.724</v>
      </c>
      <c r="D60" s="25">
        <v>96.68</v>
      </c>
      <c r="E60" s="25">
        <v>89.06</v>
      </c>
      <c r="Q60" s="15">
        <v>44623</v>
      </c>
      <c r="R60" s="25">
        <v>3.3083</v>
      </c>
      <c r="S60" s="25">
        <v>105.99</v>
      </c>
      <c r="T60" s="20">
        <v>44013</v>
      </c>
      <c r="U60" s="43">
        <v>1.1367</v>
      </c>
      <c r="V60" s="43">
        <v>38.31</v>
      </c>
    </row>
    <row r="61" spans="1:22">
      <c r="A61" s="20">
        <v>43852</v>
      </c>
      <c r="B61" s="25">
        <v>59.8</v>
      </c>
      <c r="C61" s="25">
        <v>1.6904999999999999</v>
      </c>
      <c r="D61" s="25">
        <v>96.73</v>
      </c>
      <c r="E61" s="25">
        <v>104.93</v>
      </c>
      <c r="Q61" s="15">
        <v>44622</v>
      </c>
      <c r="R61" s="25">
        <v>3.0886999999999998</v>
      </c>
      <c r="S61" s="25">
        <v>105.32</v>
      </c>
      <c r="T61" s="20">
        <v>44014</v>
      </c>
      <c r="U61" s="43">
        <v>1.1732</v>
      </c>
      <c r="V61" s="43">
        <v>39.86</v>
      </c>
    </row>
    <row r="62" spans="1:22">
      <c r="A62" s="20">
        <v>43853</v>
      </c>
      <c r="B62" s="25">
        <v>61.09</v>
      </c>
      <c r="C62" s="25">
        <v>1.7041999999999999</v>
      </c>
      <c r="D62" s="25">
        <v>101.44</v>
      </c>
      <c r="E62" s="25">
        <v>107.74</v>
      </c>
      <c r="Q62" s="15">
        <v>44621</v>
      </c>
      <c r="R62" s="25">
        <v>2.9325000000000001</v>
      </c>
      <c r="S62" s="25">
        <v>98.02</v>
      </c>
      <c r="T62" s="20">
        <v>44015</v>
      </c>
      <c r="U62" s="43">
        <v>1.2149000000000001</v>
      </c>
      <c r="V62" s="43">
        <v>40.65</v>
      </c>
    </row>
    <row r="63" spans="1:22">
      <c r="A63" s="20">
        <v>43854</v>
      </c>
      <c r="B63" s="25">
        <v>62.52</v>
      </c>
      <c r="C63" s="25">
        <v>1.7487999999999999</v>
      </c>
      <c r="D63" s="25">
        <v>102.58</v>
      </c>
      <c r="E63" s="25">
        <v>108.28</v>
      </c>
      <c r="Q63" s="15">
        <v>44620</v>
      </c>
      <c r="R63" s="25">
        <v>2.8740999999999999</v>
      </c>
      <c r="S63" s="25">
        <v>99.91</v>
      </c>
      <c r="T63" s="20">
        <v>44018</v>
      </c>
      <c r="U63" s="43">
        <v>1.2219</v>
      </c>
      <c r="V63" s="43">
        <v>40.630000000000003</v>
      </c>
    </row>
    <row r="64" spans="1:22">
      <c r="A64" s="20">
        <v>43857</v>
      </c>
      <c r="B64" s="25">
        <v>61.98</v>
      </c>
      <c r="C64" s="25">
        <v>1.7544</v>
      </c>
      <c r="D64" s="25">
        <v>89.06</v>
      </c>
      <c r="E64" s="25">
        <v>108.5</v>
      </c>
      <c r="Q64" s="15">
        <v>44617</v>
      </c>
      <c r="R64" s="25">
        <v>2.9165000000000001</v>
      </c>
      <c r="S64" s="25">
        <v>102.67</v>
      </c>
      <c r="T64" s="20">
        <v>44019</v>
      </c>
      <c r="U64" s="43">
        <v>1.2575000000000001</v>
      </c>
      <c r="V64" s="43">
        <v>40.61</v>
      </c>
    </row>
    <row r="65" spans="1:22">
      <c r="A65" s="20">
        <v>43858</v>
      </c>
      <c r="B65" s="25">
        <v>60.67</v>
      </c>
      <c r="C65" s="25">
        <v>1.7222</v>
      </c>
      <c r="D65" s="25">
        <v>104.93</v>
      </c>
      <c r="E65" s="25">
        <v>109.88</v>
      </c>
      <c r="Q65" s="15">
        <v>44616</v>
      </c>
      <c r="R65" s="25">
        <v>2.8759999999999999</v>
      </c>
      <c r="S65" s="25">
        <v>109.3</v>
      </c>
      <c r="T65" s="20">
        <v>44020</v>
      </c>
      <c r="U65" s="43">
        <v>1.2709999999999999</v>
      </c>
      <c r="V65" s="43">
        <v>40.869999999999997</v>
      </c>
    </row>
    <row r="66" spans="1:22">
      <c r="A66" s="20">
        <v>43859</v>
      </c>
      <c r="B66" s="25">
        <v>60.11</v>
      </c>
      <c r="C66" s="25">
        <v>1.6488</v>
      </c>
      <c r="D66" s="25">
        <v>107.74</v>
      </c>
      <c r="E66" s="25">
        <v>109.54</v>
      </c>
      <c r="Q66" s="15">
        <v>44615</v>
      </c>
      <c r="R66" s="25">
        <v>2.8542999999999998</v>
      </c>
      <c r="S66" s="25">
        <v>107.14</v>
      </c>
      <c r="T66" s="20">
        <v>44021</v>
      </c>
      <c r="U66" s="43">
        <v>1.2904</v>
      </c>
      <c r="V66" s="43">
        <v>39.9</v>
      </c>
    </row>
    <row r="67" spans="1:22">
      <c r="A67" s="20">
        <v>43860</v>
      </c>
      <c r="B67" s="25">
        <v>58.8</v>
      </c>
      <c r="C67" s="25">
        <v>1.6527000000000001</v>
      </c>
      <c r="D67" s="25">
        <v>108.28</v>
      </c>
      <c r="E67" s="25">
        <v>110.22</v>
      </c>
      <c r="Q67" s="15">
        <v>44614</v>
      </c>
      <c r="R67" s="25">
        <v>2.8119000000000001</v>
      </c>
      <c r="S67" s="25">
        <v>108.82</v>
      </c>
      <c r="T67" s="20">
        <v>44022</v>
      </c>
      <c r="U67" s="43">
        <v>1.2983</v>
      </c>
      <c r="V67" s="43">
        <v>40.58</v>
      </c>
    </row>
    <row r="68" spans="1:22">
      <c r="A68" s="20">
        <v>43861</v>
      </c>
      <c r="B68" s="25">
        <v>58.94</v>
      </c>
      <c r="C68" s="25">
        <v>1.6596</v>
      </c>
      <c r="D68" s="25">
        <v>108.5</v>
      </c>
      <c r="E68" s="25">
        <v>108.5</v>
      </c>
      <c r="Q68" s="15">
        <v>44613</v>
      </c>
      <c r="R68" s="25">
        <v>2.7959999999999998</v>
      </c>
      <c r="S68" s="25">
        <v>119.78</v>
      </c>
      <c r="T68" s="20">
        <v>44025</v>
      </c>
      <c r="U68" s="43">
        <v>1.1992</v>
      </c>
      <c r="V68" s="43">
        <v>40.28</v>
      </c>
    </row>
    <row r="69" spans="1:22">
      <c r="A69" s="20">
        <v>43864</v>
      </c>
      <c r="B69" s="25">
        <v>55.53</v>
      </c>
      <c r="C69" s="25">
        <v>1.6573</v>
      </c>
      <c r="D69" s="25">
        <v>109.88</v>
      </c>
      <c r="E69" s="25">
        <v>108.73</v>
      </c>
      <c r="Q69" s="15">
        <v>44610</v>
      </c>
      <c r="R69" s="25">
        <v>2.8283</v>
      </c>
      <c r="S69" s="25">
        <v>116.55</v>
      </c>
      <c r="T69" s="20">
        <v>44026</v>
      </c>
      <c r="U69" s="43">
        <v>1.1972</v>
      </c>
      <c r="V69" s="43">
        <v>40.409999999999997</v>
      </c>
    </row>
    <row r="70" spans="1:22">
      <c r="A70" s="20">
        <v>43865</v>
      </c>
      <c r="B70" s="25">
        <v>54.68</v>
      </c>
      <c r="C70" s="25">
        <v>1.6641999999999999</v>
      </c>
      <c r="D70" s="25">
        <v>109.54</v>
      </c>
      <c r="E70" s="25">
        <v>105.99</v>
      </c>
      <c r="Q70" s="15">
        <v>44609</v>
      </c>
      <c r="R70" s="25">
        <v>2.8094999999999999</v>
      </c>
      <c r="S70" s="25">
        <v>113.49</v>
      </c>
      <c r="T70" s="20">
        <v>44027</v>
      </c>
      <c r="U70" s="43">
        <v>1.1569</v>
      </c>
      <c r="V70" s="43">
        <v>40.93</v>
      </c>
    </row>
    <row r="71" spans="1:22">
      <c r="A71" s="20">
        <v>43866</v>
      </c>
      <c r="B71" s="25">
        <v>55.01</v>
      </c>
      <c r="C71" s="25">
        <v>1.6492</v>
      </c>
      <c r="D71" s="25">
        <v>110.22</v>
      </c>
      <c r="E71" s="25">
        <v>105.32</v>
      </c>
      <c r="Q71" s="15">
        <v>44608</v>
      </c>
      <c r="R71" s="25">
        <v>2.9068000000000001</v>
      </c>
      <c r="S71" s="25">
        <v>106.68</v>
      </c>
      <c r="T71" s="20">
        <v>44028</v>
      </c>
      <c r="U71" s="43">
        <v>1.1878</v>
      </c>
      <c r="V71" s="43">
        <v>40.67</v>
      </c>
    </row>
    <row r="72" spans="1:22">
      <c r="A72" s="20">
        <v>43867</v>
      </c>
      <c r="B72" s="25">
        <v>55.74</v>
      </c>
      <c r="C72" s="25">
        <v>1.667</v>
      </c>
      <c r="D72" s="25">
        <v>108.5</v>
      </c>
      <c r="E72" s="25">
        <v>98.02</v>
      </c>
      <c r="Q72" s="15">
        <v>44607</v>
      </c>
      <c r="R72" s="25">
        <v>2.7385999999999999</v>
      </c>
      <c r="S72" s="25">
        <v>109.21</v>
      </c>
      <c r="T72" s="20">
        <v>44029</v>
      </c>
      <c r="U72" s="43">
        <v>1.2015</v>
      </c>
      <c r="V72" s="43">
        <v>40.590000000000003</v>
      </c>
    </row>
    <row r="73" spans="1:22">
      <c r="A73" s="20">
        <v>43868</v>
      </c>
      <c r="B73" s="25">
        <v>55.13</v>
      </c>
      <c r="C73" s="25">
        <v>1.6549</v>
      </c>
      <c r="D73" s="25">
        <v>108.73</v>
      </c>
      <c r="E73" s="25">
        <v>99.91</v>
      </c>
      <c r="Q73" s="15">
        <v>44606</v>
      </c>
      <c r="R73" s="25">
        <v>2.6654</v>
      </c>
      <c r="S73" s="25">
        <v>94.57</v>
      </c>
      <c r="T73" s="20">
        <v>44032</v>
      </c>
      <c r="U73" s="43">
        <v>1.2169000000000001</v>
      </c>
      <c r="V73" s="43">
        <v>40.67</v>
      </c>
    </row>
    <row r="74" spans="1:22">
      <c r="A74" s="20">
        <v>43871</v>
      </c>
      <c r="B74" s="25">
        <v>54.21</v>
      </c>
      <c r="C74" s="25">
        <v>1.6365000000000001</v>
      </c>
      <c r="D74" s="25">
        <v>105.99</v>
      </c>
      <c r="E74" s="25">
        <v>102.67</v>
      </c>
      <c r="Q74" s="15">
        <v>44603</v>
      </c>
      <c r="R74" s="25">
        <v>2.6534</v>
      </c>
      <c r="S74" s="25">
        <v>91.63</v>
      </c>
      <c r="T74" s="20">
        <v>44033</v>
      </c>
      <c r="U74" s="43">
        <v>1.2592000000000001</v>
      </c>
      <c r="V74" s="43">
        <v>41.08</v>
      </c>
    </row>
    <row r="75" spans="1:22">
      <c r="A75" s="20">
        <v>43872</v>
      </c>
      <c r="B75" s="25">
        <v>54.2</v>
      </c>
      <c r="C75" s="25">
        <v>1.5933999999999999</v>
      </c>
      <c r="D75" s="25">
        <v>105.32</v>
      </c>
      <c r="E75" s="25">
        <v>109.3</v>
      </c>
      <c r="Q75" s="15">
        <v>44602</v>
      </c>
      <c r="R75" s="25">
        <v>2.6251000000000002</v>
      </c>
      <c r="S75" s="25">
        <v>91.41</v>
      </c>
      <c r="T75" s="20">
        <v>44034</v>
      </c>
      <c r="U75" s="43">
        <v>1.2407999999999999</v>
      </c>
      <c r="V75" s="43">
        <v>41.08</v>
      </c>
    </row>
    <row r="76" spans="1:22">
      <c r="A76" s="20">
        <v>43873</v>
      </c>
      <c r="B76" s="25">
        <v>55.59</v>
      </c>
      <c r="C76" s="25">
        <v>1.573</v>
      </c>
      <c r="D76" s="25">
        <v>98.02</v>
      </c>
      <c r="E76" s="25">
        <v>107.14</v>
      </c>
      <c r="Q76" s="15">
        <v>44601</v>
      </c>
      <c r="R76" s="25">
        <v>2.6852999999999998</v>
      </c>
      <c r="S76" s="25">
        <v>91.54</v>
      </c>
      <c r="T76" s="20">
        <v>44035</v>
      </c>
      <c r="U76" s="43">
        <v>1.2749999999999999</v>
      </c>
      <c r="V76" s="43">
        <v>40.81</v>
      </c>
    </row>
    <row r="77" spans="1:22">
      <c r="A77" s="20">
        <v>43874</v>
      </c>
      <c r="B77" s="25">
        <v>55.9</v>
      </c>
      <c r="C77" s="25">
        <v>1.5259</v>
      </c>
      <c r="D77" s="25">
        <v>99.91</v>
      </c>
      <c r="E77" s="25">
        <v>108.82</v>
      </c>
      <c r="Q77" s="15">
        <v>44600</v>
      </c>
      <c r="R77" s="25">
        <v>2.6785000000000001</v>
      </c>
      <c r="S77" s="25">
        <v>91.43</v>
      </c>
      <c r="T77" s="20">
        <v>44036</v>
      </c>
      <c r="U77" s="43">
        <v>1.2908999999999999</v>
      </c>
      <c r="V77" s="43">
        <v>40.869999999999997</v>
      </c>
    </row>
    <row r="78" spans="1:22">
      <c r="A78" s="20">
        <v>43875</v>
      </c>
      <c r="B78" s="25">
        <v>56.77</v>
      </c>
      <c r="C78" s="25">
        <v>1.4930000000000001</v>
      </c>
      <c r="D78" s="25">
        <v>102.67</v>
      </c>
      <c r="E78" s="25">
        <v>119.78</v>
      </c>
      <c r="Q78" s="15">
        <v>44599</v>
      </c>
      <c r="R78" s="25">
        <v>2.6427</v>
      </c>
      <c r="S78" s="25">
        <v>91.39</v>
      </c>
      <c r="T78" s="20">
        <v>44039</v>
      </c>
      <c r="U78" s="43">
        <v>1.2504999999999999</v>
      </c>
      <c r="V78" s="43">
        <v>40.94</v>
      </c>
    </row>
    <row r="79" spans="1:22">
      <c r="A79" s="20">
        <v>43878</v>
      </c>
      <c r="B79" s="25">
        <v>57.28</v>
      </c>
      <c r="C79" s="25">
        <v>1.5143</v>
      </c>
      <c r="D79" s="25">
        <v>109.3</v>
      </c>
      <c r="E79" s="25">
        <v>116.55</v>
      </c>
      <c r="Q79" s="15">
        <v>44596</v>
      </c>
      <c r="R79" s="25">
        <v>2.6070000000000002</v>
      </c>
      <c r="S79" s="25">
        <v>90.96</v>
      </c>
      <c r="T79" s="20">
        <v>44040</v>
      </c>
      <c r="U79" s="43">
        <v>1.2830999999999999</v>
      </c>
      <c r="V79" s="43">
        <v>40.840000000000003</v>
      </c>
    </row>
    <row r="80" spans="1:22">
      <c r="A80" s="20">
        <v>43879</v>
      </c>
      <c r="B80" s="25">
        <v>56.72</v>
      </c>
      <c r="C80" s="25">
        <v>1.5407999999999999</v>
      </c>
      <c r="D80" s="25">
        <v>107.14</v>
      </c>
      <c r="E80" s="25">
        <v>113.49</v>
      </c>
      <c r="Q80" s="15">
        <v>44595</v>
      </c>
      <c r="R80" s="25">
        <v>2.5752000000000002</v>
      </c>
      <c r="S80" s="25">
        <v>91</v>
      </c>
      <c r="T80" s="20">
        <v>44041</v>
      </c>
      <c r="U80" s="43">
        <v>1.2471000000000001</v>
      </c>
      <c r="V80" s="43">
        <v>40.869999999999997</v>
      </c>
    </row>
    <row r="81" spans="1:22">
      <c r="A81" s="20">
        <v>43880</v>
      </c>
      <c r="B81" s="25">
        <v>57.56</v>
      </c>
      <c r="C81" s="25">
        <v>1.5055000000000001</v>
      </c>
      <c r="D81" s="25">
        <v>108.82</v>
      </c>
      <c r="E81" s="25">
        <v>106.68</v>
      </c>
      <c r="Q81" s="15">
        <v>44594</v>
      </c>
      <c r="R81" s="25">
        <v>2.5543999999999998</v>
      </c>
      <c r="S81" s="25">
        <v>91.68</v>
      </c>
      <c r="T81" s="20">
        <v>44042</v>
      </c>
      <c r="U81" s="43">
        <v>1.2262</v>
      </c>
      <c r="V81" s="43">
        <v>40.75</v>
      </c>
    </row>
    <row r="82" spans="1:22">
      <c r="A82" s="20">
        <v>43881</v>
      </c>
      <c r="B82" s="25">
        <v>57.53</v>
      </c>
      <c r="C82" s="25">
        <v>1.5041</v>
      </c>
      <c r="D82" s="25">
        <v>119.78</v>
      </c>
      <c r="E82" s="25">
        <v>109.21</v>
      </c>
      <c r="Q82" s="15">
        <v>44593</v>
      </c>
      <c r="R82" s="25">
        <v>2.5379</v>
      </c>
      <c r="S82" s="25">
        <v>91</v>
      </c>
      <c r="T82" s="20">
        <v>44043</v>
      </c>
      <c r="U82" s="43">
        <v>1.2427999999999999</v>
      </c>
      <c r="V82" s="43">
        <v>40.770000000000003</v>
      </c>
    </row>
    <row r="83" spans="1:22">
      <c r="A83" s="20">
        <v>43882</v>
      </c>
      <c r="B83" s="25">
        <v>50.16</v>
      </c>
      <c r="C83" s="25">
        <v>1.4737</v>
      </c>
      <c r="D83" s="25">
        <v>116.55</v>
      </c>
      <c r="E83" s="25">
        <v>94.57</v>
      </c>
      <c r="Q83" s="15">
        <v>44592</v>
      </c>
      <c r="R83" s="25">
        <v>2.5209999999999999</v>
      </c>
      <c r="S83" s="25">
        <v>92.59</v>
      </c>
      <c r="T83" s="20">
        <v>44046</v>
      </c>
      <c r="U83" s="43">
        <v>1.2157</v>
      </c>
      <c r="V83" s="43">
        <v>41.11</v>
      </c>
    </row>
    <row r="84" spans="1:22">
      <c r="A84" s="20">
        <v>43885</v>
      </c>
      <c r="B84" s="25">
        <v>49.7</v>
      </c>
      <c r="C84" s="25">
        <v>1.4432</v>
      </c>
      <c r="D84" s="25">
        <v>113.49</v>
      </c>
      <c r="E84" s="25">
        <v>91.63</v>
      </c>
      <c r="Q84" s="15">
        <v>44589</v>
      </c>
      <c r="R84" s="25">
        <v>2.5232000000000001</v>
      </c>
      <c r="S84" s="25">
        <v>91.4</v>
      </c>
      <c r="T84" s="20">
        <v>44047</v>
      </c>
      <c r="U84" s="43">
        <v>1.2061999999999999</v>
      </c>
      <c r="V84" s="43">
        <v>41.74</v>
      </c>
    </row>
    <row r="85" spans="1:22">
      <c r="A85" s="20">
        <v>43886</v>
      </c>
      <c r="B85" s="25">
        <v>50.71</v>
      </c>
      <c r="C85" s="25">
        <v>1.4863</v>
      </c>
      <c r="D85" s="25">
        <v>106.68</v>
      </c>
      <c r="E85" s="25">
        <v>91.41</v>
      </c>
      <c r="Q85" s="15">
        <v>44588</v>
      </c>
      <c r="R85" s="25">
        <v>2.4626000000000001</v>
      </c>
      <c r="S85" s="25">
        <v>89.61</v>
      </c>
      <c r="T85" s="20">
        <v>44048</v>
      </c>
      <c r="U85" s="43">
        <v>1.2131000000000001</v>
      </c>
      <c r="V85" s="43">
        <v>42.19</v>
      </c>
    </row>
    <row r="86" spans="1:22">
      <c r="A86" s="20">
        <v>43887</v>
      </c>
      <c r="B86" s="25">
        <v>50.88</v>
      </c>
      <c r="C86" s="25">
        <v>1.498</v>
      </c>
      <c r="D86" s="25">
        <v>109.21</v>
      </c>
      <c r="E86" s="25">
        <v>91.54</v>
      </c>
      <c r="Q86" s="15">
        <v>44587</v>
      </c>
      <c r="R86" s="25">
        <v>2.4020999999999999</v>
      </c>
      <c r="S86" s="25">
        <v>89.51</v>
      </c>
      <c r="T86" s="20">
        <v>44049</v>
      </c>
      <c r="U86" s="43">
        <v>1.2604</v>
      </c>
      <c r="V86" s="43">
        <v>41.99</v>
      </c>
    </row>
    <row r="87" spans="1:22">
      <c r="A87" s="20">
        <v>43888</v>
      </c>
      <c r="B87" s="25">
        <v>50.4</v>
      </c>
      <c r="C87" s="25">
        <v>1.5239</v>
      </c>
      <c r="D87" s="25">
        <v>94.57</v>
      </c>
      <c r="E87" s="25">
        <v>91.43</v>
      </c>
      <c r="Q87" s="15">
        <v>44586</v>
      </c>
      <c r="R87" s="25">
        <v>2.4464999999999999</v>
      </c>
      <c r="S87" s="25">
        <v>89.24</v>
      </c>
      <c r="T87" s="20">
        <v>44050</v>
      </c>
      <c r="U87" s="43">
        <v>1.2603</v>
      </c>
      <c r="V87" s="43">
        <v>41.4</v>
      </c>
    </row>
    <row r="88" spans="1:22">
      <c r="A88" s="20">
        <v>43889</v>
      </c>
      <c r="B88" s="25">
        <v>49.84</v>
      </c>
      <c r="C88" s="25">
        <v>1.5213000000000001</v>
      </c>
      <c r="D88" s="25">
        <v>91.63</v>
      </c>
      <c r="E88" s="25">
        <v>91.39</v>
      </c>
      <c r="Q88" s="15">
        <v>44585</v>
      </c>
      <c r="R88" s="25">
        <v>2.4662000000000002</v>
      </c>
      <c r="S88" s="25">
        <v>90.67</v>
      </c>
      <c r="T88" s="20">
        <v>44053</v>
      </c>
      <c r="U88" s="43">
        <v>1.2363</v>
      </c>
      <c r="V88" s="43">
        <v>41.94</v>
      </c>
    </row>
    <row r="89" spans="1:22">
      <c r="A89" s="20">
        <v>43892</v>
      </c>
      <c r="B89" s="25">
        <v>50.1</v>
      </c>
      <c r="C89" s="25">
        <v>1.5142</v>
      </c>
      <c r="D89" s="25">
        <v>91.41</v>
      </c>
      <c r="E89" s="25">
        <v>90.96</v>
      </c>
      <c r="Q89" s="15">
        <v>44582</v>
      </c>
      <c r="R89" s="25">
        <v>2.4615</v>
      </c>
      <c r="S89" s="25">
        <v>91.36</v>
      </c>
      <c r="T89" s="20">
        <v>44054</v>
      </c>
      <c r="U89" s="43">
        <v>1.256</v>
      </c>
      <c r="V89" s="43">
        <v>41.71</v>
      </c>
    </row>
    <row r="90" spans="1:22">
      <c r="A90" s="20">
        <v>43893</v>
      </c>
      <c r="B90" s="25">
        <v>50.88</v>
      </c>
      <c r="C90" s="25">
        <v>1.581</v>
      </c>
      <c r="D90" s="25">
        <v>91.54</v>
      </c>
      <c r="E90" s="25">
        <v>91</v>
      </c>
      <c r="Q90" s="15">
        <v>44581</v>
      </c>
      <c r="R90" s="25">
        <v>2.4386999999999999</v>
      </c>
      <c r="S90" s="25">
        <v>89.67</v>
      </c>
      <c r="T90" s="20">
        <v>44055</v>
      </c>
      <c r="U90" s="43">
        <v>1.2446999999999999</v>
      </c>
      <c r="V90" s="43">
        <v>42.43</v>
      </c>
    </row>
    <row r="91" spans="1:22">
      <c r="A91" s="20">
        <v>43894</v>
      </c>
      <c r="B91" s="25">
        <v>51.03</v>
      </c>
      <c r="C91" s="25">
        <v>1.7226999999999999</v>
      </c>
      <c r="D91" s="25">
        <v>91.43</v>
      </c>
      <c r="E91" s="25">
        <v>91.68</v>
      </c>
      <c r="Q91" s="15">
        <v>44580</v>
      </c>
      <c r="R91" s="25">
        <v>2.4237000000000002</v>
      </c>
      <c r="S91" s="25">
        <v>87.93</v>
      </c>
      <c r="T91" s="20">
        <v>44056</v>
      </c>
      <c r="U91" s="43">
        <v>1.2352000000000001</v>
      </c>
      <c r="V91" s="43">
        <v>42.16</v>
      </c>
    </row>
    <row r="92" spans="1:22">
      <c r="A92" s="20">
        <v>43895</v>
      </c>
      <c r="B92" s="25">
        <v>51.37</v>
      </c>
      <c r="C92" s="25">
        <v>1.5832999999999999</v>
      </c>
      <c r="D92" s="25">
        <v>91.39</v>
      </c>
      <c r="E92" s="25">
        <v>91</v>
      </c>
      <c r="Q92" s="15">
        <v>44579</v>
      </c>
      <c r="R92" s="25">
        <v>2.3877000000000002</v>
      </c>
      <c r="S92" s="25">
        <v>79.099999999999994</v>
      </c>
      <c r="T92" s="20">
        <v>44057</v>
      </c>
      <c r="U92" s="43">
        <v>1.2132000000000001</v>
      </c>
      <c r="V92" s="43">
        <v>42.04</v>
      </c>
    </row>
    <row r="93" spans="1:22">
      <c r="A93" s="20">
        <v>43896</v>
      </c>
      <c r="B93" s="25">
        <v>48.35</v>
      </c>
      <c r="C93" s="25">
        <v>1.6148</v>
      </c>
      <c r="D93" s="25">
        <v>90.96</v>
      </c>
      <c r="E93" s="25">
        <v>92.59</v>
      </c>
      <c r="Q93" s="15">
        <v>44578</v>
      </c>
      <c r="R93" s="25">
        <v>2.3908</v>
      </c>
      <c r="S93" s="25">
        <v>82.98</v>
      </c>
      <c r="T93" s="20">
        <v>44060</v>
      </c>
      <c r="U93" s="43">
        <v>1.1908000000000001</v>
      </c>
      <c r="V93" s="43">
        <v>42.49</v>
      </c>
    </row>
    <row r="94" spans="1:22">
      <c r="A94" s="20">
        <v>43899</v>
      </c>
      <c r="B94" s="25">
        <v>34.72</v>
      </c>
      <c r="C94" s="25">
        <v>1.7819</v>
      </c>
      <c r="D94" s="25">
        <v>91</v>
      </c>
      <c r="E94" s="25">
        <v>91.4</v>
      </c>
      <c r="Q94" s="15">
        <v>44575</v>
      </c>
      <c r="R94" s="25">
        <v>2.3574000000000002</v>
      </c>
      <c r="S94" s="25">
        <v>82.91</v>
      </c>
      <c r="T94" s="20">
        <v>44061</v>
      </c>
      <c r="U94" s="43">
        <v>1.1711</v>
      </c>
      <c r="V94" s="43">
        <v>42.47</v>
      </c>
    </row>
    <row r="95" spans="1:22">
      <c r="A95" s="20">
        <v>43900</v>
      </c>
      <c r="B95" s="25">
        <v>35.729999999999997</v>
      </c>
      <c r="C95" s="25">
        <v>1.7845</v>
      </c>
      <c r="D95" s="25">
        <v>91.68</v>
      </c>
      <c r="E95" s="25">
        <v>89.61</v>
      </c>
      <c r="Q95" s="15">
        <v>44574</v>
      </c>
      <c r="R95" s="25">
        <v>2.2753999999999999</v>
      </c>
      <c r="S95" s="25">
        <v>82.89</v>
      </c>
      <c r="T95" s="20">
        <v>44062</v>
      </c>
      <c r="U95" s="43">
        <v>1.2131000000000001</v>
      </c>
      <c r="V95" s="43">
        <v>42.47</v>
      </c>
    </row>
    <row r="96" spans="1:22">
      <c r="A96" s="20">
        <v>43901</v>
      </c>
      <c r="B96" s="25">
        <v>35.56</v>
      </c>
      <c r="C96" s="25">
        <v>1.7612000000000001</v>
      </c>
      <c r="D96" s="25">
        <v>91</v>
      </c>
      <c r="E96" s="25">
        <v>89.51</v>
      </c>
      <c r="Q96" s="15">
        <v>44573</v>
      </c>
      <c r="R96" s="25">
        <v>2.2989000000000002</v>
      </c>
      <c r="S96" s="25">
        <v>83</v>
      </c>
      <c r="T96" s="20">
        <v>44063</v>
      </c>
      <c r="U96" s="43">
        <v>1.2142999999999999</v>
      </c>
      <c r="V96" s="43">
        <v>41.64</v>
      </c>
    </row>
    <row r="97" spans="1:22">
      <c r="A97" s="20">
        <v>43902</v>
      </c>
      <c r="B97" s="25">
        <v>33.270000000000003</v>
      </c>
      <c r="C97" s="25">
        <v>1.7132000000000001</v>
      </c>
      <c r="D97" s="25">
        <v>92.59</v>
      </c>
      <c r="E97" s="25">
        <v>89.24</v>
      </c>
      <c r="Q97" s="15">
        <v>44572</v>
      </c>
      <c r="R97" s="25">
        <v>2.3043</v>
      </c>
      <c r="S97" s="25">
        <v>82.65</v>
      </c>
      <c r="T97" s="20">
        <v>44064</v>
      </c>
      <c r="U97" s="43">
        <v>1.2228000000000001</v>
      </c>
      <c r="V97" s="43">
        <v>40.29</v>
      </c>
    </row>
    <row r="98" spans="1:22">
      <c r="A98" s="20">
        <v>43903</v>
      </c>
      <c r="B98" s="25">
        <v>34.14</v>
      </c>
      <c r="C98" s="25">
        <v>1.6418999999999999</v>
      </c>
      <c r="D98" s="25">
        <v>91.4</v>
      </c>
      <c r="E98" s="25">
        <v>90.67</v>
      </c>
      <c r="Q98" s="15">
        <v>44571</v>
      </c>
      <c r="R98" s="25">
        <v>2.2921</v>
      </c>
      <c r="S98" s="25">
        <v>82.08</v>
      </c>
      <c r="T98" s="20">
        <v>44067</v>
      </c>
      <c r="U98" s="43">
        <v>1.2281</v>
      </c>
      <c r="V98" s="43">
        <v>39.82</v>
      </c>
    </row>
    <row r="99" spans="1:22">
      <c r="A99" s="20">
        <v>43906</v>
      </c>
      <c r="B99" s="25">
        <v>30.63</v>
      </c>
      <c r="C99" s="25">
        <v>1.5645</v>
      </c>
      <c r="D99" s="25">
        <v>89.61</v>
      </c>
      <c r="E99" s="25">
        <v>91.36</v>
      </c>
      <c r="Q99" s="15">
        <v>44568</v>
      </c>
      <c r="R99" s="25">
        <v>2.2763</v>
      </c>
      <c r="S99" s="25">
        <v>82.63</v>
      </c>
      <c r="T99" s="20">
        <v>44068</v>
      </c>
      <c r="U99" s="43">
        <v>1.2076</v>
      </c>
      <c r="V99" s="43">
        <v>39.83</v>
      </c>
    </row>
    <row r="100" spans="1:22">
      <c r="A100" s="20">
        <v>43907</v>
      </c>
      <c r="B100" s="25">
        <v>30.36</v>
      </c>
      <c r="C100" s="25">
        <v>1.5206</v>
      </c>
      <c r="D100" s="25">
        <v>89.51</v>
      </c>
      <c r="E100" s="25">
        <v>89.67</v>
      </c>
      <c r="Q100" s="15">
        <v>44567</v>
      </c>
      <c r="R100" s="25">
        <v>2.2565</v>
      </c>
      <c r="S100" s="25">
        <v>82.77</v>
      </c>
      <c r="T100" s="20">
        <v>44069</v>
      </c>
      <c r="U100" s="43">
        <v>1.2293000000000001</v>
      </c>
      <c r="V100" s="43">
        <v>39.369999999999997</v>
      </c>
    </row>
    <row r="101" spans="1:22">
      <c r="A101" s="20">
        <v>43908</v>
      </c>
      <c r="B101" s="25">
        <v>27.31</v>
      </c>
      <c r="C101" s="25">
        <v>1.4827999999999999</v>
      </c>
      <c r="D101" s="25">
        <v>89.24</v>
      </c>
      <c r="E101" s="25">
        <v>87.93</v>
      </c>
      <c r="Q101" s="15">
        <v>44566</v>
      </c>
      <c r="R101" s="25">
        <v>2.2246000000000001</v>
      </c>
      <c r="S101" s="25">
        <v>82.86</v>
      </c>
      <c r="T101" s="20">
        <v>44070</v>
      </c>
      <c r="U101" s="43">
        <v>1.2044999999999999</v>
      </c>
      <c r="V101" s="43">
        <v>38.96</v>
      </c>
    </row>
    <row r="102" spans="1:22">
      <c r="A102" s="20">
        <v>43909</v>
      </c>
      <c r="B102" s="25">
        <v>26.73</v>
      </c>
      <c r="C102" s="25">
        <v>1.5396000000000001</v>
      </c>
      <c r="D102" s="25">
        <v>90.67</v>
      </c>
      <c r="E102" s="25">
        <v>79.099999999999994</v>
      </c>
      <c r="Q102" s="15">
        <v>44565</v>
      </c>
      <c r="R102" s="25">
        <v>2.2913999999999999</v>
      </c>
      <c r="S102" s="25">
        <v>82.37</v>
      </c>
      <c r="T102" s="20">
        <v>44071</v>
      </c>
      <c r="U102" s="43">
        <v>1.1858</v>
      </c>
      <c r="V102" s="43">
        <v>39.35</v>
      </c>
    </row>
    <row r="103" spans="1:22">
      <c r="A103" s="20">
        <v>43910</v>
      </c>
      <c r="B103" s="25">
        <v>28.57</v>
      </c>
      <c r="C103" s="25">
        <v>1.5313000000000001</v>
      </c>
      <c r="D103" s="25">
        <v>91.36</v>
      </c>
      <c r="E103" s="25">
        <v>82.98</v>
      </c>
      <c r="Q103" s="15">
        <v>44564</v>
      </c>
      <c r="R103" s="25">
        <v>2.2665999999999999</v>
      </c>
      <c r="S103" s="25">
        <v>81.59</v>
      </c>
      <c r="T103" s="20">
        <v>44074</v>
      </c>
      <c r="U103" s="43">
        <v>1.1789000000000001</v>
      </c>
      <c r="V103" s="43">
        <v>41.29</v>
      </c>
    </row>
    <row r="104" spans="1:22">
      <c r="A104" s="20">
        <v>43913</v>
      </c>
      <c r="B104" s="25">
        <v>24.72</v>
      </c>
      <c r="C104" s="25">
        <v>1.5555000000000001</v>
      </c>
      <c r="D104" s="25">
        <v>89.67</v>
      </c>
      <c r="E104" s="25">
        <v>82.91</v>
      </c>
      <c r="Q104" s="15">
        <v>44561</v>
      </c>
      <c r="R104" s="25">
        <v>2.246</v>
      </c>
      <c r="S104" s="25">
        <v>80.67</v>
      </c>
      <c r="T104" s="20">
        <v>44075</v>
      </c>
      <c r="U104" s="43">
        <v>1.1879999999999999</v>
      </c>
      <c r="V104" s="43">
        <v>42.07</v>
      </c>
    </row>
    <row r="105" spans="1:22">
      <c r="A105" s="20">
        <v>43914</v>
      </c>
      <c r="B105" s="25">
        <v>26.53</v>
      </c>
      <c r="C105" s="25">
        <v>1.5218</v>
      </c>
      <c r="D105" s="25">
        <v>87.93</v>
      </c>
      <c r="E105" s="25">
        <v>82.89</v>
      </c>
      <c r="Q105" s="15">
        <v>44560</v>
      </c>
      <c r="R105" s="25">
        <v>2.2303999999999999</v>
      </c>
      <c r="S105" s="25">
        <v>80.94</v>
      </c>
      <c r="T105" s="20">
        <v>44076</v>
      </c>
      <c r="U105" s="43">
        <v>1.2134</v>
      </c>
      <c r="V105" s="43">
        <v>41.67</v>
      </c>
    </row>
    <row r="106" spans="1:22">
      <c r="A106" s="20">
        <v>43915</v>
      </c>
      <c r="B106" s="25">
        <v>26.94</v>
      </c>
      <c r="C106" s="25">
        <v>1.389</v>
      </c>
      <c r="D106" s="25">
        <v>79.099999999999994</v>
      </c>
      <c r="E106" s="25">
        <v>83</v>
      </c>
      <c r="Q106" s="15">
        <v>44559</v>
      </c>
      <c r="R106" s="25">
        <v>2.2033</v>
      </c>
      <c r="S106" s="25">
        <v>80.040000000000006</v>
      </c>
      <c r="T106" s="20">
        <v>44077</v>
      </c>
      <c r="U106" s="43">
        <v>1.2249000000000001</v>
      </c>
      <c r="V106" s="43">
        <v>41.49</v>
      </c>
    </row>
    <row r="107" spans="1:22">
      <c r="A107" s="20">
        <v>43916</v>
      </c>
      <c r="B107" s="25">
        <v>26.04</v>
      </c>
      <c r="C107" s="25">
        <v>1.1369</v>
      </c>
      <c r="D107" s="25">
        <v>82.98</v>
      </c>
      <c r="E107" s="25">
        <v>82.65</v>
      </c>
      <c r="Q107" s="15">
        <v>44558</v>
      </c>
      <c r="R107" s="25">
        <v>2.165</v>
      </c>
      <c r="S107" s="25">
        <v>77.95</v>
      </c>
      <c r="T107" s="20">
        <v>44078</v>
      </c>
      <c r="U107" s="43">
        <v>1.2284999999999999</v>
      </c>
      <c r="V107" s="43">
        <v>40.18</v>
      </c>
    </row>
    <row r="108" spans="1:22">
      <c r="A108" s="20">
        <v>43917</v>
      </c>
      <c r="B108" s="25">
        <v>24.26</v>
      </c>
      <c r="C108" s="25">
        <v>1.1571</v>
      </c>
      <c r="D108" s="25">
        <v>82.91</v>
      </c>
      <c r="E108" s="25">
        <v>82.08</v>
      </c>
      <c r="Q108" s="15">
        <v>44557</v>
      </c>
      <c r="R108" s="25">
        <v>2.1448</v>
      </c>
      <c r="S108" s="25">
        <v>78.48</v>
      </c>
      <c r="T108" s="20">
        <v>44081</v>
      </c>
      <c r="U108" s="43">
        <v>1.2263999999999999</v>
      </c>
      <c r="V108" s="43">
        <v>37.76</v>
      </c>
    </row>
    <row r="109" spans="1:22">
      <c r="A109" s="20">
        <v>43920</v>
      </c>
      <c r="B109" s="25">
        <v>21.66</v>
      </c>
      <c r="C109" s="25">
        <v>1.1103000000000001</v>
      </c>
      <c r="D109" s="25">
        <v>82.89</v>
      </c>
      <c r="E109" s="25">
        <v>82.63</v>
      </c>
      <c r="Q109" s="15">
        <v>44554</v>
      </c>
      <c r="R109" s="25">
        <v>2.0785999999999998</v>
      </c>
      <c r="S109" s="25">
        <v>78.88</v>
      </c>
      <c r="T109" s="20">
        <v>44082</v>
      </c>
      <c r="U109" s="43">
        <v>1.2130000000000001</v>
      </c>
      <c r="V109" s="43">
        <v>38.72</v>
      </c>
    </row>
    <row r="110" spans="1:22">
      <c r="A110" s="20">
        <v>43921</v>
      </c>
      <c r="B110" s="25">
        <v>22.61</v>
      </c>
      <c r="C110" s="25">
        <v>0.91900000000000004</v>
      </c>
      <c r="D110" s="25">
        <v>83</v>
      </c>
      <c r="E110" s="25">
        <v>82.77</v>
      </c>
      <c r="Q110" s="15">
        <v>44553</v>
      </c>
      <c r="R110" s="25">
        <v>2.1126</v>
      </c>
      <c r="S110" s="25">
        <v>77.59</v>
      </c>
      <c r="T110" s="20">
        <v>44083</v>
      </c>
      <c r="U110" s="43">
        <v>1.2598</v>
      </c>
      <c r="V110" s="43">
        <v>38.18</v>
      </c>
    </row>
    <row r="111" spans="1:22">
      <c r="A111" s="20">
        <v>43922</v>
      </c>
      <c r="B111" s="25">
        <v>16.850000000000001</v>
      </c>
      <c r="C111" s="25">
        <v>0.91349999999999998</v>
      </c>
      <c r="D111" s="25">
        <v>82.65</v>
      </c>
      <c r="E111" s="25">
        <v>82.86</v>
      </c>
      <c r="Q111" s="15">
        <v>44552</v>
      </c>
      <c r="R111" s="25">
        <v>2.1644000000000001</v>
      </c>
      <c r="S111" s="25">
        <v>76.86</v>
      </c>
      <c r="T111" s="20">
        <v>44084</v>
      </c>
      <c r="U111" s="43">
        <v>1.2685</v>
      </c>
      <c r="V111" s="43">
        <v>38.19</v>
      </c>
    </row>
    <row r="112" spans="1:22">
      <c r="A112" s="20">
        <v>43923</v>
      </c>
      <c r="B112" s="25">
        <v>18.91</v>
      </c>
      <c r="C112" s="25">
        <v>0.70169999999999999</v>
      </c>
      <c r="D112" s="25">
        <v>82.08</v>
      </c>
      <c r="E112" s="25">
        <v>82.37</v>
      </c>
      <c r="Q112" s="15">
        <v>44551</v>
      </c>
      <c r="R112" s="25">
        <v>2.1122999999999998</v>
      </c>
      <c r="S112" s="25">
        <v>76</v>
      </c>
      <c r="T112" s="20">
        <v>44085</v>
      </c>
      <c r="U112" s="43">
        <v>1.2634000000000001</v>
      </c>
      <c r="V112" s="43">
        <v>38.14</v>
      </c>
    </row>
    <row r="113" spans="1:22">
      <c r="A113" s="20">
        <v>43924</v>
      </c>
      <c r="B113" s="25">
        <v>23.01</v>
      </c>
      <c r="C113" s="25">
        <v>0.71140000000000003</v>
      </c>
      <c r="D113" s="25">
        <v>82.63</v>
      </c>
      <c r="E113" s="25">
        <v>81.59</v>
      </c>
      <c r="Q113" s="15">
        <v>44550</v>
      </c>
      <c r="R113" s="25">
        <v>2.1107999999999998</v>
      </c>
      <c r="S113" s="25">
        <v>71.69</v>
      </c>
      <c r="T113" s="20">
        <v>44088</v>
      </c>
      <c r="U113" s="43">
        <v>1.2181999999999999</v>
      </c>
      <c r="V113" s="43">
        <v>38.72</v>
      </c>
    </row>
    <row r="114" spans="1:22">
      <c r="A114" s="20">
        <v>43927</v>
      </c>
      <c r="B114" s="25">
        <v>23.48</v>
      </c>
      <c r="C114" s="25">
        <v>0.64590000000000003</v>
      </c>
      <c r="D114" s="25">
        <v>82.77</v>
      </c>
      <c r="E114" s="25">
        <v>80.67</v>
      </c>
      <c r="Q114" s="15">
        <v>44547</v>
      </c>
      <c r="R114" s="25">
        <v>2.1164999999999998</v>
      </c>
      <c r="S114" s="25">
        <v>71.77</v>
      </c>
      <c r="T114" s="20">
        <v>44089</v>
      </c>
      <c r="U114" s="43">
        <v>1.2464999999999999</v>
      </c>
      <c r="V114" s="43">
        <v>39.700000000000003</v>
      </c>
    </row>
    <row r="115" spans="1:22">
      <c r="A115" s="20">
        <v>43928</v>
      </c>
      <c r="B115" s="25">
        <v>22.67</v>
      </c>
      <c r="C115" s="25">
        <v>0.69320000000000004</v>
      </c>
      <c r="D115" s="25">
        <v>82.86</v>
      </c>
      <c r="E115" s="25">
        <v>80.94</v>
      </c>
      <c r="Q115" s="15">
        <v>44546</v>
      </c>
      <c r="R115" s="25">
        <v>2.1372</v>
      </c>
      <c r="S115" s="25">
        <v>65.25</v>
      </c>
      <c r="T115" s="20">
        <v>44090</v>
      </c>
      <c r="U115" s="43">
        <v>1.2137</v>
      </c>
      <c r="V115" s="43">
        <v>38.090000000000003</v>
      </c>
    </row>
    <row r="116" spans="1:22">
      <c r="A116" s="20">
        <v>43929</v>
      </c>
      <c r="B116" s="25">
        <v>21.19</v>
      </c>
      <c r="C116" s="25">
        <v>0.60540000000000005</v>
      </c>
      <c r="D116" s="25">
        <v>82.37</v>
      </c>
      <c r="E116" s="25">
        <v>80.040000000000006</v>
      </c>
      <c r="Q116" s="15">
        <v>44545</v>
      </c>
      <c r="R116" s="25">
        <v>2.1284000000000001</v>
      </c>
      <c r="S116" s="25">
        <v>71.650000000000006</v>
      </c>
      <c r="T116" s="20">
        <v>44091</v>
      </c>
      <c r="U116" s="43">
        <v>1.2246999999999999</v>
      </c>
      <c r="V116" s="43">
        <v>39.07</v>
      </c>
    </row>
    <row r="117" spans="1:22">
      <c r="A117" s="20">
        <v>43930</v>
      </c>
      <c r="B117" s="25">
        <v>21.77</v>
      </c>
      <c r="C117" s="25">
        <v>0.49469999999999997</v>
      </c>
      <c r="D117" s="25">
        <v>81.59</v>
      </c>
      <c r="E117" s="25">
        <v>77.95</v>
      </c>
      <c r="Q117" s="15">
        <v>44544</v>
      </c>
      <c r="R117" s="25">
        <v>2.1484999999999999</v>
      </c>
      <c r="S117" s="25">
        <v>71.58</v>
      </c>
      <c r="T117" s="20">
        <v>44092</v>
      </c>
      <c r="U117" s="43">
        <v>1.202</v>
      </c>
      <c r="V117" s="43">
        <v>39.450000000000003</v>
      </c>
    </row>
    <row r="118" spans="1:22">
      <c r="A118" s="20">
        <v>43934</v>
      </c>
      <c r="B118" s="25">
        <v>21.18</v>
      </c>
      <c r="C118" s="25">
        <v>0.51049999999999995</v>
      </c>
      <c r="D118" s="25">
        <v>80.67</v>
      </c>
      <c r="E118" s="25">
        <v>78.48</v>
      </c>
      <c r="Q118" s="15">
        <v>44543</v>
      </c>
      <c r="R118" s="25">
        <v>2.1</v>
      </c>
      <c r="S118" s="25">
        <v>71.17</v>
      </c>
      <c r="T118" s="20">
        <v>44095</v>
      </c>
      <c r="U118" s="43">
        <v>1.2049000000000001</v>
      </c>
      <c r="V118" s="43">
        <v>39.54</v>
      </c>
    </row>
    <row r="119" spans="1:22">
      <c r="A119" s="20">
        <v>43935</v>
      </c>
      <c r="B119" s="25">
        <v>19.7</v>
      </c>
      <c r="C119" s="25">
        <v>0.60540000000000005</v>
      </c>
      <c r="D119" s="25">
        <v>80.94</v>
      </c>
      <c r="E119" s="25">
        <v>78.88</v>
      </c>
      <c r="Q119" s="15">
        <v>44540</v>
      </c>
      <c r="R119" s="25">
        <v>2.0432999999999999</v>
      </c>
      <c r="S119" s="25">
        <v>70.89</v>
      </c>
      <c r="T119" s="20">
        <v>44096</v>
      </c>
      <c r="U119" s="43">
        <v>1.1772</v>
      </c>
      <c r="V119" s="43">
        <v>39.58</v>
      </c>
    </row>
    <row r="120" spans="1:22">
      <c r="A120" s="20">
        <v>43936</v>
      </c>
      <c r="B120" s="25">
        <v>17.510000000000002</v>
      </c>
      <c r="C120" s="25">
        <v>0.59799999999999998</v>
      </c>
      <c r="D120" s="25">
        <v>80.040000000000006</v>
      </c>
      <c r="E120" s="25">
        <v>77.59</v>
      </c>
      <c r="Q120" s="15">
        <v>44539</v>
      </c>
      <c r="R120" s="25">
        <v>1.9529000000000001</v>
      </c>
      <c r="S120" s="25">
        <v>70.37</v>
      </c>
      <c r="T120" s="20">
        <v>44097</v>
      </c>
      <c r="U120" s="43">
        <v>1.1028</v>
      </c>
      <c r="V120" s="43">
        <v>39.67</v>
      </c>
    </row>
    <row r="121" spans="1:22">
      <c r="A121" s="20">
        <v>43937</v>
      </c>
      <c r="B121" s="25">
        <v>17.73</v>
      </c>
      <c r="C121" s="25">
        <v>0.61360000000000003</v>
      </c>
      <c r="D121" s="25">
        <v>77.95</v>
      </c>
      <c r="E121" s="25">
        <v>76.86</v>
      </c>
      <c r="Q121" s="15">
        <v>44538</v>
      </c>
      <c r="R121" s="25">
        <v>1.9677</v>
      </c>
      <c r="S121" s="25">
        <v>69.459999999999994</v>
      </c>
      <c r="T121" s="20">
        <v>44098</v>
      </c>
      <c r="U121" s="43">
        <v>1.1193</v>
      </c>
      <c r="V121" s="43">
        <v>39.659999999999997</v>
      </c>
    </row>
    <row r="122" spans="1:22">
      <c r="A122" s="20">
        <v>43938</v>
      </c>
      <c r="B122" s="25">
        <v>18.170000000000002</v>
      </c>
      <c r="C122" s="25">
        <v>0.61680000000000001</v>
      </c>
      <c r="D122" s="25">
        <v>78.48</v>
      </c>
      <c r="E122" s="25">
        <v>76</v>
      </c>
      <c r="Q122" s="15">
        <v>44537</v>
      </c>
      <c r="R122" s="25">
        <v>1.9511000000000001</v>
      </c>
      <c r="S122" s="25">
        <v>70.349999999999994</v>
      </c>
      <c r="T122" s="20">
        <v>44099</v>
      </c>
      <c r="U122" s="43">
        <v>1.0976999999999999</v>
      </c>
      <c r="V122" s="43">
        <v>39.71</v>
      </c>
    </row>
    <row r="123" spans="1:22">
      <c r="A123" s="20">
        <v>43941</v>
      </c>
      <c r="B123" s="25">
        <v>14.19</v>
      </c>
      <c r="C123" s="25">
        <v>0.5927</v>
      </c>
      <c r="D123" s="25">
        <v>78.88</v>
      </c>
      <c r="E123" s="25">
        <v>71.69</v>
      </c>
      <c r="Q123" s="15">
        <v>44536</v>
      </c>
      <c r="R123" s="25">
        <v>1.9400999999999999</v>
      </c>
      <c r="S123" s="25">
        <v>71</v>
      </c>
      <c r="T123" s="20">
        <v>44102</v>
      </c>
      <c r="U123" s="43">
        <v>1.0949</v>
      </c>
      <c r="V123" s="43">
        <v>39.58</v>
      </c>
    </row>
    <row r="124" spans="1:22">
      <c r="A124" s="20">
        <v>43942</v>
      </c>
      <c r="B124" s="25">
        <v>14.63</v>
      </c>
      <c r="C124" s="25">
        <v>0.54649999999999999</v>
      </c>
      <c r="D124" s="25">
        <v>77.59</v>
      </c>
      <c r="E124" s="25">
        <v>71.77</v>
      </c>
      <c r="Q124" s="15">
        <v>44533</v>
      </c>
      <c r="R124" s="25">
        <v>2.0329999999999999</v>
      </c>
      <c r="S124" s="25">
        <v>70.260000000000005</v>
      </c>
      <c r="T124" s="20">
        <v>44103</v>
      </c>
      <c r="U124" s="43">
        <v>1.0922000000000001</v>
      </c>
      <c r="V124" s="43">
        <v>39.630000000000003</v>
      </c>
    </row>
    <row r="125" spans="1:22">
      <c r="A125" s="20">
        <v>43943</v>
      </c>
      <c r="B125" s="25">
        <v>12.22</v>
      </c>
      <c r="C125" s="25">
        <v>0.66279999999999994</v>
      </c>
      <c r="D125" s="25">
        <v>76.86</v>
      </c>
      <c r="E125" s="25">
        <v>65.25</v>
      </c>
      <c r="Q125" s="15">
        <v>44532</v>
      </c>
      <c r="R125" s="25">
        <v>1.9811000000000001</v>
      </c>
      <c r="S125" s="25">
        <v>70.180000000000007</v>
      </c>
      <c r="T125" s="20">
        <v>44104</v>
      </c>
      <c r="U125" s="43">
        <v>1.1198999999999999</v>
      </c>
      <c r="V125" s="43">
        <v>38.83</v>
      </c>
    </row>
    <row r="126" spans="1:22">
      <c r="A126" s="20">
        <v>43944</v>
      </c>
      <c r="B126" s="25">
        <v>15.23</v>
      </c>
      <c r="C126" s="25">
        <v>0.69159999999999999</v>
      </c>
      <c r="D126" s="25">
        <v>76</v>
      </c>
      <c r="E126" s="25">
        <v>71.650000000000006</v>
      </c>
      <c r="Q126" s="15">
        <v>44531</v>
      </c>
      <c r="R126" s="25">
        <v>2.2658999999999998</v>
      </c>
      <c r="S126" s="25">
        <v>70.5</v>
      </c>
      <c r="T126" s="20">
        <v>44105</v>
      </c>
      <c r="U126" s="43">
        <v>1.1694</v>
      </c>
      <c r="V126" s="43">
        <v>37.229999999999997</v>
      </c>
    </row>
    <row r="127" spans="1:22">
      <c r="A127" s="20">
        <v>43945</v>
      </c>
      <c r="B127" s="25">
        <v>14.31</v>
      </c>
      <c r="C127" s="25">
        <v>0.7016</v>
      </c>
      <c r="D127" s="25">
        <v>71.69</v>
      </c>
      <c r="E127" s="25">
        <v>71.58</v>
      </c>
      <c r="Q127" s="15">
        <v>44530</v>
      </c>
      <c r="R127" s="25">
        <v>2.2783000000000002</v>
      </c>
      <c r="S127" s="25">
        <v>70.760000000000005</v>
      </c>
      <c r="T127" s="20">
        <v>44106</v>
      </c>
      <c r="U127" s="43">
        <v>1.2017</v>
      </c>
      <c r="V127" s="43">
        <v>39.200000000000003</v>
      </c>
    </row>
    <row r="128" spans="1:22">
      <c r="A128" s="20">
        <v>43948</v>
      </c>
      <c r="B128" s="25">
        <v>13.3</v>
      </c>
      <c r="C128" s="25">
        <v>0.6482</v>
      </c>
      <c r="D128" s="25">
        <v>71.77</v>
      </c>
      <c r="E128" s="25">
        <v>71.17</v>
      </c>
      <c r="Q128" s="15">
        <v>44529</v>
      </c>
      <c r="R128" s="25">
        <v>2.2033</v>
      </c>
      <c r="S128" s="25">
        <v>70.28</v>
      </c>
      <c r="T128" s="20">
        <v>44109</v>
      </c>
      <c r="U128" s="43">
        <v>1.2097</v>
      </c>
      <c r="V128" s="43">
        <v>40.450000000000003</v>
      </c>
    </row>
    <row r="129" spans="1:22">
      <c r="A129" s="20">
        <v>43949</v>
      </c>
      <c r="B129" s="25">
        <v>12.41</v>
      </c>
      <c r="C129" s="25">
        <v>0.67800000000000005</v>
      </c>
      <c r="D129" s="25">
        <v>65.25</v>
      </c>
      <c r="E129" s="25">
        <v>70.89</v>
      </c>
      <c r="Q129" s="15">
        <v>44526</v>
      </c>
      <c r="R129" s="25">
        <v>2.1568999999999998</v>
      </c>
      <c r="S129" s="25">
        <v>71.3</v>
      </c>
      <c r="T129" s="20">
        <v>44110</v>
      </c>
      <c r="U129" s="43">
        <v>1.1544000000000001</v>
      </c>
      <c r="V129" s="43">
        <v>39.86</v>
      </c>
    </row>
    <row r="130" spans="1:22">
      <c r="A130" s="20">
        <v>43950</v>
      </c>
      <c r="B130" s="25">
        <v>14.36</v>
      </c>
      <c r="C130" s="25">
        <v>0.67730000000000001</v>
      </c>
      <c r="D130" s="25">
        <v>71.650000000000006</v>
      </c>
      <c r="E130" s="25">
        <v>70.37</v>
      </c>
      <c r="Q130" s="15">
        <v>44525</v>
      </c>
      <c r="R130" s="25">
        <v>2.2427000000000001</v>
      </c>
      <c r="S130" s="25">
        <v>71.05</v>
      </c>
      <c r="T130" s="20">
        <v>44111</v>
      </c>
      <c r="U130" s="43">
        <v>1.1437999999999999</v>
      </c>
      <c r="V130" s="43">
        <v>40.82</v>
      </c>
    </row>
    <row r="131" spans="1:22">
      <c r="A131" s="20">
        <v>43951</v>
      </c>
      <c r="B131" s="25">
        <v>18.05</v>
      </c>
      <c r="C131" s="25">
        <v>0.70330000000000004</v>
      </c>
      <c r="D131" s="25">
        <v>71.58</v>
      </c>
      <c r="E131" s="25">
        <v>69.459999999999994</v>
      </c>
      <c r="Q131" s="15">
        <v>44524</v>
      </c>
      <c r="R131" s="25">
        <v>2.2305000000000001</v>
      </c>
      <c r="S131" s="25">
        <v>68.959999999999994</v>
      </c>
      <c r="T131" s="20">
        <v>44112</v>
      </c>
      <c r="U131" s="43">
        <v>1.1577999999999999</v>
      </c>
      <c r="V131" s="43">
        <v>39.22</v>
      </c>
    </row>
    <row r="132" spans="1:22">
      <c r="A132" s="20">
        <v>43952</v>
      </c>
      <c r="B132" s="25">
        <v>16.52</v>
      </c>
      <c r="C132" s="25">
        <v>0.72</v>
      </c>
      <c r="D132" s="25">
        <v>71.17</v>
      </c>
      <c r="E132" s="25">
        <v>70.349999999999994</v>
      </c>
      <c r="Q132" s="15">
        <v>44523</v>
      </c>
      <c r="R132" s="25">
        <v>2.2936000000000001</v>
      </c>
      <c r="S132" s="25">
        <v>66.180000000000007</v>
      </c>
      <c r="T132" s="20">
        <v>44113</v>
      </c>
      <c r="U132" s="43">
        <v>1.1732</v>
      </c>
      <c r="V132" s="43">
        <v>39.53</v>
      </c>
    </row>
    <row r="133" spans="1:22">
      <c r="A133" s="20">
        <v>43955</v>
      </c>
      <c r="B133" s="25">
        <v>18.36</v>
      </c>
      <c r="C133" s="25">
        <v>0.72040000000000004</v>
      </c>
      <c r="D133" s="25">
        <v>70.89</v>
      </c>
      <c r="E133" s="25">
        <v>71</v>
      </c>
      <c r="Q133" s="15">
        <v>44522</v>
      </c>
      <c r="R133" s="25">
        <v>2.2761999999999998</v>
      </c>
      <c r="S133" s="25">
        <v>66.37</v>
      </c>
      <c r="T133" s="20">
        <v>44116</v>
      </c>
      <c r="U133" s="43">
        <v>1.1898</v>
      </c>
      <c r="V133" s="43">
        <v>38.42</v>
      </c>
    </row>
    <row r="134" spans="1:22">
      <c r="A134" s="20">
        <v>43956</v>
      </c>
      <c r="B134" s="25">
        <v>21.43</v>
      </c>
      <c r="C134" s="25">
        <v>0.75690000000000002</v>
      </c>
      <c r="D134" s="25">
        <v>70.37</v>
      </c>
      <c r="E134" s="25">
        <v>70.260000000000005</v>
      </c>
      <c r="Q134" s="15">
        <v>44519</v>
      </c>
      <c r="R134" s="25">
        <v>2.2685</v>
      </c>
      <c r="S134" s="25">
        <v>65.5</v>
      </c>
      <c r="T134" s="20">
        <v>44117</v>
      </c>
      <c r="U134" s="43">
        <v>1.2132000000000001</v>
      </c>
      <c r="V134" s="43">
        <v>37.119999999999997</v>
      </c>
    </row>
    <row r="135" spans="1:22">
      <c r="A135" s="20">
        <v>43957</v>
      </c>
      <c r="B135" s="25">
        <v>22.4</v>
      </c>
      <c r="C135" s="25">
        <v>0.76459999999999995</v>
      </c>
      <c r="D135" s="25">
        <v>69.459999999999994</v>
      </c>
      <c r="E135" s="25">
        <v>70.180000000000007</v>
      </c>
      <c r="Q135" s="15">
        <v>44518</v>
      </c>
      <c r="R135" s="25">
        <v>2.2806000000000002</v>
      </c>
      <c r="S135" s="25">
        <v>70.569999999999993</v>
      </c>
      <c r="T135" s="20">
        <v>44118</v>
      </c>
      <c r="U135" s="43">
        <v>1.1711</v>
      </c>
      <c r="V135" s="43">
        <v>36.5</v>
      </c>
    </row>
    <row r="136" spans="1:22">
      <c r="A136" s="20">
        <v>43958</v>
      </c>
      <c r="B136" s="25">
        <v>16.18</v>
      </c>
      <c r="C136" s="25">
        <v>0.72550000000000003</v>
      </c>
      <c r="D136" s="25">
        <v>70.349999999999994</v>
      </c>
      <c r="E136" s="25">
        <v>70.5</v>
      </c>
      <c r="Q136" s="15">
        <v>44517</v>
      </c>
      <c r="R136" s="25">
        <v>2.2646000000000002</v>
      </c>
      <c r="S136" s="25">
        <v>71.650000000000006</v>
      </c>
      <c r="T136" s="20">
        <v>44119</v>
      </c>
      <c r="U136" s="43">
        <v>1.1816</v>
      </c>
      <c r="V136" s="43">
        <v>35.89</v>
      </c>
    </row>
    <row r="137" spans="1:22">
      <c r="A137" s="20">
        <v>43959</v>
      </c>
      <c r="B137" s="25">
        <v>15.5</v>
      </c>
      <c r="C137" s="25">
        <v>0.62529999999999997</v>
      </c>
      <c r="D137" s="25">
        <v>71</v>
      </c>
      <c r="E137" s="25">
        <v>70.760000000000005</v>
      </c>
      <c r="Q137" s="15">
        <v>44516</v>
      </c>
      <c r="R137" s="25">
        <v>2.3752</v>
      </c>
      <c r="S137" s="25">
        <v>70.069999999999993</v>
      </c>
      <c r="T137" s="20">
        <v>44120</v>
      </c>
      <c r="U137" s="43">
        <v>1.1524000000000001</v>
      </c>
      <c r="V137" s="43">
        <v>38.44</v>
      </c>
    </row>
    <row r="138" spans="1:22">
      <c r="A138" s="20">
        <v>43962</v>
      </c>
      <c r="B138" s="25">
        <v>16.23</v>
      </c>
      <c r="C138" s="25">
        <v>0.6875</v>
      </c>
      <c r="D138" s="25">
        <v>70.260000000000005</v>
      </c>
      <c r="E138" s="25">
        <v>70.28</v>
      </c>
      <c r="Q138" s="15">
        <v>44515</v>
      </c>
      <c r="R138" s="25">
        <v>2.3222</v>
      </c>
      <c r="S138" s="25">
        <v>53.1</v>
      </c>
      <c r="T138" s="20">
        <v>44123</v>
      </c>
      <c r="U138" s="43">
        <v>1.1234999999999999</v>
      </c>
      <c r="V138" s="43">
        <v>39.090000000000003</v>
      </c>
    </row>
    <row r="139" spans="1:22">
      <c r="A139" s="20">
        <v>43963</v>
      </c>
      <c r="B139" s="25">
        <v>17.010000000000002</v>
      </c>
      <c r="C139" s="25">
        <v>0.68210000000000004</v>
      </c>
      <c r="D139" s="25">
        <v>70.180000000000007</v>
      </c>
      <c r="E139" s="25">
        <v>71.3</v>
      </c>
      <c r="Q139" s="15">
        <v>44512</v>
      </c>
      <c r="R139" s="25">
        <v>2.3209</v>
      </c>
      <c r="S139" s="25">
        <v>71.010000000000005</v>
      </c>
      <c r="T139" s="20">
        <v>44124</v>
      </c>
      <c r="U139" s="43">
        <v>1.1940999999999999</v>
      </c>
      <c r="V139" s="43">
        <v>39.79</v>
      </c>
    </row>
    <row r="140" spans="1:22">
      <c r="A140" s="20">
        <v>43964</v>
      </c>
      <c r="B140" s="25">
        <v>17.12</v>
      </c>
      <c r="C140" s="25">
        <v>0.70009999999999994</v>
      </c>
      <c r="D140" s="25">
        <v>70.5</v>
      </c>
      <c r="E140" s="25">
        <v>71.05</v>
      </c>
      <c r="Q140" s="15">
        <v>44511</v>
      </c>
      <c r="R140" s="25">
        <v>2.2926000000000002</v>
      </c>
      <c r="S140" s="25">
        <v>74.2</v>
      </c>
      <c r="T140" s="20">
        <v>44125</v>
      </c>
      <c r="U140" s="43">
        <v>1.2351000000000001</v>
      </c>
      <c r="V140" s="43">
        <v>39.22</v>
      </c>
    </row>
    <row r="141" spans="1:22">
      <c r="A141" s="20">
        <v>43965</v>
      </c>
      <c r="B141" s="25">
        <v>16.32</v>
      </c>
      <c r="C141" s="25">
        <v>0.68489999999999995</v>
      </c>
      <c r="D141" s="25">
        <v>70.760000000000005</v>
      </c>
      <c r="E141" s="25">
        <v>68.959999999999994</v>
      </c>
      <c r="Q141" s="15">
        <v>44510</v>
      </c>
      <c r="R141" s="25">
        <v>2.3384999999999998</v>
      </c>
      <c r="S141" s="25">
        <v>76.09</v>
      </c>
      <c r="T141" s="20">
        <v>44126</v>
      </c>
      <c r="U141" s="43">
        <v>1.2009000000000001</v>
      </c>
      <c r="V141" s="43">
        <v>39.97</v>
      </c>
    </row>
    <row r="142" spans="1:22">
      <c r="A142" s="20">
        <v>43966</v>
      </c>
      <c r="B142" s="25">
        <v>16.260000000000002</v>
      </c>
      <c r="C142" s="25">
        <v>0.70399999999999996</v>
      </c>
      <c r="D142" s="25">
        <v>70.28</v>
      </c>
      <c r="E142" s="25">
        <v>66.180000000000007</v>
      </c>
      <c r="Q142" s="15">
        <v>44509</v>
      </c>
      <c r="R142" s="25">
        <v>2.4500999999999999</v>
      </c>
      <c r="S142" s="25">
        <v>80.34</v>
      </c>
      <c r="T142" s="20">
        <v>44127</v>
      </c>
      <c r="U142" s="43">
        <v>1.2316</v>
      </c>
      <c r="V142" s="43">
        <v>39.799999999999997</v>
      </c>
    </row>
    <row r="143" spans="1:22">
      <c r="A143" s="20">
        <v>43969</v>
      </c>
      <c r="B143" s="25">
        <v>16.52</v>
      </c>
      <c r="C143" s="25">
        <v>0.72719999999999996</v>
      </c>
      <c r="D143" s="25">
        <v>71.3</v>
      </c>
      <c r="E143" s="25">
        <v>66.37</v>
      </c>
      <c r="Q143" s="15">
        <v>44508</v>
      </c>
      <c r="R143" s="25">
        <v>2.4093</v>
      </c>
      <c r="S143" s="25">
        <v>80.03</v>
      </c>
      <c r="T143" s="20">
        <v>44130</v>
      </c>
      <c r="U143" s="43">
        <v>1.2032</v>
      </c>
      <c r="V143" s="43">
        <v>39.979999999999997</v>
      </c>
    </row>
    <row r="144" spans="1:22">
      <c r="A144" s="20">
        <v>43970</v>
      </c>
      <c r="B144" s="25">
        <v>16.7</v>
      </c>
      <c r="C144" s="25">
        <v>0.78369999999999995</v>
      </c>
      <c r="D144" s="25">
        <v>71.05</v>
      </c>
      <c r="E144" s="25">
        <v>65.5</v>
      </c>
      <c r="Q144" s="15">
        <v>44505</v>
      </c>
      <c r="R144" s="25">
        <v>2.3696999999999999</v>
      </c>
      <c r="S144" s="25">
        <v>79.400000000000006</v>
      </c>
      <c r="T144" s="20">
        <v>44131</v>
      </c>
      <c r="U144" s="43">
        <v>1.1757</v>
      </c>
      <c r="V144" s="43">
        <v>39.119999999999997</v>
      </c>
    </row>
    <row r="145" spans="1:22">
      <c r="A145" s="20">
        <v>43971</v>
      </c>
      <c r="B145" s="25">
        <v>20.66</v>
      </c>
      <c r="C145" s="25">
        <v>0.76629999999999998</v>
      </c>
      <c r="D145" s="25">
        <v>68.959999999999994</v>
      </c>
      <c r="E145" s="25">
        <v>70.569999999999993</v>
      </c>
      <c r="Q145" s="15">
        <v>44504</v>
      </c>
      <c r="R145" s="25">
        <v>2.3589000000000002</v>
      </c>
      <c r="S145" s="25">
        <v>78.900000000000006</v>
      </c>
      <c r="T145" s="20">
        <v>44132</v>
      </c>
      <c r="U145" s="43">
        <v>1.1633</v>
      </c>
      <c r="V145" s="43">
        <v>37.65</v>
      </c>
    </row>
    <row r="146" spans="1:22">
      <c r="A146" s="20">
        <v>43972</v>
      </c>
      <c r="B146" s="25">
        <v>21.2</v>
      </c>
      <c r="C146" s="25">
        <v>0.82150000000000001</v>
      </c>
      <c r="D146" s="25">
        <v>66.180000000000007</v>
      </c>
      <c r="E146" s="25">
        <v>71.650000000000006</v>
      </c>
      <c r="Q146" s="15">
        <v>44503</v>
      </c>
      <c r="R146" s="25">
        <v>2.3792</v>
      </c>
      <c r="S146" s="25">
        <v>80.319999999999993</v>
      </c>
      <c r="T146" s="20">
        <v>44133</v>
      </c>
      <c r="U146" s="43">
        <v>1.1795</v>
      </c>
      <c r="V146" s="43">
        <v>37.46</v>
      </c>
    </row>
    <row r="147" spans="1:22">
      <c r="A147" s="20">
        <v>43973</v>
      </c>
      <c r="B147" s="25">
        <v>24.79</v>
      </c>
      <c r="C147" s="25">
        <v>0.90129999999999999</v>
      </c>
      <c r="D147" s="25">
        <v>66.37</v>
      </c>
      <c r="E147" s="25">
        <v>70.069999999999993</v>
      </c>
      <c r="Q147" s="15">
        <v>44502</v>
      </c>
      <c r="R147" s="25">
        <v>2.4472</v>
      </c>
      <c r="S147" s="25">
        <v>79.37</v>
      </c>
      <c r="T147" s="20">
        <v>44134</v>
      </c>
      <c r="U147" s="43">
        <v>1.1637</v>
      </c>
      <c r="V147" s="43">
        <v>36.9</v>
      </c>
    </row>
    <row r="148" spans="1:22">
      <c r="A148" s="20">
        <v>43977</v>
      </c>
      <c r="B148" s="25">
        <v>24.2</v>
      </c>
      <c r="C148" s="25">
        <v>0.87690000000000001</v>
      </c>
      <c r="D148" s="25">
        <v>65.5</v>
      </c>
      <c r="E148" s="25">
        <v>53.1</v>
      </c>
      <c r="Q148" s="15">
        <v>44501</v>
      </c>
      <c r="R148" s="25">
        <v>2.4426999999999999</v>
      </c>
      <c r="S148" s="25">
        <v>81.099999999999994</v>
      </c>
      <c r="T148" s="20">
        <v>44137</v>
      </c>
      <c r="U148" s="43">
        <v>1.1535</v>
      </c>
      <c r="V148" s="43">
        <v>37.700000000000003</v>
      </c>
    </row>
    <row r="149" spans="1:22">
      <c r="A149" s="20">
        <v>43978</v>
      </c>
      <c r="B149" s="25">
        <v>23.72</v>
      </c>
      <c r="C149" s="25">
        <v>0.93140000000000001</v>
      </c>
      <c r="D149" s="25">
        <v>70.569999999999993</v>
      </c>
      <c r="E149" s="25">
        <v>71.010000000000005</v>
      </c>
      <c r="Q149" s="15">
        <v>44498</v>
      </c>
      <c r="R149" s="25">
        <v>2.4156</v>
      </c>
      <c r="S149" s="25">
        <v>82.01</v>
      </c>
      <c r="T149" s="20">
        <v>44138</v>
      </c>
      <c r="U149" s="43">
        <v>1.1485000000000001</v>
      </c>
      <c r="V149" s="43">
        <v>39.04</v>
      </c>
    </row>
    <row r="150" spans="1:22">
      <c r="A150" s="20">
        <v>43979</v>
      </c>
      <c r="B150" s="25">
        <v>24.67</v>
      </c>
      <c r="C150" s="25">
        <v>0.95220000000000005</v>
      </c>
      <c r="D150" s="25">
        <v>71.650000000000006</v>
      </c>
      <c r="E150" s="25">
        <v>74.2</v>
      </c>
      <c r="Q150" s="15">
        <v>44497</v>
      </c>
      <c r="R150" s="25">
        <v>2.419</v>
      </c>
      <c r="S150" s="25">
        <v>80.900000000000006</v>
      </c>
      <c r="T150" s="20">
        <v>44139</v>
      </c>
      <c r="U150" s="43">
        <v>1.1725000000000001</v>
      </c>
      <c r="V150" s="43">
        <v>38.729999999999997</v>
      </c>
    </row>
    <row r="151" spans="1:22">
      <c r="A151" s="20">
        <v>43980</v>
      </c>
      <c r="B151" s="25">
        <v>24.08</v>
      </c>
      <c r="C151" s="25">
        <v>0.92420000000000002</v>
      </c>
      <c r="D151" s="25">
        <v>70.069999999999993</v>
      </c>
      <c r="E151" s="25">
        <v>76.09</v>
      </c>
      <c r="Q151" s="15">
        <v>44496</v>
      </c>
      <c r="R151" s="25">
        <v>2.4468999999999999</v>
      </c>
      <c r="S151" s="25">
        <v>81.069999999999993</v>
      </c>
      <c r="T151" s="20">
        <v>44140</v>
      </c>
      <c r="U151" s="43">
        <v>1.1271</v>
      </c>
      <c r="V151" s="43">
        <v>37.42</v>
      </c>
    </row>
    <row r="152" spans="1:22">
      <c r="A152" s="20">
        <v>43983</v>
      </c>
      <c r="B152" s="25">
        <v>25.01</v>
      </c>
      <c r="C152" s="25">
        <v>0.93630000000000002</v>
      </c>
      <c r="D152" s="25">
        <v>53.1</v>
      </c>
      <c r="E152" s="25">
        <v>80.34</v>
      </c>
      <c r="Q152" s="15">
        <v>44495</v>
      </c>
      <c r="R152" s="25">
        <v>2.4176000000000002</v>
      </c>
      <c r="S152" s="25">
        <v>79.08</v>
      </c>
      <c r="T152" s="20">
        <v>44141</v>
      </c>
      <c r="U152" s="43">
        <v>1.1452</v>
      </c>
      <c r="V152" s="43">
        <v>39.78</v>
      </c>
    </row>
    <row r="153" spans="1:22">
      <c r="A153" s="20">
        <v>43984</v>
      </c>
      <c r="B153" s="25">
        <v>24.66</v>
      </c>
      <c r="C153" s="25">
        <v>0.88180000000000003</v>
      </c>
      <c r="D153" s="25">
        <v>71.010000000000005</v>
      </c>
      <c r="E153" s="25">
        <v>80.03</v>
      </c>
      <c r="Q153" s="15">
        <v>44494</v>
      </c>
      <c r="R153" s="25">
        <v>2.4222999999999999</v>
      </c>
      <c r="S153" s="25">
        <v>80.790000000000006</v>
      </c>
      <c r="T153" s="20">
        <v>44144</v>
      </c>
      <c r="U153" s="43">
        <v>1.127</v>
      </c>
      <c r="V153" s="43">
        <v>40.520000000000003</v>
      </c>
    </row>
    <row r="154" spans="1:22">
      <c r="A154" s="20">
        <v>43985</v>
      </c>
      <c r="B154" s="25">
        <v>25.88</v>
      </c>
      <c r="C154" s="25">
        <v>0.93689999999999996</v>
      </c>
      <c r="D154" s="25">
        <v>74.2</v>
      </c>
      <c r="E154" s="25">
        <v>79.400000000000006</v>
      </c>
      <c r="Q154" s="15">
        <v>44491</v>
      </c>
      <c r="R154" s="25">
        <v>2.4251</v>
      </c>
      <c r="S154" s="25">
        <v>82.7</v>
      </c>
      <c r="T154" s="20">
        <v>44145</v>
      </c>
      <c r="U154" s="43">
        <v>1.0969</v>
      </c>
      <c r="V154" s="43">
        <v>40.58</v>
      </c>
    </row>
    <row r="155" spans="1:22">
      <c r="A155" s="20">
        <v>43986</v>
      </c>
      <c r="B155" s="25">
        <v>26.74</v>
      </c>
      <c r="C155" s="25">
        <v>0.98380000000000001</v>
      </c>
      <c r="D155" s="25">
        <v>76.09</v>
      </c>
      <c r="E155" s="25">
        <v>78.900000000000006</v>
      </c>
      <c r="Q155" s="15">
        <v>44490</v>
      </c>
      <c r="R155" s="25">
        <v>2.3824000000000001</v>
      </c>
      <c r="S155" s="25">
        <v>82.39</v>
      </c>
      <c r="T155" s="20">
        <v>44146</v>
      </c>
      <c r="U155" s="43">
        <v>1.1288</v>
      </c>
      <c r="V155" s="43">
        <v>40.380000000000003</v>
      </c>
    </row>
    <row r="156" spans="1:22">
      <c r="A156" s="20">
        <v>43987</v>
      </c>
      <c r="B156" s="25">
        <v>27.72</v>
      </c>
      <c r="C156" s="25">
        <v>1.0426</v>
      </c>
      <c r="D156" s="25">
        <v>80.34</v>
      </c>
      <c r="E156" s="25">
        <v>80.319999999999993</v>
      </c>
      <c r="Q156" s="15">
        <v>44489</v>
      </c>
      <c r="R156" s="25">
        <v>2.4055</v>
      </c>
      <c r="S156" s="25">
        <v>80.16</v>
      </c>
      <c r="T156" s="20">
        <v>44147</v>
      </c>
      <c r="U156" s="43">
        <v>1.0636000000000001</v>
      </c>
      <c r="V156" s="43">
        <v>39.83</v>
      </c>
    </row>
    <row r="157" spans="1:22">
      <c r="A157" s="20">
        <v>43990</v>
      </c>
      <c r="B157" s="25">
        <v>27.86</v>
      </c>
      <c r="C157" s="25">
        <v>1.0549999999999999</v>
      </c>
      <c r="D157" s="25">
        <v>80.03</v>
      </c>
      <c r="E157" s="25">
        <v>79.37</v>
      </c>
      <c r="Q157" s="15">
        <v>44488</v>
      </c>
      <c r="R157" s="25">
        <v>2.3828999999999998</v>
      </c>
      <c r="S157" s="25">
        <v>81.19</v>
      </c>
      <c r="T157" s="20">
        <v>44148</v>
      </c>
      <c r="U157" s="43">
        <v>1.028</v>
      </c>
      <c r="V157" s="43">
        <v>40.42</v>
      </c>
    </row>
    <row r="158" spans="1:22">
      <c r="A158" s="20">
        <v>43991</v>
      </c>
      <c r="B158" s="25">
        <v>28.4</v>
      </c>
      <c r="C158" s="25">
        <v>1.0438000000000001</v>
      </c>
      <c r="D158" s="25">
        <v>79.400000000000006</v>
      </c>
      <c r="E158" s="25">
        <v>81.099999999999994</v>
      </c>
      <c r="Q158" s="15">
        <v>44487</v>
      </c>
      <c r="R158" s="25">
        <v>2.3778999999999999</v>
      </c>
      <c r="S158" s="25">
        <v>81.17</v>
      </c>
      <c r="T158" s="20">
        <v>44151</v>
      </c>
      <c r="U158" s="43">
        <v>1.0322</v>
      </c>
      <c r="V158" s="43">
        <v>40.46</v>
      </c>
    </row>
    <row r="159" spans="1:22">
      <c r="A159" s="20">
        <v>43992</v>
      </c>
      <c r="B159" s="25">
        <v>28.53</v>
      </c>
      <c r="C159" s="25">
        <v>1.0618000000000001</v>
      </c>
      <c r="D159" s="25">
        <v>78.900000000000006</v>
      </c>
      <c r="E159" s="25">
        <v>82.01</v>
      </c>
      <c r="Q159" s="15">
        <v>44484</v>
      </c>
      <c r="R159" s="25">
        <v>2.3662000000000001</v>
      </c>
      <c r="S159" s="25">
        <v>81.459999999999994</v>
      </c>
      <c r="T159" s="20">
        <v>44152</v>
      </c>
      <c r="U159" s="43">
        <v>1.052</v>
      </c>
      <c r="V159" s="43">
        <v>40.61</v>
      </c>
    </row>
    <row r="160" spans="1:22">
      <c r="A160" s="20">
        <v>43993</v>
      </c>
      <c r="B160" s="25">
        <v>28.36</v>
      </c>
      <c r="C160" s="25">
        <v>1.0518000000000001</v>
      </c>
      <c r="D160" s="25">
        <v>80.319999999999993</v>
      </c>
      <c r="E160" s="25">
        <v>80.900000000000006</v>
      </c>
      <c r="Q160" s="15">
        <v>44483</v>
      </c>
      <c r="R160" s="25">
        <v>2.3344</v>
      </c>
      <c r="S160" s="25">
        <v>65.25</v>
      </c>
      <c r="T160" s="20">
        <v>44153</v>
      </c>
      <c r="U160" s="43">
        <v>1.0769</v>
      </c>
      <c r="V160" s="43">
        <v>40.57</v>
      </c>
    </row>
    <row r="161" spans="1:22">
      <c r="A161" s="20">
        <v>43994</v>
      </c>
      <c r="B161" s="25">
        <v>28.58</v>
      </c>
      <c r="C161" s="25">
        <v>1.0648</v>
      </c>
      <c r="D161" s="25">
        <v>79.37</v>
      </c>
      <c r="E161" s="25">
        <v>81.069999999999993</v>
      </c>
      <c r="Q161" s="15">
        <v>44482</v>
      </c>
      <c r="R161" s="25">
        <v>2.3081999999999998</v>
      </c>
      <c r="S161" s="25">
        <v>81.290000000000006</v>
      </c>
      <c r="T161" s="20">
        <v>44154</v>
      </c>
      <c r="U161" s="43">
        <v>1.1081000000000001</v>
      </c>
      <c r="V161" s="43">
        <v>40.72</v>
      </c>
    </row>
    <row r="162" spans="1:22">
      <c r="A162" s="20">
        <v>43997</v>
      </c>
      <c r="B162" s="25">
        <v>28.35</v>
      </c>
      <c r="C162" s="25">
        <v>1.0177</v>
      </c>
      <c r="D162" s="25">
        <v>81.099999999999994</v>
      </c>
      <c r="E162" s="25">
        <v>79.08</v>
      </c>
      <c r="Q162" s="15">
        <v>44481</v>
      </c>
      <c r="R162" s="25">
        <v>2.3578999999999999</v>
      </c>
      <c r="S162" s="25">
        <v>80.930000000000007</v>
      </c>
      <c r="T162" s="20">
        <v>44155</v>
      </c>
      <c r="U162" s="43">
        <v>1.1158999999999999</v>
      </c>
      <c r="V162" s="43">
        <v>40.880000000000003</v>
      </c>
    </row>
    <row r="163" spans="1:22">
      <c r="A163" s="20">
        <v>43998</v>
      </c>
      <c r="B163" s="25">
        <v>28.44</v>
      </c>
      <c r="C163" s="25">
        <v>1.026</v>
      </c>
      <c r="D163" s="25">
        <v>82.01</v>
      </c>
      <c r="E163" s="25">
        <v>80.790000000000006</v>
      </c>
      <c r="Q163" s="15">
        <v>44480</v>
      </c>
      <c r="R163" s="25">
        <v>2.3085</v>
      </c>
      <c r="S163" s="25">
        <v>81.23</v>
      </c>
      <c r="T163" s="20">
        <v>44158</v>
      </c>
      <c r="U163" s="43">
        <v>1.0844</v>
      </c>
      <c r="V163" s="43">
        <v>41.25</v>
      </c>
    </row>
    <row r="164" spans="1:22">
      <c r="A164" s="20">
        <v>43999</v>
      </c>
      <c r="B164" s="25">
        <v>28.53</v>
      </c>
      <c r="C164" s="25">
        <v>1.0785</v>
      </c>
      <c r="D164" s="25">
        <v>80.900000000000006</v>
      </c>
      <c r="E164" s="25">
        <v>82.7</v>
      </c>
      <c r="Q164" s="15">
        <v>44477</v>
      </c>
      <c r="R164" s="25">
        <v>2.25</v>
      </c>
      <c r="S164" s="25">
        <v>80.86</v>
      </c>
      <c r="T164" s="20">
        <v>44159</v>
      </c>
      <c r="U164" s="43">
        <v>1.1607000000000001</v>
      </c>
      <c r="V164" s="43">
        <v>41.37</v>
      </c>
    </row>
    <row r="165" spans="1:22">
      <c r="A165" s="20">
        <v>44000</v>
      </c>
      <c r="B165" s="25">
        <v>35.54</v>
      </c>
      <c r="C165" s="25">
        <v>1.0667</v>
      </c>
      <c r="D165" s="25">
        <v>81.069999999999993</v>
      </c>
      <c r="E165" s="25">
        <v>82.39</v>
      </c>
      <c r="Q165" s="15">
        <v>44476</v>
      </c>
      <c r="R165" s="25">
        <v>2.194</v>
      </c>
      <c r="S165" s="25">
        <v>80.56</v>
      </c>
      <c r="T165" s="20">
        <v>44160</v>
      </c>
      <c r="U165" s="43">
        <v>1.1940999999999999</v>
      </c>
      <c r="V165" s="43">
        <v>41.36</v>
      </c>
    </row>
    <row r="166" spans="1:22">
      <c r="A166" s="20">
        <v>44001</v>
      </c>
      <c r="B166" s="25">
        <v>36.82</v>
      </c>
      <c r="C166" s="25">
        <v>1.1183000000000001</v>
      </c>
      <c r="D166" s="25">
        <v>79.08</v>
      </c>
      <c r="E166" s="25">
        <v>80.16</v>
      </c>
      <c r="Q166" s="15">
        <v>44475</v>
      </c>
      <c r="R166" s="25">
        <v>2.1749999999999998</v>
      </c>
      <c r="S166" s="25">
        <v>80.55</v>
      </c>
      <c r="T166" s="20">
        <v>44161</v>
      </c>
      <c r="U166" s="43">
        <v>1.1758999999999999</v>
      </c>
      <c r="V166" s="43">
        <v>41.35</v>
      </c>
    </row>
    <row r="167" spans="1:22">
      <c r="A167" s="20">
        <v>44004</v>
      </c>
      <c r="B167" s="25">
        <v>37.270000000000003</v>
      </c>
      <c r="C167" s="25">
        <v>1.1193</v>
      </c>
      <c r="D167" s="25">
        <v>80.790000000000006</v>
      </c>
      <c r="E167" s="25">
        <v>81.19</v>
      </c>
      <c r="Q167" s="15">
        <v>44474</v>
      </c>
      <c r="R167" s="25">
        <v>2.1475</v>
      </c>
      <c r="S167" s="25">
        <v>80.05</v>
      </c>
      <c r="T167" s="20">
        <v>44162</v>
      </c>
      <c r="U167" s="43">
        <v>1.1557999999999999</v>
      </c>
      <c r="V167" s="43">
        <v>44.61</v>
      </c>
    </row>
    <row r="168" spans="1:22">
      <c r="A168" s="20">
        <v>44005</v>
      </c>
      <c r="B168" s="25">
        <v>37.369999999999997</v>
      </c>
      <c r="C168" s="25">
        <v>1.149</v>
      </c>
      <c r="D168" s="25">
        <v>82.7</v>
      </c>
      <c r="E168" s="25">
        <v>81.17</v>
      </c>
      <c r="Q168" s="15">
        <v>44473</v>
      </c>
      <c r="R168" s="25">
        <v>2.17</v>
      </c>
      <c r="S168" s="25">
        <v>79.53</v>
      </c>
      <c r="T168" s="20">
        <v>44165</v>
      </c>
      <c r="U168" s="43">
        <v>1.125</v>
      </c>
      <c r="V168" s="43">
        <v>45.3</v>
      </c>
    </row>
    <row r="169" spans="1:22">
      <c r="A169" s="20">
        <v>44006</v>
      </c>
      <c r="B169" s="25">
        <v>38.17</v>
      </c>
      <c r="C169" s="25">
        <v>1.2136</v>
      </c>
      <c r="D169" s="25">
        <v>82.39</v>
      </c>
      <c r="E169" s="25">
        <v>81.459999999999994</v>
      </c>
      <c r="Q169" s="15">
        <v>44470</v>
      </c>
      <c r="R169" s="25">
        <v>2.1377000000000002</v>
      </c>
      <c r="S169" s="25">
        <v>79.62</v>
      </c>
      <c r="T169" s="20">
        <v>44166</v>
      </c>
      <c r="U169" s="43">
        <v>1.147</v>
      </c>
      <c r="V169" s="43">
        <v>45.62</v>
      </c>
    </row>
    <row r="170" spans="1:22">
      <c r="A170" s="20">
        <v>44007</v>
      </c>
      <c r="B170" s="25">
        <v>37.18</v>
      </c>
      <c r="C170" s="25">
        <v>1.1950000000000001</v>
      </c>
      <c r="D170" s="25">
        <v>80.16</v>
      </c>
      <c r="E170" s="25">
        <v>65.25</v>
      </c>
      <c r="Q170" s="15">
        <v>44469</v>
      </c>
      <c r="R170" s="25">
        <v>2.1261000000000001</v>
      </c>
      <c r="S170" s="25">
        <v>79.58</v>
      </c>
      <c r="T170" s="20">
        <v>44167</v>
      </c>
      <c r="U170" s="43">
        <v>1.1528</v>
      </c>
      <c r="V170" s="43">
        <v>46.16</v>
      </c>
    </row>
    <row r="171" spans="1:22">
      <c r="A171" s="20">
        <v>44008</v>
      </c>
      <c r="B171" s="25">
        <v>37.99</v>
      </c>
      <c r="C171" s="25">
        <v>1.2102999999999999</v>
      </c>
      <c r="D171" s="25">
        <v>81.19</v>
      </c>
      <c r="E171" s="25">
        <v>81.290000000000006</v>
      </c>
      <c r="Q171" s="15">
        <v>44468</v>
      </c>
      <c r="R171" s="25">
        <v>2.0836999999999999</v>
      </c>
      <c r="S171" s="25">
        <v>78.739999999999995</v>
      </c>
      <c r="T171" s="20">
        <v>44168</v>
      </c>
      <c r="U171" s="43">
        <v>1.1626000000000001</v>
      </c>
      <c r="V171" s="43">
        <v>45.76</v>
      </c>
    </row>
    <row r="172" spans="1:22">
      <c r="A172" s="20">
        <v>44011</v>
      </c>
      <c r="B172" s="25">
        <v>37.340000000000003</v>
      </c>
      <c r="C172" s="25">
        <v>1.2099</v>
      </c>
      <c r="D172" s="25">
        <v>81.17</v>
      </c>
      <c r="E172" s="25">
        <v>80.930000000000007</v>
      </c>
      <c r="Q172" s="15">
        <v>44467</v>
      </c>
      <c r="R172" s="25">
        <v>2.0598000000000001</v>
      </c>
      <c r="S172" s="25">
        <v>78.03</v>
      </c>
      <c r="T172" s="20">
        <v>44169</v>
      </c>
      <c r="U172" s="43">
        <v>1.1596</v>
      </c>
      <c r="V172" s="43">
        <v>45.64</v>
      </c>
    </row>
    <row r="173" spans="1:22">
      <c r="A173" s="20">
        <v>44012</v>
      </c>
      <c r="B173" s="25">
        <v>36.97</v>
      </c>
      <c r="C173" s="25">
        <v>1.1188</v>
      </c>
      <c r="D173" s="25">
        <v>81.459999999999994</v>
      </c>
      <c r="E173" s="25">
        <v>81.23</v>
      </c>
      <c r="Q173" s="15">
        <v>44466</v>
      </c>
      <c r="R173" s="25">
        <v>2.0602999999999998</v>
      </c>
      <c r="S173" s="25">
        <v>77.31</v>
      </c>
      <c r="T173" s="20">
        <v>44172</v>
      </c>
      <c r="U173" s="43">
        <v>1.1702999999999999</v>
      </c>
      <c r="V173" s="43">
        <v>45.58</v>
      </c>
    </row>
    <row r="174" spans="1:22">
      <c r="A174" s="20">
        <v>44013</v>
      </c>
      <c r="B174" s="25">
        <v>36.93</v>
      </c>
      <c r="C174" s="25">
        <v>1.1367</v>
      </c>
      <c r="D174" s="25">
        <v>65.25</v>
      </c>
      <c r="E174" s="25">
        <v>80.86</v>
      </c>
      <c r="Q174" s="15">
        <v>44463</v>
      </c>
      <c r="R174" s="25">
        <v>2.1156999999999999</v>
      </c>
      <c r="S174" s="25">
        <v>78.599999999999994</v>
      </c>
      <c r="T174" s="20">
        <v>44173</v>
      </c>
      <c r="U174" s="43">
        <v>1.1971000000000001</v>
      </c>
      <c r="V174" s="43">
        <v>46.44</v>
      </c>
    </row>
    <row r="175" spans="1:22">
      <c r="A175" s="20">
        <v>44014</v>
      </c>
      <c r="B175" s="25">
        <v>37.42</v>
      </c>
      <c r="C175" s="25">
        <v>1.1732</v>
      </c>
      <c r="D175" s="25">
        <v>81.290000000000006</v>
      </c>
      <c r="E175" s="25">
        <v>80.56</v>
      </c>
      <c r="Q175" s="15">
        <v>44462</v>
      </c>
      <c r="R175" s="25">
        <v>2.1269</v>
      </c>
      <c r="S175" s="25">
        <v>77.44</v>
      </c>
      <c r="T175" s="20">
        <v>44174</v>
      </c>
      <c r="U175" s="43">
        <v>1.2509999999999999</v>
      </c>
      <c r="V175" s="43">
        <v>46.3</v>
      </c>
    </row>
    <row r="176" spans="1:22">
      <c r="A176" s="20">
        <v>44015</v>
      </c>
      <c r="B176" s="25">
        <v>38.03</v>
      </c>
      <c r="C176" s="25">
        <v>1.2149000000000001</v>
      </c>
      <c r="D176" s="25">
        <v>80.930000000000007</v>
      </c>
      <c r="E176" s="25">
        <v>80.55</v>
      </c>
      <c r="Q176" s="15">
        <v>44461</v>
      </c>
      <c r="R176" s="25">
        <v>2.1438000000000001</v>
      </c>
      <c r="S176" s="25">
        <v>75.78</v>
      </c>
      <c r="T176" s="20">
        <v>44175</v>
      </c>
      <c r="U176" s="43">
        <v>1.2709999999999999</v>
      </c>
      <c r="V176" s="43">
        <v>46.54</v>
      </c>
    </row>
    <row r="177" spans="1:22">
      <c r="A177" s="20">
        <v>44018</v>
      </c>
      <c r="B177" s="25">
        <v>37.840000000000003</v>
      </c>
      <c r="C177" s="25">
        <v>1.2219</v>
      </c>
      <c r="D177" s="25">
        <v>81.23</v>
      </c>
      <c r="E177" s="25">
        <v>80.05</v>
      </c>
      <c r="Q177" s="15">
        <v>44460</v>
      </c>
      <c r="R177" s="25">
        <v>2.1118999999999999</v>
      </c>
      <c r="S177" s="25">
        <v>71.13</v>
      </c>
      <c r="T177" s="20">
        <v>44176</v>
      </c>
      <c r="U177" s="43">
        <v>1.266</v>
      </c>
      <c r="V177" s="43">
        <v>46.89</v>
      </c>
    </row>
    <row r="178" spans="1:22">
      <c r="A178" s="20">
        <v>44019</v>
      </c>
      <c r="B178" s="25">
        <v>38.19</v>
      </c>
      <c r="C178" s="25">
        <v>1.2575000000000001</v>
      </c>
      <c r="D178" s="25">
        <v>80.86</v>
      </c>
      <c r="E178" s="25">
        <v>79.53</v>
      </c>
      <c r="Q178" s="15">
        <v>44459</v>
      </c>
      <c r="R178" s="25">
        <v>2.1608999999999998</v>
      </c>
      <c r="S178" s="25">
        <v>71.540000000000006</v>
      </c>
      <c r="T178" s="20">
        <v>44179</v>
      </c>
      <c r="U178" s="43">
        <v>1.2416</v>
      </c>
      <c r="V178" s="43">
        <v>46.99</v>
      </c>
    </row>
    <row r="179" spans="1:22">
      <c r="A179" s="20">
        <v>44020</v>
      </c>
      <c r="B179" s="25">
        <v>38.479999999999997</v>
      </c>
      <c r="C179" s="25">
        <v>1.2709999999999999</v>
      </c>
      <c r="D179" s="25">
        <v>80.56</v>
      </c>
      <c r="E179" s="25">
        <v>79.62</v>
      </c>
      <c r="Q179" s="15">
        <v>44456</v>
      </c>
      <c r="R179" s="25">
        <v>2.1539999999999999</v>
      </c>
      <c r="S179" s="25">
        <v>71.58</v>
      </c>
      <c r="T179" s="20">
        <v>44180</v>
      </c>
      <c r="U179" s="43">
        <v>1.2203999999999999</v>
      </c>
      <c r="V179" s="43">
        <v>47.24</v>
      </c>
    </row>
    <row r="180" spans="1:22">
      <c r="A180" s="20">
        <v>44021</v>
      </c>
      <c r="B180" s="25">
        <v>38.76</v>
      </c>
      <c r="C180" s="25">
        <v>1.2904</v>
      </c>
      <c r="D180" s="25">
        <v>80.55</v>
      </c>
      <c r="E180" s="25">
        <v>79.58</v>
      </c>
      <c r="Q180" s="15">
        <v>44455</v>
      </c>
      <c r="R180" s="25">
        <v>2.0996999999999999</v>
      </c>
      <c r="S180" s="25">
        <v>71.599999999999994</v>
      </c>
      <c r="T180" s="20">
        <v>44181</v>
      </c>
      <c r="U180" s="43">
        <v>1.2399</v>
      </c>
      <c r="V180" s="43">
        <v>47.53</v>
      </c>
    </row>
    <row r="181" spans="1:22">
      <c r="A181" s="20">
        <v>44022</v>
      </c>
      <c r="B181" s="25">
        <v>38.659999999999997</v>
      </c>
      <c r="C181" s="25">
        <v>1.2983</v>
      </c>
      <c r="D181" s="25">
        <v>80.05</v>
      </c>
      <c r="E181" s="25">
        <v>78.739999999999995</v>
      </c>
      <c r="Q181" s="15">
        <v>44454</v>
      </c>
      <c r="R181" s="25">
        <v>2.1320999999999999</v>
      </c>
      <c r="S181" s="25">
        <v>69.3</v>
      </c>
      <c r="T181" s="20">
        <v>44182</v>
      </c>
      <c r="U181" s="43">
        <v>1.2617</v>
      </c>
      <c r="V181" s="43">
        <v>47.06</v>
      </c>
    </row>
    <row r="182" spans="1:22">
      <c r="A182" s="20">
        <v>44025</v>
      </c>
      <c r="B182" s="25">
        <v>38.130000000000003</v>
      </c>
      <c r="C182" s="25">
        <v>1.1992</v>
      </c>
      <c r="D182" s="25">
        <v>79.53</v>
      </c>
      <c r="E182" s="25">
        <v>78.03</v>
      </c>
      <c r="Q182" s="15">
        <v>44453</v>
      </c>
      <c r="R182" s="25">
        <v>2.13</v>
      </c>
      <c r="S182" s="25">
        <v>71.16</v>
      </c>
      <c r="T182" s="20">
        <v>44183</v>
      </c>
      <c r="U182" s="43">
        <v>1.2685</v>
      </c>
      <c r="V182" s="43">
        <v>46.76</v>
      </c>
    </row>
    <row r="183" spans="1:22">
      <c r="A183" s="20">
        <v>44026</v>
      </c>
      <c r="B183" s="25">
        <v>38.25</v>
      </c>
      <c r="C183" s="25">
        <v>1.1972</v>
      </c>
      <c r="D183" s="25">
        <v>79.62</v>
      </c>
      <c r="E183" s="25">
        <v>77.31</v>
      </c>
      <c r="Q183" s="15">
        <v>44452</v>
      </c>
      <c r="R183" s="25">
        <v>2.1539999999999999</v>
      </c>
      <c r="S183" s="25">
        <v>70.849999999999994</v>
      </c>
      <c r="T183" s="20">
        <v>44186</v>
      </c>
      <c r="U183" s="43">
        <v>1.2558</v>
      </c>
      <c r="V183" s="43">
        <v>47.06</v>
      </c>
    </row>
    <row r="184" spans="1:22">
      <c r="A184" s="20">
        <v>44027</v>
      </c>
      <c r="B184" s="25">
        <v>38.22</v>
      </c>
      <c r="C184" s="25">
        <v>1.1569</v>
      </c>
      <c r="D184" s="25">
        <v>79.58</v>
      </c>
      <c r="E184" s="25">
        <v>78.599999999999994</v>
      </c>
      <c r="Q184" s="15">
        <v>44449</v>
      </c>
      <c r="R184" s="25">
        <v>2.1635</v>
      </c>
      <c r="S184" s="25">
        <v>70.27</v>
      </c>
      <c r="T184" s="20">
        <v>44187</v>
      </c>
      <c r="U184" s="43">
        <v>1.2559</v>
      </c>
      <c r="V184" s="43">
        <v>47.09</v>
      </c>
    </row>
    <row r="185" spans="1:22">
      <c r="A185" s="20">
        <v>44028</v>
      </c>
      <c r="B185" s="25">
        <v>38.33</v>
      </c>
      <c r="C185" s="25">
        <v>1.1878</v>
      </c>
      <c r="D185" s="25">
        <v>78.739999999999995</v>
      </c>
      <c r="E185" s="25">
        <v>77.44</v>
      </c>
      <c r="Q185" s="15">
        <v>44448</v>
      </c>
      <c r="R185" s="25">
        <v>2.1109</v>
      </c>
      <c r="S185" s="25">
        <v>70.14</v>
      </c>
      <c r="T185" s="20">
        <v>44188</v>
      </c>
      <c r="U185" s="43">
        <v>1.2759</v>
      </c>
      <c r="V185" s="43">
        <v>46.97</v>
      </c>
    </row>
    <row r="186" spans="1:22">
      <c r="A186" s="20">
        <v>44029</v>
      </c>
      <c r="B186" s="25">
        <v>38.31</v>
      </c>
      <c r="C186" s="25">
        <v>1.2015</v>
      </c>
      <c r="D186" s="25">
        <v>78.03</v>
      </c>
      <c r="E186" s="25">
        <v>75.78</v>
      </c>
      <c r="Q186" s="15">
        <v>44447</v>
      </c>
      <c r="R186" s="25">
        <v>2.1419000000000001</v>
      </c>
      <c r="S186" s="25">
        <v>70.86</v>
      </c>
      <c r="T186" s="20">
        <v>44189</v>
      </c>
      <c r="U186" s="43">
        <v>1.3166</v>
      </c>
      <c r="V186" s="43">
        <v>47.03</v>
      </c>
    </row>
    <row r="187" spans="1:22">
      <c r="A187" s="20">
        <v>44032</v>
      </c>
      <c r="B187" s="25">
        <v>39.86</v>
      </c>
      <c r="C187" s="25">
        <v>1.2169000000000001</v>
      </c>
      <c r="D187" s="25">
        <v>77.31</v>
      </c>
      <c r="E187" s="25">
        <v>71.13</v>
      </c>
      <c r="Q187" s="15">
        <v>44446</v>
      </c>
      <c r="R187" s="25">
        <v>2.1537999999999999</v>
      </c>
      <c r="S187" s="25">
        <v>71.14</v>
      </c>
      <c r="T187" s="20">
        <v>44193</v>
      </c>
      <c r="U187" s="43">
        <v>1.3077000000000001</v>
      </c>
      <c r="V187" s="43">
        <v>47.06</v>
      </c>
    </row>
    <row r="188" spans="1:22">
      <c r="A188" s="20">
        <v>44033</v>
      </c>
      <c r="B188" s="25">
        <v>40.65</v>
      </c>
      <c r="C188" s="25">
        <v>1.2592000000000001</v>
      </c>
      <c r="D188" s="25">
        <v>78.599999999999994</v>
      </c>
      <c r="E188" s="25">
        <v>71.540000000000006</v>
      </c>
      <c r="Q188" s="15">
        <v>44445</v>
      </c>
      <c r="R188" s="25">
        <v>2.1196000000000002</v>
      </c>
      <c r="S188" s="25">
        <v>71.13</v>
      </c>
      <c r="T188" s="20">
        <v>44194</v>
      </c>
      <c r="U188" s="43">
        <v>1.3190999999999999</v>
      </c>
      <c r="V188" s="43">
        <v>47.07</v>
      </c>
    </row>
    <row r="189" spans="1:22">
      <c r="A189" s="20">
        <v>44034</v>
      </c>
      <c r="B189" s="25">
        <v>40.630000000000003</v>
      </c>
      <c r="C189" s="25">
        <v>1.2407999999999999</v>
      </c>
      <c r="D189" s="25">
        <v>77.44</v>
      </c>
      <c r="E189" s="25">
        <v>71.58</v>
      </c>
      <c r="Q189" s="15">
        <v>44442</v>
      </c>
      <c r="R189" s="25">
        <v>2.0922999999999998</v>
      </c>
      <c r="S189" s="25">
        <v>69.91</v>
      </c>
      <c r="T189" s="20">
        <v>44195</v>
      </c>
      <c r="U189" s="43">
        <v>1.3268</v>
      </c>
      <c r="V189" s="43">
        <v>47.67</v>
      </c>
    </row>
    <row r="190" spans="1:22">
      <c r="A190" s="20">
        <v>44035</v>
      </c>
      <c r="B190" s="25">
        <v>40.61</v>
      </c>
      <c r="C190" s="25">
        <v>1.2749999999999999</v>
      </c>
      <c r="D190" s="25">
        <v>75.78</v>
      </c>
      <c r="E190" s="25">
        <v>71.599999999999994</v>
      </c>
      <c r="Q190" s="15">
        <v>44441</v>
      </c>
      <c r="R190" s="25">
        <v>2.145</v>
      </c>
      <c r="S190" s="25">
        <v>69.900000000000006</v>
      </c>
      <c r="T190" s="20">
        <v>44196</v>
      </c>
      <c r="U190" s="43">
        <v>1.3514999999999999</v>
      </c>
      <c r="V190" s="43">
        <v>49.84</v>
      </c>
    </row>
    <row r="191" spans="1:22">
      <c r="A191" s="20">
        <v>44036</v>
      </c>
      <c r="B191" s="25">
        <v>40.869999999999997</v>
      </c>
      <c r="C191" s="25">
        <v>1.2908999999999999</v>
      </c>
      <c r="D191" s="25">
        <v>71.13</v>
      </c>
      <c r="E191" s="25">
        <v>69.3</v>
      </c>
      <c r="Q191" s="15">
        <v>44440</v>
      </c>
      <c r="R191" s="25">
        <v>2.0575999999999999</v>
      </c>
      <c r="S191" s="25">
        <v>69.41</v>
      </c>
      <c r="T191" s="20">
        <v>44200</v>
      </c>
      <c r="U191" s="43">
        <v>1.3816999999999999</v>
      </c>
      <c r="V191" s="43">
        <v>50.46</v>
      </c>
    </row>
    <row r="192" spans="1:22">
      <c r="A192" s="20">
        <v>44039</v>
      </c>
      <c r="B192" s="25">
        <v>39.9</v>
      </c>
      <c r="C192" s="25">
        <v>1.2504999999999999</v>
      </c>
      <c r="D192" s="25">
        <v>71.540000000000006</v>
      </c>
      <c r="E192" s="25">
        <v>71.16</v>
      </c>
      <c r="Q192" s="15">
        <v>44439</v>
      </c>
      <c r="R192" s="25">
        <v>1.9865999999999999</v>
      </c>
      <c r="S192" s="25">
        <v>68.3</v>
      </c>
      <c r="T192" s="20">
        <v>44201</v>
      </c>
      <c r="U192" s="43">
        <v>1.391</v>
      </c>
      <c r="V192" s="43">
        <v>50.62</v>
      </c>
    </row>
    <row r="193" spans="1:22">
      <c r="A193" s="20">
        <v>44040</v>
      </c>
      <c r="B193" s="25">
        <v>40.58</v>
      </c>
      <c r="C193" s="25">
        <v>1.2830999999999999</v>
      </c>
      <c r="D193" s="25">
        <v>71.58</v>
      </c>
      <c r="E193" s="25">
        <v>70.849999999999994</v>
      </c>
      <c r="Q193" s="15">
        <v>44438</v>
      </c>
      <c r="R193" s="25">
        <v>1.8902000000000001</v>
      </c>
      <c r="S193" s="25">
        <v>69.17</v>
      </c>
      <c r="T193" s="20">
        <v>44202</v>
      </c>
      <c r="U193" s="43">
        <v>1.3548</v>
      </c>
      <c r="V193" s="43">
        <v>51.72</v>
      </c>
    </row>
    <row r="194" spans="1:22">
      <c r="A194" s="20">
        <v>44041</v>
      </c>
      <c r="B194" s="25">
        <v>40.28</v>
      </c>
      <c r="C194" s="25">
        <v>1.2471000000000001</v>
      </c>
      <c r="D194" s="25">
        <v>71.599999999999994</v>
      </c>
      <c r="E194" s="25">
        <v>70.27</v>
      </c>
      <c r="Q194" s="15">
        <v>44435</v>
      </c>
      <c r="R194" s="25">
        <v>1.9524999999999999</v>
      </c>
      <c r="S194" s="25">
        <v>68.41</v>
      </c>
      <c r="T194" s="20">
        <v>44203</v>
      </c>
      <c r="U194" s="43">
        <v>1.3354999999999999</v>
      </c>
      <c r="V194" s="43">
        <v>51.73</v>
      </c>
    </row>
    <row r="195" spans="1:22">
      <c r="A195" s="20">
        <v>44042</v>
      </c>
      <c r="B195" s="25">
        <v>40.409999999999997</v>
      </c>
      <c r="C195" s="25">
        <v>1.2262</v>
      </c>
      <c r="D195" s="25">
        <v>69.3</v>
      </c>
      <c r="E195" s="25">
        <v>70.14</v>
      </c>
      <c r="Q195" s="15">
        <v>44434</v>
      </c>
      <c r="R195" s="25">
        <v>2.0162</v>
      </c>
      <c r="S195" s="25">
        <v>69.22</v>
      </c>
      <c r="T195" s="20">
        <v>44204</v>
      </c>
      <c r="U195" s="43">
        <v>1.3762000000000001</v>
      </c>
      <c r="V195" s="43">
        <v>52.39</v>
      </c>
    </row>
    <row r="196" spans="1:22">
      <c r="A196" s="20">
        <v>44043</v>
      </c>
      <c r="B196" s="25">
        <v>40.93</v>
      </c>
      <c r="C196" s="25">
        <v>1.2427999999999999</v>
      </c>
      <c r="D196" s="25">
        <v>71.16</v>
      </c>
      <c r="E196" s="25">
        <v>70.86</v>
      </c>
      <c r="Q196" s="15">
        <v>44433</v>
      </c>
      <c r="R196" s="25">
        <v>2.0396999999999998</v>
      </c>
      <c r="S196" s="25">
        <v>69.84</v>
      </c>
      <c r="T196" s="20">
        <v>44207</v>
      </c>
      <c r="U196" s="43">
        <v>1.3722000000000001</v>
      </c>
      <c r="V196" s="43">
        <v>52.21</v>
      </c>
    </row>
    <row r="197" spans="1:22">
      <c r="A197" s="20">
        <v>44046</v>
      </c>
      <c r="B197" s="25">
        <v>40.67</v>
      </c>
      <c r="C197" s="25">
        <v>1.2157</v>
      </c>
      <c r="D197" s="25">
        <v>70.849999999999994</v>
      </c>
      <c r="E197" s="25">
        <v>71.14</v>
      </c>
      <c r="Q197" s="15">
        <v>44432</v>
      </c>
      <c r="R197" s="25">
        <v>2.0668000000000002</v>
      </c>
      <c r="S197" s="25">
        <v>68.5</v>
      </c>
      <c r="T197" s="20">
        <v>44208</v>
      </c>
      <c r="U197" s="43">
        <v>1.3607</v>
      </c>
      <c r="V197" s="43">
        <v>52.59</v>
      </c>
    </row>
    <row r="198" spans="1:22">
      <c r="A198" s="20">
        <v>44047</v>
      </c>
      <c r="B198" s="25">
        <v>40.590000000000003</v>
      </c>
      <c r="C198" s="25">
        <v>1.2061999999999999</v>
      </c>
      <c r="D198" s="25">
        <v>70.27</v>
      </c>
      <c r="E198" s="25">
        <v>71.13</v>
      </c>
      <c r="Q198" s="15">
        <v>44431</v>
      </c>
      <c r="R198" s="25">
        <v>2.1128999999999998</v>
      </c>
      <c r="S198" s="25">
        <v>67.709999999999994</v>
      </c>
      <c r="T198" s="20">
        <v>44209</v>
      </c>
      <c r="U198" s="43">
        <v>1.3783000000000001</v>
      </c>
      <c r="V198" s="43">
        <v>51.96</v>
      </c>
    </row>
    <row r="199" spans="1:22">
      <c r="A199" s="20">
        <v>44048</v>
      </c>
      <c r="B199" s="25">
        <v>40.67</v>
      </c>
      <c r="C199" s="25">
        <v>1.2131000000000001</v>
      </c>
      <c r="D199" s="25">
        <v>70.14</v>
      </c>
      <c r="E199" s="25">
        <v>69.91</v>
      </c>
      <c r="Q199" s="15">
        <v>44428</v>
      </c>
      <c r="R199" s="25">
        <v>2.13</v>
      </c>
      <c r="S199" s="25">
        <v>67.739999999999995</v>
      </c>
      <c r="T199" s="20">
        <v>44210</v>
      </c>
      <c r="U199" s="43">
        <v>1.4013</v>
      </c>
      <c r="V199" s="43">
        <v>45.13</v>
      </c>
    </row>
    <row r="200" spans="1:22">
      <c r="A200" s="20">
        <v>44049</v>
      </c>
      <c r="B200" s="25">
        <v>41.08</v>
      </c>
      <c r="C200" s="25">
        <v>1.2604</v>
      </c>
      <c r="D200" s="25">
        <v>70.86</v>
      </c>
      <c r="E200" s="25">
        <v>69.900000000000006</v>
      </c>
      <c r="Q200" s="15">
        <v>44427</v>
      </c>
      <c r="R200" s="25">
        <v>2.3022</v>
      </c>
      <c r="S200" s="25">
        <v>67.7</v>
      </c>
      <c r="T200" s="20">
        <v>44211</v>
      </c>
      <c r="U200" s="43">
        <v>1.4100999999999999</v>
      </c>
      <c r="V200" s="43">
        <v>52.37</v>
      </c>
    </row>
    <row r="201" spans="1:22">
      <c r="A201" s="20">
        <v>44050</v>
      </c>
      <c r="B201" s="25">
        <v>41.08</v>
      </c>
      <c r="C201" s="25">
        <v>1.2603</v>
      </c>
      <c r="D201" s="25">
        <v>71.14</v>
      </c>
      <c r="E201" s="25">
        <v>69.41</v>
      </c>
      <c r="Q201" s="15">
        <v>44426</v>
      </c>
      <c r="R201" s="25">
        <v>2.2679</v>
      </c>
      <c r="S201" s="25">
        <v>67.52</v>
      </c>
      <c r="T201" s="20">
        <v>44214</v>
      </c>
      <c r="U201" s="43">
        <v>1.3729</v>
      </c>
      <c r="V201" s="43">
        <v>52.3</v>
      </c>
    </row>
    <row r="202" spans="1:22">
      <c r="A202" s="20">
        <v>44053</v>
      </c>
      <c r="B202" s="25">
        <v>40.81</v>
      </c>
      <c r="C202" s="25">
        <v>1.2363</v>
      </c>
      <c r="D202" s="25">
        <v>71.13</v>
      </c>
      <c r="E202" s="25">
        <v>68.3</v>
      </c>
      <c r="Q202" s="15">
        <v>44425</v>
      </c>
      <c r="R202" s="25">
        <v>2.2347999999999999</v>
      </c>
      <c r="S202" s="25">
        <v>67.69</v>
      </c>
      <c r="T202" s="20">
        <v>44215</v>
      </c>
      <c r="U202" s="43">
        <v>1.4520999999999999</v>
      </c>
      <c r="V202" s="43">
        <v>52.03</v>
      </c>
    </row>
    <row r="203" spans="1:22">
      <c r="A203" s="20">
        <v>44054</v>
      </c>
      <c r="B203" s="25">
        <v>40.869999999999997</v>
      </c>
      <c r="C203" s="25">
        <v>1.256</v>
      </c>
      <c r="D203" s="25">
        <v>69.91</v>
      </c>
      <c r="E203" s="25">
        <v>69.17</v>
      </c>
      <c r="Q203" s="15">
        <v>44424</v>
      </c>
      <c r="R203" s="25">
        <v>2.2568999999999999</v>
      </c>
      <c r="S203" s="25">
        <v>58.02</v>
      </c>
      <c r="T203" s="20">
        <v>44216</v>
      </c>
      <c r="U203" s="43">
        <v>1.4750000000000001</v>
      </c>
      <c r="V203" s="43">
        <v>52.16</v>
      </c>
    </row>
    <row r="204" spans="1:22">
      <c r="A204" s="20">
        <v>44055</v>
      </c>
      <c r="B204" s="25">
        <v>40.94</v>
      </c>
      <c r="C204" s="25">
        <v>1.2446999999999999</v>
      </c>
      <c r="D204" s="25">
        <v>69.900000000000006</v>
      </c>
      <c r="E204" s="25">
        <v>68.41</v>
      </c>
      <c r="Q204" s="15">
        <v>44421</v>
      </c>
      <c r="R204" s="25">
        <v>2.294</v>
      </c>
      <c r="S204" s="25">
        <v>66.989999999999995</v>
      </c>
      <c r="T204" s="20">
        <v>44217</v>
      </c>
      <c r="U204" s="43">
        <v>1.4826999999999999</v>
      </c>
      <c r="V204" s="43">
        <v>52.13</v>
      </c>
    </row>
    <row r="205" spans="1:22">
      <c r="A205" s="20">
        <v>44056</v>
      </c>
      <c r="B205" s="25">
        <v>40.840000000000003</v>
      </c>
      <c r="C205" s="25">
        <v>1.2352000000000001</v>
      </c>
      <c r="D205" s="25">
        <v>69.41</v>
      </c>
      <c r="E205" s="25">
        <v>69.22</v>
      </c>
      <c r="Q205" s="15">
        <v>44420</v>
      </c>
      <c r="R205" s="25">
        <v>2.25</v>
      </c>
      <c r="S205" s="25">
        <v>65.180000000000007</v>
      </c>
      <c r="T205" s="20">
        <v>44218</v>
      </c>
      <c r="U205" s="43">
        <v>1.5423</v>
      </c>
      <c r="V205" s="43">
        <v>52.16</v>
      </c>
    </row>
    <row r="206" spans="1:22">
      <c r="A206" s="20">
        <v>44057</v>
      </c>
      <c r="B206" s="25">
        <v>40.869999999999997</v>
      </c>
      <c r="C206" s="25">
        <v>1.2132000000000001</v>
      </c>
      <c r="D206" s="25">
        <v>68.3</v>
      </c>
      <c r="E206" s="25">
        <v>69.84</v>
      </c>
      <c r="Q206" s="15">
        <v>44419</v>
      </c>
      <c r="R206" s="25">
        <v>2.2707999999999999</v>
      </c>
      <c r="S206" s="25">
        <v>66.37</v>
      </c>
      <c r="T206" s="20">
        <v>44221</v>
      </c>
      <c r="U206" s="43">
        <v>1.5207999999999999</v>
      </c>
      <c r="V206" s="43">
        <v>52.11</v>
      </c>
    </row>
    <row r="207" spans="1:22">
      <c r="A207" s="20">
        <v>44060</v>
      </c>
      <c r="B207" s="25">
        <v>40.75</v>
      </c>
      <c r="C207" s="25">
        <v>1.1908000000000001</v>
      </c>
      <c r="D207" s="25">
        <v>69.17</v>
      </c>
      <c r="E207" s="25">
        <v>68.5</v>
      </c>
      <c r="Q207" s="15">
        <v>44418</v>
      </c>
      <c r="R207" s="25">
        <v>2.2747000000000002</v>
      </c>
      <c r="S207" s="25">
        <v>67.069999999999993</v>
      </c>
      <c r="T207" s="20">
        <v>44222</v>
      </c>
      <c r="U207" s="43">
        <v>1.5518000000000001</v>
      </c>
      <c r="V207" s="43">
        <v>52.1</v>
      </c>
    </row>
    <row r="208" spans="1:22">
      <c r="A208" s="20">
        <v>44061</v>
      </c>
      <c r="B208" s="25">
        <v>40.770000000000003</v>
      </c>
      <c r="C208" s="25">
        <v>1.1711</v>
      </c>
      <c r="D208" s="25">
        <v>68.41</v>
      </c>
      <c r="E208" s="25">
        <v>67.709999999999994</v>
      </c>
      <c r="Q208" s="15">
        <v>44417</v>
      </c>
      <c r="R208" s="25">
        <v>2.3347000000000002</v>
      </c>
      <c r="S208" s="25">
        <v>67.59</v>
      </c>
      <c r="T208" s="20">
        <v>44223</v>
      </c>
      <c r="U208" s="43">
        <v>1.5467</v>
      </c>
      <c r="V208" s="43">
        <v>53.52</v>
      </c>
    </row>
    <row r="209" spans="1:22">
      <c r="A209" s="20">
        <v>44062</v>
      </c>
      <c r="B209" s="25">
        <v>41.11</v>
      </c>
      <c r="C209" s="25">
        <v>1.2131000000000001</v>
      </c>
      <c r="D209" s="25">
        <v>69.22</v>
      </c>
      <c r="E209" s="25">
        <v>67.739999999999995</v>
      </c>
      <c r="Q209" s="15">
        <v>44414</v>
      </c>
      <c r="R209" s="25">
        <v>2.3250999999999999</v>
      </c>
      <c r="S209" s="25">
        <v>67.94</v>
      </c>
      <c r="T209" s="20">
        <v>44224</v>
      </c>
      <c r="U209" s="43">
        <v>1.5538000000000001</v>
      </c>
      <c r="V209" s="43">
        <v>54.67</v>
      </c>
    </row>
    <row r="210" spans="1:22">
      <c r="A210" s="20">
        <v>44063</v>
      </c>
      <c r="B210" s="25">
        <v>41.74</v>
      </c>
      <c r="C210" s="25">
        <v>1.2142999999999999</v>
      </c>
      <c r="D210" s="25">
        <v>69.84</v>
      </c>
      <c r="E210" s="25">
        <v>67.7</v>
      </c>
      <c r="Q210" s="15">
        <v>44413</v>
      </c>
      <c r="R210" s="25">
        <v>2.282</v>
      </c>
      <c r="S210" s="25">
        <v>67.33</v>
      </c>
      <c r="T210" s="20">
        <v>44225</v>
      </c>
      <c r="U210" s="43">
        <v>1.5277000000000001</v>
      </c>
      <c r="V210" s="43">
        <v>55.5</v>
      </c>
    </row>
    <row r="211" spans="1:22">
      <c r="A211" s="20">
        <v>44064</v>
      </c>
      <c r="B211" s="25">
        <v>42.19</v>
      </c>
      <c r="C211" s="25">
        <v>1.2228000000000001</v>
      </c>
      <c r="D211" s="25">
        <v>68.5</v>
      </c>
      <c r="E211" s="25">
        <v>67.52</v>
      </c>
      <c r="Q211" s="15">
        <v>44412</v>
      </c>
      <c r="R211" s="25">
        <v>2.2812999999999999</v>
      </c>
      <c r="S211" s="25">
        <v>66.13</v>
      </c>
      <c r="T211" s="20">
        <v>44228</v>
      </c>
      <c r="U211" s="43">
        <v>1.5379</v>
      </c>
      <c r="V211" s="43">
        <v>55.95</v>
      </c>
    </row>
    <row r="212" spans="1:22">
      <c r="A212" s="20">
        <v>44067</v>
      </c>
      <c r="B212" s="25">
        <v>41.99</v>
      </c>
      <c r="C212" s="25">
        <v>1.2281</v>
      </c>
      <c r="D212" s="25">
        <v>67.709999999999994</v>
      </c>
      <c r="E212" s="25">
        <v>67.69</v>
      </c>
      <c r="Q212" s="15">
        <v>44411</v>
      </c>
      <c r="R212" s="25">
        <v>2.2753999999999999</v>
      </c>
      <c r="S212" s="25">
        <v>66.08</v>
      </c>
      <c r="T212" s="20">
        <v>44229</v>
      </c>
      <c r="U212" s="43">
        <v>1.5437000000000001</v>
      </c>
      <c r="V212" s="43">
        <v>56.44</v>
      </c>
    </row>
    <row r="213" spans="1:22">
      <c r="A213" s="20">
        <v>44068</v>
      </c>
      <c r="B213" s="25">
        <v>41.4</v>
      </c>
      <c r="C213" s="25">
        <v>1.2076</v>
      </c>
      <c r="D213" s="25">
        <v>67.739999999999995</v>
      </c>
      <c r="E213" s="25">
        <v>58.02</v>
      </c>
      <c r="Q213" s="15">
        <v>44410</v>
      </c>
      <c r="R213" s="25">
        <v>2.2612000000000001</v>
      </c>
      <c r="S213" s="25">
        <v>68.400000000000006</v>
      </c>
      <c r="T213" s="20">
        <v>44230</v>
      </c>
      <c r="U213" s="43">
        <v>1.5471999999999999</v>
      </c>
      <c r="V213" s="43">
        <v>57.27</v>
      </c>
    </row>
    <row r="214" spans="1:22">
      <c r="A214" s="20">
        <v>44069</v>
      </c>
      <c r="B214" s="25">
        <v>41.94</v>
      </c>
      <c r="C214" s="25">
        <v>1.2293000000000001</v>
      </c>
      <c r="D214" s="25">
        <v>67.7</v>
      </c>
      <c r="E214" s="25">
        <v>66.989999999999995</v>
      </c>
      <c r="Q214" s="15">
        <v>44407</v>
      </c>
      <c r="R214" s="25">
        <v>2.2473999999999998</v>
      </c>
      <c r="S214" s="25">
        <v>67.099999999999994</v>
      </c>
      <c r="T214" s="20">
        <v>44231</v>
      </c>
      <c r="U214" s="43">
        <v>1.5449999999999999</v>
      </c>
      <c r="V214" s="43">
        <v>57.54</v>
      </c>
    </row>
    <row r="215" spans="1:22">
      <c r="A215" s="20">
        <v>44070</v>
      </c>
      <c r="B215" s="25">
        <v>41.71</v>
      </c>
      <c r="C215" s="25">
        <v>1.2044999999999999</v>
      </c>
      <c r="D215" s="25">
        <v>67.52</v>
      </c>
      <c r="E215" s="25">
        <v>65.180000000000007</v>
      </c>
      <c r="Q215" s="15">
        <v>44406</v>
      </c>
      <c r="R215" s="25">
        <v>2.1941000000000002</v>
      </c>
      <c r="S215" s="25">
        <v>68.489999999999995</v>
      </c>
      <c r="T215" s="20">
        <v>44232</v>
      </c>
      <c r="U215" s="43">
        <v>1.5579000000000001</v>
      </c>
      <c r="V215" s="43">
        <v>57.74</v>
      </c>
    </row>
    <row r="216" spans="1:22">
      <c r="A216" s="20">
        <v>44071</v>
      </c>
      <c r="B216" s="25">
        <v>42.43</v>
      </c>
      <c r="C216" s="25">
        <v>1.1858</v>
      </c>
      <c r="D216" s="25">
        <v>67.69</v>
      </c>
      <c r="E216" s="25">
        <v>66.37</v>
      </c>
      <c r="Q216" s="15">
        <v>44405</v>
      </c>
      <c r="R216" s="25">
        <v>2.1103999999999998</v>
      </c>
      <c r="S216" s="25">
        <v>69.099999999999994</v>
      </c>
      <c r="T216" s="20">
        <v>44235</v>
      </c>
      <c r="U216" s="43">
        <v>1.5748</v>
      </c>
      <c r="V216" s="43">
        <v>57.49</v>
      </c>
    </row>
    <row r="217" spans="1:22">
      <c r="A217" s="20">
        <v>44074</v>
      </c>
      <c r="B217" s="25">
        <v>42.16</v>
      </c>
      <c r="C217" s="25">
        <v>1.1789000000000001</v>
      </c>
      <c r="D217" s="25">
        <v>58.02</v>
      </c>
      <c r="E217" s="25">
        <v>67.069999999999993</v>
      </c>
      <c r="Q217" s="15">
        <v>44404</v>
      </c>
      <c r="R217" s="25">
        <v>2.0903</v>
      </c>
      <c r="S217" s="25">
        <v>68.290000000000006</v>
      </c>
      <c r="T217" s="20">
        <v>44236</v>
      </c>
      <c r="U217" s="43">
        <v>1.5716000000000001</v>
      </c>
      <c r="V217" s="43">
        <v>58.14</v>
      </c>
    </row>
    <row r="218" spans="1:22">
      <c r="A218" s="20">
        <v>44075</v>
      </c>
      <c r="B218" s="25">
        <v>42.04</v>
      </c>
      <c r="C218" s="25">
        <v>1.1879999999999999</v>
      </c>
      <c r="D218" s="25">
        <v>66.989999999999995</v>
      </c>
      <c r="E218" s="25">
        <v>67.59</v>
      </c>
      <c r="Q218" s="15">
        <v>44403</v>
      </c>
      <c r="R218" s="25">
        <v>2.2345000000000002</v>
      </c>
      <c r="S218" s="25">
        <v>70.42</v>
      </c>
      <c r="T218" s="20">
        <v>44237</v>
      </c>
      <c r="U218" s="43">
        <v>1.5753999999999999</v>
      </c>
      <c r="V218" s="43">
        <v>58.44</v>
      </c>
    </row>
    <row r="219" spans="1:22">
      <c r="A219" s="20">
        <v>44076</v>
      </c>
      <c r="B219" s="25">
        <v>42.49</v>
      </c>
      <c r="C219" s="25">
        <v>1.2134</v>
      </c>
      <c r="D219" s="25">
        <v>65.180000000000007</v>
      </c>
      <c r="E219" s="25">
        <v>67.94</v>
      </c>
      <c r="Q219" s="15">
        <v>44400</v>
      </c>
      <c r="R219" s="25">
        <v>2.2317999999999998</v>
      </c>
      <c r="S219" s="25">
        <v>70.13</v>
      </c>
      <c r="T219" s="20">
        <v>44238</v>
      </c>
      <c r="U219" s="43">
        <v>1.5527</v>
      </c>
      <c r="V219" s="43">
        <v>50.94</v>
      </c>
    </row>
    <row r="220" spans="1:22">
      <c r="A220" s="20">
        <v>44077</v>
      </c>
      <c r="B220" s="25">
        <v>42.47</v>
      </c>
      <c r="C220" s="25">
        <v>1.2249000000000001</v>
      </c>
      <c r="D220" s="25">
        <v>66.37</v>
      </c>
      <c r="E220" s="25">
        <v>67.33</v>
      </c>
      <c r="Q220" s="15">
        <v>44399</v>
      </c>
      <c r="R220" s="25">
        <v>2.2722000000000002</v>
      </c>
      <c r="S220" s="25">
        <v>70.66</v>
      </c>
      <c r="T220" s="20">
        <v>44239</v>
      </c>
      <c r="U220" s="43">
        <v>1.5901000000000001</v>
      </c>
      <c r="V220" s="43">
        <v>58.67</v>
      </c>
    </row>
    <row r="221" spans="1:22">
      <c r="A221" s="20">
        <v>44078</v>
      </c>
      <c r="B221" s="25">
        <v>42.47</v>
      </c>
      <c r="C221" s="25">
        <v>1.2284999999999999</v>
      </c>
      <c r="D221" s="25">
        <v>67.069999999999993</v>
      </c>
      <c r="E221" s="25">
        <v>66.13</v>
      </c>
      <c r="Q221" s="15">
        <v>44398</v>
      </c>
      <c r="R221" s="25">
        <v>2.3016999999999999</v>
      </c>
      <c r="S221" s="25">
        <v>71.3</v>
      </c>
      <c r="T221" s="20">
        <v>44242</v>
      </c>
      <c r="U221" s="43">
        <v>1.6160000000000001</v>
      </c>
      <c r="V221" s="43">
        <v>58.26</v>
      </c>
    </row>
    <row r="222" spans="1:22">
      <c r="A222" s="20">
        <v>44081</v>
      </c>
      <c r="B222" s="25">
        <v>41.64</v>
      </c>
      <c r="C222" s="25">
        <v>1.2263999999999999</v>
      </c>
      <c r="D222" s="25">
        <v>67.59</v>
      </c>
      <c r="E222" s="25">
        <v>66.08</v>
      </c>
      <c r="Q222" s="15">
        <v>44397</v>
      </c>
      <c r="R222" s="25">
        <v>2.2772000000000001</v>
      </c>
      <c r="S222" s="25">
        <v>70.34</v>
      </c>
      <c r="T222" s="20">
        <v>44243</v>
      </c>
      <c r="U222" s="43">
        <v>1.6486000000000001</v>
      </c>
      <c r="V222" s="43">
        <v>58.9</v>
      </c>
    </row>
    <row r="223" spans="1:22">
      <c r="A223" s="20">
        <v>44082</v>
      </c>
      <c r="B223" s="25">
        <v>40.29</v>
      </c>
      <c r="C223" s="25">
        <v>1.2130000000000001</v>
      </c>
      <c r="D223" s="25">
        <v>67.94</v>
      </c>
      <c r="E223" s="25">
        <v>68.400000000000006</v>
      </c>
      <c r="Q223" s="15">
        <v>44396</v>
      </c>
      <c r="R223" s="25">
        <v>2.2919999999999998</v>
      </c>
      <c r="S223" s="25">
        <v>71.83</v>
      </c>
      <c r="T223" s="20">
        <v>44244</v>
      </c>
      <c r="U223" s="43">
        <v>1.6448</v>
      </c>
      <c r="V223" s="43">
        <v>58.89</v>
      </c>
    </row>
    <row r="224" spans="1:22">
      <c r="A224" s="20">
        <v>44083</v>
      </c>
      <c r="B224" s="25">
        <v>39.82</v>
      </c>
      <c r="C224" s="25">
        <v>1.2598</v>
      </c>
      <c r="D224" s="25">
        <v>67.33</v>
      </c>
      <c r="E224" s="25">
        <v>67.099999999999994</v>
      </c>
      <c r="Q224" s="15">
        <v>44393</v>
      </c>
      <c r="R224" s="25">
        <v>2.2551999999999999</v>
      </c>
      <c r="S224" s="25">
        <v>72.239999999999995</v>
      </c>
      <c r="T224" s="20">
        <v>44245</v>
      </c>
      <c r="U224" s="43">
        <v>1.6493</v>
      </c>
      <c r="V224" s="43">
        <v>59.14</v>
      </c>
    </row>
    <row r="225" spans="1:22">
      <c r="A225" s="20">
        <v>44084</v>
      </c>
      <c r="B225" s="25">
        <v>39.83</v>
      </c>
      <c r="C225" s="25">
        <v>1.2685</v>
      </c>
      <c r="D225" s="25">
        <v>66.13</v>
      </c>
      <c r="E225" s="25">
        <v>68.489999999999995</v>
      </c>
      <c r="Q225" s="15">
        <v>44392</v>
      </c>
      <c r="R225" s="25">
        <v>2.206</v>
      </c>
      <c r="S225" s="25">
        <v>54.47</v>
      </c>
      <c r="T225" s="20">
        <v>44246</v>
      </c>
      <c r="U225" s="43">
        <v>1.6748000000000001</v>
      </c>
      <c r="V225" s="43">
        <v>59.17</v>
      </c>
    </row>
    <row r="226" spans="1:22">
      <c r="A226" s="20">
        <v>44085</v>
      </c>
      <c r="B226" s="25">
        <v>39.369999999999997</v>
      </c>
      <c r="C226" s="25">
        <v>1.2634000000000001</v>
      </c>
      <c r="D226" s="25">
        <v>66.08</v>
      </c>
      <c r="E226" s="25">
        <v>69.099999999999994</v>
      </c>
      <c r="Q226" s="15">
        <v>44391</v>
      </c>
      <c r="R226" s="25">
        <v>2.2282000000000002</v>
      </c>
      <c r="S226" s="25">
        <v>72.23</v>
      </c>
      <c r="T226" s="20">
        <v>44249</v>
      </c>
      <c r="U226" s="43">
        <v>1.6736</v>
      </c>
      <c r="V226" s="43">
        <v>59.06</v>
      </c>
    </row>
    <row r="227" spans="1:22">
      <c r="A227" s="20">
        <v>44088</v>
      </c>
      <c r="B227" s="25">
        <v>38.96</v>
      </c>
      <c r="C227" s="25">
        <v>1.2181999999999999</v>
      </c>
      <c r="D227" s="25">
        <v>68.400000000000006</v>
      </c>
      <c r="E227" s="25">
        <v>68.290000000000006</v>
      </c>
      <c r="Q227" s="15">
        <v>44390</v>
      </c>
      <c r="R227" s="25">
        <v>2.2997999999999998</v>
      </c>
      <c r="S227" s="25">
        <v>71.7</v>
      </c>
      <c r="T227" s="20">
        <v>44250</v>
      </c>
      <c r="U227" s="43">
        <v>1.7841</v>
      </c>
      <c r="V227" s="43">
        <v>60.57</v>
      </c>
    </row>
    <row r="228" spans="1:22">
      <c r="A228" s="20">
        <v>44089</v>
      </c>
      <c r="B228" s="25">
        <v>39.35</v>
      </c>
      <c r="C228" s="25">
        <v>1.2464999999999999</v>
      </c>
      <c r="D228" s="25">
        <v>67.099999999999994</v>
      </c>
      <c r="E228" s="25">
        <v>70.42</v>
      </c>
      <c r="Q228" s="15">
        <v>44389</v>
      </c>
      <c r="R228" s="25">
        <v>2.2675999999999998</v>
      </c>
      <c r="S228" s="25">
        <v>69.349999999999994</v>
      </c>
      <c r="T228" s="20">
        <v>44251</v>
      </c>
      <c r="U228" s="43">
        <v>1.7786</v>
      </c>
      <c r="V228" s="43">
        <v>59.73</v>
      </c>
    </row>
    <row r="229" spans="1:22">
      <c r="A229" s="20">
        <v>44090</v>
      </c>
      <c r="B229" s="25">
        <v>41.29</v>
      </c>
      <c r="C229" s="25">
        <v>1.2137</v>
      </c>
      <c r="D229" s="25">
        <v>68.489999999999995</v>
      </c>
      <c r="E229" s="25">
        <v>70.13</v>
      </c>
      <c r="Q229" s="15">
        <v>44386</v>
      </c>
      <c r="R229" s="25">
        <v>2.2418</v>
      </c>
      <c r="S229" s="25">
        <v>68.62</v>
      </c>
      <c r="T229" s="20">
        <v>44252</v>
      </c>
      <c r="U229" s="43">
        <v>1.8139000000000001</v>
      </c>
      <c r="V229" s="43">
        <v>61.13</v>
      </c>
    </row>
    <row r="230" spans="1:22">
      <c r="A230" s="20">
        <v>44091</v>
      </c>
      <c r="B230" s="25">
        <v>42.07</v>
      </c>
      <c r="C230" s="25">
        <v>1.2246999999999999</v>
      </c>
      <c r="D230" s="25">
        <v>69.099999999999994</v>
      </c>
      <c r="E230" s="25">
        <v>70.66</v>
      </c>
      <c r="Q230" s="15">
        <v>44385</v>
      </c>
      <c r="R230" s="25">
        <v>2.2414999999999998</v>
      </c>
      <c r="S230" s="25">
        <v>72.64</v>
      </c>
      <c r="T230" s="20">
        <v>44253</v>
      </c>
      <c r="U230" s="43">
        <v>1.8636999999999999</v>
      </c>
      <c r="V230" s="43">
        <v>63.34</v>
      </c>
    </row>
    <row r="231" spans="1:22">
      <c r="A231" s="20">
        <v>44092</v>
      </c>
      <c r="B231" s="25">
        <v>41.67</v>
      </c>
      <c r="C231" s="25">
        <v>1.202</v>
      </c>
      <c r="D231" s="25">
        <v>68.290000000000006</v>
      </c>
      <c r="E231" s="25">
        <v>71.3</v>
      </c>
      <c r="Q231" s="15">
        <v>44384</v>
      </c>
      <c r="R231" s="25">
        <v>2.2176999999999998</v>
      </c>
      <c r="S231" s="25">
        <v>72.55</v>
      </c>
      <c r="T231" s="20">
        <v>44256</v>
      </c>
      <c r="U231" s="43">
        <v>1.8937999999999999</v>
      </c>
      <c r="V231" s="43">
        <v>65.22</v>
      </c>
    </row>
    <row r="232" spans="1:22">
      <c r="A232" s="20">
        <v>44095</v>
      </c>
      <c r="B232" s="25">
        <v>41.49</v>
      </c>
      <c r="C232" s="25">
        <v>1.2049000000000001</v>
      </c>
      <c r="D232" s="25">
        <v>70.42</v>
      </c>
      <c r="E232" s="25">
        <v>70.34</v>
      </c>
      <c r="Q232" s="15">
        <v>44383</v>
      </c>
      <c r="R232" s="25">
        <v>2.2612000000000001</v>
      </c>
      <c r="S232" s="25">
        <v>72.09</v>
      </c>
      <c r="T232" s="20">
        <v>44257</v>
      </c>
      <c r="U232" s="43">
        <v>1.8872</v>
      </c>
      <c r="V232" s="43">
        <v>64.42</v>
      </c>
    </row>
    <row r="233" spans="1:22">
      <c r="A233" s="20">
        <v>44096</v>
      </c>
      <c r="B233" s="25">
        <v>40.18</v>
      </c>
      <c r="C233" s="25">
        <v>1.1772</v>
      </c>
      <c r="D233" s="25">
        <v>70.13</v>
      </c>
      <c r="E233" s="25">
        <v>71.83</v>
      </c>
      <c r="Q233" s="15">
        <v>44382</v>
      </c>
      <c r="R233" s="25">
        <v>2.2799999999999998</v>
      </c>
      <c r="S233" s="25">
        <v>69.930000000000007</v>
      </c>
      <c r="T233" s="20">
        <v>44258</v>
      </c>
      <c r="U233" s="43">
        <v>1.8889</v>
      </c>
      <c r="V233" s="43">
        <v>62.47</v>
      </c>
    </row>
    <row r="234" spans="1:22">
      <c r="A234" s="20">
        <v>44097</v>
      </c>
      <c r="B234" s="25">
        <v>37.76</v>
      </c>
      <c r="C234" s="25">
        <v>1.1028</v>
      </c>
      <c r="D234" s="25">
        <v>70.66</v>
      </c>
      <c r="E234" s="25">
        <v>72.239999999999995</v>
      </c>
      <c r="Q234" s="15">
        <v>44379</v>
      </c>
      <c r="R234" s="25">
        <v>2.2698999999999998</v>
      </c>
      <c r="S234" s="25">
        <v>70.5</v>
      </c>
      <c r="T234" s="20">
        <v>44259</v>
      </c>
      <c r="U234" s="43">
        <v>1.9309000000000001</v>
      </c>
      <c r="V234" s="43">
        <v>63.22</v>
      </c>
    </row>
    <row r="235" spans="1:22">
      <c r="A235" s="20">
        <v>44098</v>
      </c>
      <c r="B235" s="25">
        <v>38.72</v>
      </c>
      <c r="C235" s="25">
        <v>1.1193</v>
      </c>
      <c r="D235" s="25">
        <v>71.3</v>
      </c>
      <c r="E235" s="25">
        <v>54.47</v>
      </c>
      <c r="Q235" s="15">
        <v>44378</v>
      </c>
      <c r="R235" s="25">
        <v>2.2301000000000002</v>
      </c>
      <c r="S235" s="25">
        <v>70.540000000000006</v>
      </c>
      <c r="T235" s="20">
        <v>44260</v>
      </c>
      <c r="U235" s="43">
        <v>1.9424999999999999</v>
      </c>
      <c r="V235" s="43">
        <v>62.27</v>
      </c>
    </row>
    <row r="236" spans="1:22">
      <c r="A236" s="20">
        <v>44099</v>
      </c>
      <c r="B236" s="25">
        <v>38.18</v>
      </c>
      <c r="C236" s="25">
        <v>1.0976999999999999</v>
      </c>
      <c r="D236" s="25">
        <v>70.34</v>
      </c>
      <c r="E236" s="25">
        <v>72.23</v>
      </c>
      <c r="Q236" s="15">
        <v>44377</v>
      </c>
      <c r="R236" s="25">
        <v>2.2031000000000001</v>
      </c>
      <c r="S236" s="25">
        <v>72.84</v>
      </c>
      <c r="T236" s="20">
        <v>44263</v>
      </c>
      <c r="U236" s="43">
        <v>1.9777</v>
      </c>
      <c r="V236" s="43">
        <v>61.61</v>
      </c>
    </row>
    <row r="237" spans="1:22">
      <c r="A237" s="20">
        <v>44102</v>
      </c>
      <c r="B237" s="25">
        <v>38.19</v>
      </c>
      <c r="C237" s="25">
        <v>1.0949</v>
      </c>
      <c r="D237" s="25">
        <v>71.83</v>
      </c>
      <c r="E237" s="25">
        <v>71.7</v>
      </c>
      <c r="Q237" s="15">
        <v>44376</v>
      </c>
      <c r="R237" s="25">
        <v>2.1739999999999999</v>
      </c>
      <c r="S237" s="25">
        <v>72.27</v>
      </c>
      <c r="T237" s="20">
        <v>44264</v>
      </c>
      <c r="U237" s="43">
        <v>1.9763999999999999</v>
      </c>
      <c r="V237" s="43">
        <v>61.63</v>
      </c>
    </row>
    <row r="238" spans="1:22">
      <c r="A238" s="20">
        <v>44103</v>
      </c>
      <c r="B238" s="25">
        <v>38.14</v>
      </c>
      <c r="C238" s="25">
        <v>1.0922000000000001</v>
      </c>
      <c r="D238" s="25">
        <v>72.239999999999995</v>
      </c>
      <c r="E238" s="25">
        <v>69.349999999999994</v>
      </c>
      <c r="Q238" s="15">
        <v>44375</v>
      </c>
      <c r="R238" s="25">
        <v>2.1387999999999998</v>
      </c>
      <c r="S238" s="25">
        <v>73.239999999999995</v>
      </c>
      <c r="T238" s="20">
        <v>44265</v>
      </c>
      <c r="U238" s="43">
        <v>1.9504999999999999</v>
      </c>
      <c r="V238" s="43">
        <v>62.56</v>
      </c>
    </row>
    <row r="239" spans="1:22">
      <c r="A239" s="20">
        <v>44104</v>
      </c>
      <c r="B239" s="25">
        <v>38.72</v>
      </c>
      <c r="C239" s="25">
        <v>1.1198999999999999</v>
      </c>
      <c r="D239" s="25">
        <v>54.47</v>
      </c>
      <c r="E239" s="25">
        <v>68.62</v>
      </c>
      <c r="Q239" s="15">
        <v>44372</v>
      </c>
      <c r="R239" s="25">
        <v>2.16</v>
      </c>
      <c r="S239" s="25">
        <v>74.86</v>
      </c>
      <c r="T239" s="20">
        <v>44266</v>
      </c>
      <c r="U239" s="43">
        <v>1.9429000000000001</v>
      </c>
      <c r="V239" s="43">
        <v>62.86</v>
      </c>
    </row>
    <row r="240" spans="1:22">
      <c r="A240" s="20">
        <v>44105</v>
      </c>
      <c r="B240" s="25">
        <v>39.700000000000003</v>
      </c>
      <c r="C240" s="25">
        <v>1.1694</v>
      </c>
      <c r="D240" s="25">
        <v>72.23</v>
      </c>
      <c r="E240" s="25">
        <v>72.64</v>
      </c>
      <c r="Q240" s="15">
        <v>44371</v>
      </c>
      <c r="R240" s="25">
        <v>2.1728999999999998</v>
      </c>
      <c r="S240" s="25">
        <v>74.33</v>
      </c>
      <c r="T240" s="20">
        <v>44267</v>
      </c>
      <c r="U240" s="43">
        <v>1.9363999999999999</v>
      </c>
      <c r="V240" s="43">
        <v>62.26</v>
      </c>
    </row>
    <row r="241" spans="1:22">
      <c r="A241" s="20">
        <v>44106</v>
      </c>
      <c r="B241" s="25">
        <v>38.090000000000003</v>
      </c>
      <c r="C241" s="25">
        <v>1.2017</v>
      </c>
      <c r="D241" s="25">
        <v>71.7</v>
      </c>
      <c r="E241" s="25">
        <v>72.55</v>
      </c>
      <c r="Q241" s="15">
        <v>44370</v>
      </c>
      <c r="R241" s="25">
        <v>2.173</v>
      </c>
      <c r="S241" s="25">
        <v>71.349999999999994</v>
      </c>
      <c r="T241" s="20">
        <v>44270</v>
      </c>
      <c r="U241" s="43">
        <v>1.9518</v>
      </c>
      <c r="V241" s="43">
        <v>62.8</v>
      </c>
    </row>
    <row r="242" spans="1:22">
      <c r="A242" s="20">
        <v>44109</v>
      </c>
      <c r="B242" s="25">
        <v>39.07</v>
      </c>
      <c r="C242" s="25">
        <v>1.2097</v>
      </c>
      <c r="D242" s="25">
        <v>69.349999999999994</v>
      </c>
      <c r="E242" s="25">
        <v>72.09</v>
      </c>
      <c r="Q242" s="15">
        <v>44369</v>
      </c>
      <c r="R242" s="25">
        <v>2.1861000000000002</v>
      </c>
      <c r="S242" s="25">
        <v>71.33</v>
      </c>
      <c r="T242" s="20">
        <v>44271</v>
      </c>
      <c r="U242" s="43">
        <v>1.9979</v>
      </c>
      <c r="V242" s="43">
        <v>50.51</v>
      </c>
    </row>
    <row r="243" spans="1:22">
      <c r="A243" s="20">
        <v>44110</v>
      </c>
      <c r="B243" s="25">
        <v>39.450000000000003</v>
      </c>
      <c r="C243" s="25">
        <v>1.1544000000000001</v>
      </c>
      <c r="D243" s="25">
        <v>68.62</v>
      </c>
      <c r="E243" s="25">
        <v>69.930000000000007</v>
      </c>
      <c r="Q243" s="15">
        <v>44368</v>
      </c>
      <c r="R243" s="25">
        <v>2.2122000000000002</v>
      </c>
      <c r="S243" s="25">
        <v>71.319999999999993</v>
      </c>
      <c r="T243" s="20">
        <v>44272</v>
      </c>
      <c r="U243" s="43">
        <v>2.0647000000000002</v>
      </c>
      <c r="V243" s="43">
        <v>60.79</v>
      </c>
    </row>
    <row r="244" spans="1:22">
      <c r="A244" s="20">
        <v>44111</v>
      </c>
      <c r="B244" s="25">
        <v>39.54</v>
      </c>
      <c r="C244" s="25">
        <v>1.1437999999999999</v>
      </c>
      <c r="D244" s="25">
        <v>72.64</v>
      </c>
      <c r="E244" s="25">
        <v>70.5</v>
      </c>
      <c r="Q244" s="15">
        <v>44365</v>
      </c>
      <c r="R244" s="25">
        <v>2.2025000000000001</v>
      </c>
      <c r="S244" s="25">
        <v>71.48</v>
      </c>
      <c r="T244" s="20">
        <v>44273</v>
      </c>
      <c r="U244" s="43">
        <v>2.0487000000000002</v>
      </c>
      <c r="V244" s="43">
        <v>61.31</v>
      </c>
    </row>
    <row r="245" spans="1:22">
      <c r="A245" s="20">
        <v>44112</v>
      </c>
      <c r="B245" s="25">
        <v>39.58</v>
      </c>
      <c r="C245" s="25">
        <v>1.1577999999999999</v>
      </c>
      <c r="D245" s="25">
        <v>72.55</v>
      </c>
      <c r="E245" s="25">
        <v>70.540000000000006</v>
      </c>
      <c r="Q245" s="15">
        <v>44364</v>
      </c>
      <c r="R245" s="25">
        <v>2.2189999999999999</v>
      </c>
      <c r="S245" s="25">
        <v>71.34</v>
      </c>
      <c r="T245" s="20">
        <v>44274</v>
      </c>
      <c r="U245" s="43">
        <v>2.0501999999999998</v>
      </c>
      <c r="V245" s="43">
        <v>60.67</v>
      </c>
    </row>
    <row r="246" spans="1:22">
      <c r="A246" s="20">
        <v>44113</v>
      </c>
      <c r="B246" s="25">
        <v>39.67</v>
      </c>
      <c r="C246" s="25">
        <v>1.1732</v>
      </c>
      <c r="D246" s="25">
        <v>72.09</v>
      </c>
      <c r="E246" s="25">
        <v>72.84</v>
      </c>
      <c r="Q246" s="15">
        <v>44363</v>
      </c>
      <c r="R246" s="25">
        <v>2.1930999999999998</v>
      </c>
      <c r="S246" s="25">
        <v>71.290000000000006</v>
      </c>
      <c r="T246" s="20">
        <v>44277</v>
      </c>
      <c r="U246" s="43">
        <v>2.0747</v>
      </c>
      <c r="V246" s="43">
        <v>61.2</v>
      </c>
    </row>
    <row r="247" spans="1:22">
      <c r="A247" s="20">
        <v>44116</v>
      </c>
      <c r="B247" s="25">
        <v>39.659999999999997</v>
      </c>
      <c r="C247" s="25">
        <v>1.1898</v>
      </c>
      <c r="D247" s="25">
        <v>69.930000000000007</v>
      </c>
      <c r="E247" s="25">
        <v>72.27</v>
      </c>
      <c r="Q247" s="15">
        <v>44362</v>
      </c>
      <c r="R247" s="25">
        <v>2.2115</v>
      </c>
      <c r="S247" s="25">
        <v>58.46</v>
      </c>
      <c r="T247" s="20">
        <v>44278</v>
      </c>
      <c r="U247" s="43">
        <v>2.1273</v>
      </c>
      <c r="V247" s="43">
        <v>61.12</v>
      </c>
    </row>
    <row r="248" spans="1:22">
      <c r="A248" s="20">
        <v>44117</v>
      </c>
      <c r="B248" s="25">
        <v>39.71</v>
      </c>
      <c r="C248" s="25">
        <v>1.2132000000000001</v>
      </c>
      <c r="D248" s="25">
        <v>70.5</v>
      </c>
      <c r="E248" s="25">
        <v>73.239999999999995</v>
      </c>
      <c r="Q248" s="15">
        <v>44361</v>
      </c>
      <c r="R248" s="25">
        <v>2.2018</v>
      </c>
      <c r="S248" s="25">
        <v>71.33</v>
      </c>
      <c r="T248" s="20">
        <v>44279</v>
      </c>
      <c r="U248" s="43">
        <v>2.1347999999999998</v>
      </c>
      <c r="V248" s="43">
        <v>61.44</v>
      </c>
    </row>
    <row r="249" spans="1:22">
      <c r="A249" s="20">
        <v>44118</v>
      </c>
      <c r="B249" s="25">
        <v>39.58</v>
      </c>
      <c r="C249" s="25">
        <v>1.1711</v>
      </c>
      <c r="D249" s="25">
        <v>70.540000000000006</v>
      </c>
      <c r="E249" s="25">
        <v>74.86</v>
      </c>
      <c r="Q249" s="15">
        <v>44358</v>
      </c>
      <c r="R249" s="25">
        <v>2.1941000000000002</v>
      </c>
      <c r="S249" s="25">
        <v>70.650000000000006</v>
      </c>
      <c r="T249" s="20">
        <v>44280</v>
      </c>
      <c r="U249" s="43">
        <v>2.0994000000000002</v>
      </c>
      <c r="V249" s="43">
        <v>61.85</v>
      </c>
    </row>
    <row r="250" spans="1:22">
      <c r="A250" s="20">
        <v>44119</v>
      </c>
      <c r="B250" s="25">
        <v>39.630000000000003</v>
      </c>
      <c r="C250" s="25">
        <v>1.1816</v>
      </c>
      <c r="D250" s="25">
        <v>72.84</v>
      </c>
      <c r="E250" s="25">
        <v>74.33</v>
      </c>
      <c r="Q250" s="15">
        <v>44357</v>
      </c>
      <c r="R250" s="25">
        <v>2.1703999999999999</v>
      </c>
      <c r="S250" s="25">
        <v>70.430000000000007</v>
      </c>
      <c r="T250" s="20">
        <v>44281</v>
      </c>
      <c r="U250" s="43">
        <v>2.0956999999999999</v>
      </c>
      <c r="V250" s="43">
        <v>61.46</v>
      </c>
    </row>
    <row r="251" spans="1:22">
      <c r="A251" s="20">
        <v>44120</v>
      </c>
      <c r="B251" s="25">
        <v>38.83</v>
      </c>
      <c r="C251" s="25">
        <v>1.1524000000000001</v>
      </c>
      <c r="D251" s="25">
        <v>72.27</v>
      </c>
      <c r="E251" s="25">
        <v>71.349999999999994</v>
      </c>
      <c r="Q251" s="15">
        <v>44356</v>
      </c>
      <c r="R251" s="25">
        <v>2.1368999999999998</v>
      </c>
      <c r="S251" s="25">
        <v>70.95</v>
      </c>
      <c r="T251" s="20">
        <v>44284</v>
      </c>
      <c r="U251" s="43">
        <v>2.0474999999999999</v>
      </c>
      <c r="V251" s="43">
        <v>58.79</v>
      </c>
    </row>
    <row r="252" spans="1:22">
      <c r="A252" s="20">
        <v>44123</v>
      </c>
      <c r="B252" s="25">
        <v>37.229999999999997</v>
      </c>
      <c r="C252" s="25">
        <v>1.1234999999999999</v>
      </c>
      <c r="D252" s="25">
        <v>73.239999999999995</v>
      </c>
      <c r="E252" s="25">
        <v>71.33</v>
      </c>
      <c r="Q252" s="15">
        <v>44355</v>
      </c>
      <c r="R252" s="25">
        <v>2.1551999999999998</v>
      </c>
      <c r="S252" s="25">
        <v>70.92</v>
      </c>
      <c r="T252" s="20">
        <v>44285</v>
      </c>
      <c r="U252" s="43">
        <v>1.9407000000000001</v>
      </c>
      <c r="V252" s="43">
        <v>59.41</v>
      </c>
    </row>
    <row r="253" spans="1:22">
      <c r="A253" s="20">
        <v>44124</v>
      </c>
      <c r="B253" s="25">
        <v>39.200000000000003</v>
      </c>
      <c r="C253" s="25">
        <v>1.1940999999999999</v>
      </c>
      <c r="D253" s="25">
        <v>74.86</v>
      </c>
      <c r="E253" s="25">
        <v>71.319999999999993</v>
      </c>
      <c r="Q253" s="15">
        <v>44354</v>
      </c>
      <c r="R253" s="25">
        <v>2.1511999999999998</v>
      </c>
      <c r="S253" s="25">
        <v>70.239999999999995</v>
      </c>
      <c r="T253" s="20">
        <v>44286</v>
      </c>
      <c r="U253" s="43">
        <v>1.9437</v>
      </c>
      <c r="V253" s="43">
        <v>59.79</v>
      </c>
    </row>
    <row r="254" spans="1:22">
      <c r="A254" s="20">
        <v>44125</v>
      </c>
      <c r="B254" s="25">
        <v>40.450000000000003</v>
      </c>
      <c r="C254" s="25">
        <v>1.2351000000000001</v>
      </c>
      <c r="D254" s="25">
        <v>74.33</v>
      </c>
      <c r="E254" s="25">
        <v>71.48</v>
      </c>
      <c r="Q254" s="15">
        <v>44351</v>
      </c>
      <c r="R254" s="25">
        <v>2.1229</v>
      </c>
      <c r="S254" s="25">
        <v>70.25</v>
      </c>
      <c r="T254" s="20">
        <v>44287</v>
      </c>
      <c r="U254" s="43">
        <v>1.9583999999999999</v>
      </c>
      <c r="V254" s="43">
        <v>59.65</v>
      </c>
    </row>
    <row r="255" spans="1:22">
      <c r="A255" s="20">
        <v>44126</v>
      </c>
      <c r="B255" s="25">
        <v>39.86</v>
      </c>
      <c r="C255" s="25">
        <v>1.2009000000000001</v>
      </c>
      <c r="D255" s="25">
        <v>71.349999999999994</v>
      </c>
      <c r="E255" s="25">
        <v>71.34</v>
      </c>
      <c r="Q255" s="15">
        <v>44350</v>
      </c>
      <c r="R255" s="25">
        <v>2.1217000000000001</v>
      </c>
      <c r="S255" s="25">
        <v>69.88</v>
      </c>
      <c r="T255" s="20">
        <v>44291</v>
      </c>
      <c r="U255" s="43">
        <v>1.8958999999999999</v>
      </c>
      <c r="V255" s="43">
        <v>59.44</v>
      </c>
    </row>
    <row r="256" spans="1:22">
      <c r="A256" s="20">
        <v>44127</v>
      </c>
      <c r="B256" s="25">
        <v>40.82</v>
      </c>
      <c r="C256" s="25">
        <v>1.2316</v>
      </c>
      <c r="D256" s="25">
        <v>71.33</v>
      </c>
      <c r="E256" s="25">
        <v>71.290000000000006</v>
      </c>
      <c r="Q256" s="15">
        <v>44349</v>
      </c>
      <c r="R256" s="25">
        <v>2.0709</v>
      </c>
      <c r="S256" s="25">
        <v>69.66</v>
      </c>
      <c r="T256" s="20">
        <v>44292</v>
      </c>
      <c r="U256" s="43">
        <v>1.9875</v>
      </c>
      <c r="V256" s="43">
        <v>59.72</v>
      </c>
    </row>
    <row r="257" spans="1:22">
      <c r="A257" s="20">
        <v>44130</v>
      </c>
      <c r="B257" s="25">
        <v>39.22</v>
      </c>
      <c r="C257" s="25">
        <v>1.2032</v>
      </c>
      <c r="D257" s="25">
        <v>71.319999999999993</v>
      </c>
      <c r="E257" s="25">
        <v>58.46</v>
      </c>
      <c r="Q257" s="15">
        <v>44348</v>
      </c>
      <c r="R257" s="25">
        <v>2.0461999999999998</v>
      </c>
      <c r="S257" s="25">
        <v>69.73</v>
      </c>
      <c r="T257" s="20">
        <v>44293</v>
      </c>
      <c r="U257" s="43">
        <v>1.9196</v>
      </c>
      <c r="V257" s="43">
        <v>60.04</v>
      </c>
    </row>
    <row r="258" spans="1:22">
      <c r="A258" s="20">
        <v>44131</v>
      </c>
      <c r="B258" s="25">
        <v>39.53</v>
      </c>
      <c r="C258" s="25">
        <v>1.1757</v>
      </c>
      <c r="D258" s="25">
        <v>71.48</v>
      </c>
      <c r="E258" s="25">
        <v>71.33</v>
      </c>
      <c r="Q258" s="15">
        <v>44347</v>
      </c>
      <c r="R258" s="25">
        <v>2.0979000000000001</v>
      </c>
      <c r="S258" s="25">
        <v>69.09</v>
      </c>
      <c r="T258" s="20">
        <v>44294</v>
      </c>
      <c r="U258" s="43">
        <v>1.9709000000000001</v>
      </c>
      <c r="V258" s="43">
        <v>61.88</v>
      </c>
    </row>
    <row r="259" spans="1:22">
      <c r="A259" s="20">
        <v>44132</v>
      </c>
      <c r="B259" s="25">
        <v>38.42</v>
      </c>
      <c r="C259" s="25">
        <v>1.1633</v>
      </c>
      <c r="D259" s="25">
        <v>71.34</v>
      </c>
      <c r="E259" s="25">
        <v>70.650000000000006</v>
      </c>
      <c r="Q259" s="15">
        <v>44344</v>
      </c>
      <c r="R259" s="25">
        <v>2.1554000000000002</v>
      </c>
      <c r="S259" s="25">
        <v>69.400000000000006</v>
      </c>
      <c r="T259" s="20">
        <v>44295</v>
      </c>
      <c r="U259" s="43">
        <v>2.0009000000000001</v>
      </c>
      <c r="V259" s="43">
        <v>62.05</v>
      </c>
    </row>
    <row r="260" spans="1:22">
      <c r="A260" s="20">
        <v>44133</v>
      </c>
      <c r="B260" s="25">
        <v>37.119999999999997</v>
      </c>
      <c r="C260" s="25">
        <v>1.1795</v>
      </c>
      <c r="D260" s="25">
        <v>71.290000000000006</v>
      </c>
      <c r="E260" s="25">
        <v>70.430000000000007</v>
      </c>
      <c r="Q260" s="15">
        <v>44343</v>
      </c>
      <c r="R260" s="25">
        <v>2.1536</v>
      </c>
      <c r="S260" s="25">
        <v>68.7</v>
      </c>
      <c r="T260" s="20">
        <v>44298</v>
      </c>
      <c r="U260" s="43">
        <v>1.9964</v>
      </c>
      <c r="V260" s="43">
        <v>61.88</v>
      </c>
    </row>
    <row r="261" spans="1:22">
      <c r="A261" s="20">
        <v>44134</v>
      </c>
      <c r="B261" s="25">
        <v>36.5</v>
      </c>
      <c r="C261" s="25">
        <v>1.1637</v>
      </c>
      <c r="D261" s="25">
        <v>58.46</v>
      </c>
      <c r="E261" s="25">
        <v>70.95</v>
      </c>
      <c r="Q261" s="15">
        <v>44342</v>
      </c>
      <c r="R261" s="25">
        <v>2.1223999999999998</v>
      </c>
      <c r="S261" s="25">
        <v>68.73</v>
      </c>
      <c r="T261" s="20">
        <v>44299</v>
      </c>
      <c r="U261" s="43">
        <v>1.9597</v>
      </c>
      <c r="V261" s="43">
        <v>62</v>
      </c>
    </row>
    <row r="262" spans="1:22">
      <c r="A262" s="20">
        <v>44137</v>
      </c>
      <c r="B262" s="25">
        <v>35.89</v>
      </c>
      <c r="C262" s="25">
        <v>1.1535</v>
      </c>
      <c r="D262" s="25">
        <v>71.33</v>
      </c>
      <c r="E262" s="25">
        <v>70.92</v>
      </c>
      <c r="Q262" s="15">
        <v>44341</v>
      </c>
      <c r="R262" s="25">
        <v>2.093</v>
      </c>
      <c r="S262" s="25">
        <v>67.67</v>
      </c>
      <c r="T262" s="20">
        <v>44300</v>
      </c>
      <c r="U262" s="43">
        <v>2.0223</v>
      </c>
      <c r="V262" s="43">
        <v>61.66</v>
      </c>
    </row>
    <row r="263" spans="1:22">
      <c r="A263" s="20">
        <v>44138</v>
      </c>
      <c r="B263" s="25">
        <v>38.44</v>
      </c>
      <c r="C263" s="25">
        <v>1.1485000000000001</v>
      </c>
      <c r="D263" s="25">
        <v>70.650000000000006</v>
      </c>
      <c r="E263" s="25">
        <v>70.239999999999995</v>
      </c>
      <c r="Q263" s="15">
        <v>44340</v>
      </c>
      <c r="R263" s="25">
        <v>2.161</v>
      </c>
      <c r="S263" s="25">
        <v>65.16</v>
      </c>
      <c r="T263" s="20">
        <v>44301</v>
      </c>
      <c r="U263" s="43">
        <v>1.9611000000000001</v>
      </c>
      <c r="V263" s="43">
        <v>54.78</v>
      </c>
    </row>
    <row r="264" spans="1:22">
      <c r="A264" s="20">
        <v>44139</v>
      </c>
      <c r="B264" s="25">
        <v>39.090000000000003</v>
      </c>
      <c r="C264" s="25">
        <v>1.1725000000000001</v>
      </c>
      <c r="D264" s="25">
        <v>70.430000000000007</v>
      </c>
      <c r="E264" s="25">
        <v>70.25</v>
      </c>
      <c r="Q264" s="15">
        <v>44337</v>
      </c>
      <c r="R264" s="25">
        <v>2.1398999999999999</v>
      </c>
      <c r="S264" s="25">
        <v>65.180000000000007</v>
      </c>
      <c r="T264" s="20">
        <v>44302</v>
      </c>
      <c r="U264" s="43">
        <v>1.9662999999999999</v>
      </c>
      <c r="V264" s="43">
        <v>61.19</v>
      </c>
    </row>
    <row r="265" spans="1:22">
      <c r="A265" s="20">
        <v>44140</v>
      </c>
      <c r="B265" s="25">
        <v>39.79</v>
      </c>
      <c r="C265" s="25">
        <v>1.1271</v>
      </c>
      <c r="D265" s="25">
        <v>70.95</v>
      </c>
      <c r="E265" s="25">
        <v>69.88</v>
      </c>
      <c r="Q265" s="15">
        <v>44336</v>
      </c>
      <c r="R265" s="25">
        <v>2.1334</v>
      </c>
      <c r="S265" s="25">
        <v>65.12</v>
      </c>
      <c r="T265" s="20">
        <v>44305</v>
      </c>
      <c r="U265" s="43">
        <v>1.9518</v>
      </c>
      <c r="V265" s="43">
        <v>61.39</v>
      </c>
    </row>
    <row r="266" spans="1:22">
      <c r="A266" s="20">
        <v>44141</v>
      </c>
      <c r="B266" s="25">
        <v>39.22</v>
      </c>
      <c r="C266" s="25">
        <v>1.1452</v>
      </c>
      <c r="D266" s="25">
        <v>70.92</v>
      </c>
      <c r="E266" s="25">
        <v>69.66</v>
      </c>
      <c r="Q266" s="15">
        <v>44335</v>
      </c>
      <c r="R266" s="25">
        <v>2.1269</v>
      </c>
      <c r="S266" s="25">
        <v>65.099999999999994</v>
      </c>
      <c r="T266" s="20">
        <v>44306</v>
      </c>
      <c r="U266" s="43">
        <v>1.9593</v>
      </c>
      <c r="V266" s="43">
        <v>61.33</v>
      </c>
    </row>
    <row r="267" spans="1:22">
      <c r="A267" s="20">
        <v>44144</v>
      </c>
      <c r="B267" s="25">
        <v>39.97</v>
      </c>
      <c r="C267" s="25">
        <v>1.127</v>
      </c>
      <c r="D267" s="25">
        <v>70.239999999999995</v>
      </c>
      <c r="E267" s="25">
        <v>69.73</v>
      </c>
      <c r="Q267" s="15">
        <v>44334</v>
      </c>
      <c r="R267" s="25">
        <v>2.1137000000000001</v>
      </c>
      <c r="S267" s="25">
        <v>65.09</v>
      </c>
      <c r="T267" s="20">
        <v>44307</v>
      </c>
      <c r="U267" s="43">
        <v>1.9621</v>
      </c>
      <c r="V267" s="43">
        <v>61.53</v>
      </c>
    </row>
    <row r="268" spans="1:22">
      <c r="A268" s="20">
        <v>44145</v>
      </c>
      <c r="B268" s="25">
        <v>39.799999999999997</v>
      </c>
      <c r="C268" s="25">
        <v>1.0969</v>
      </c>
      <c r="D268" s="25">
        <v>70.25</v>
      </c>
      <c r="E268" s="25">
        <v>69.09</v>
      </c>
      <c r="Q268" s="15">
        <v>44333</v>
      </c>
      <c r="R268" s="25">
        <v>2.1513</v>
      </c>
      <c r="S268" s="25">
        <v>64.48</v>
      </c>
      <c r="T268" s="20">
        <v>44308</v>
      </c>
      <c r="U268" s="43">
        <v>1.97</v>
      </c>
      <c r="V268" s="43">
        <v>61.66</v>
      </c>
    </row>
    <row r="269" spans="1:22">
      <c r="A269" s="20">
        <v>44146</v>
      </c>
      <c r="B269" s="25">
        <v>39.979999999999997</v>
      </c>
      <c r="C269" s="25">
        <v>1.1288</v>
      </c>
      <c r="D269" s="25">
        <v>69.88</v>
      </c>
      <c r="E269" s="25">
        <v>69.400000000000006</v>
      </c>
      <c r="Q269" s="15">
        <v>44330</v>
      </c>
      <c r="R269" s="25">
        <v>2.1511999999999998</v>
      </c>
      <c r="S269" s="25">
        <v>58.46</v>
      </c>
      <c r="T269" s="20">
        <v>44309</v>
      </c>
      <c r="U269" s="43">
        <v>1.9757</v>
      </c>
      <c r="V269" s="43">
        <v>61.77</v>
      </c>
    </row>
    <row r="270" spans="1:22">
      <c r="A270" s="20">
        <v>44147</v>
      </c>
      <c r="B270" s="25">
        <v>39.119999999999997</v>
      </c>
      <c r="C270" s="25">
        <v>1.0636000000000001</v>
      </c>
      <c r="D270" s="25">
        <v>69.66</v>
      </c>
      <c r="E270" s="25">
        <v>68.7</v>
      </c>
      <c r="Q270" s="15">
        <v>44329</v>
      </c>
      <c r="R270" s="25">
        <v>2.1015000000000001</v>
      </c>
      <c r="S270" s="25">
        <v>64.47</v>
      </c>
      <c r="T270" s="20">
        <v>44312</v>
      </c>
      <c r="U270" s="43">
        <v>2.0409000000000002</v>
      </c>
      <c r="V270" s="43">
        <v>61.7</v>
      </c>
    </row>
    <row r="271" spans="1:22">
      <c r="A271" s="20">
        <v>44148</v>
      </c>
      <c r="B271" s="25">
        <v>37.65</v>
      </c>
      <c r="C271" s="25">
        <v>1.028</v>
      </c>
      <c r="D271" s="25">
        <v>69.73</v>
      </c>
      <c r="E271" s="25">
        <v>68.73</v>
      </c>
      <c r="Q271" s="15">
        <v>44328</v>
      </c>
      <c r="R271" s="25">
        <v>2.0762999999999998</v>
      </c>
      <c r="S271" s="25">
        <v>65.33</v>
      </c>
      <c r="T271" s="20">
        <v>44313</v>
      </c>
      <c r="U271" s="43">
        <v>2.0526</v>
      </c>
      <c r="V271" s="43">
        <v>64.47</v>
      </c>
    </row>
    <row r="272" spans="1:22">
      <c r="A272" s="20">
        <v>44151</v>
      </c>
      <c r="B272" s="25">
        <v>37.46</v>
      </c>
      <c r="C272" s="25">
        <v>1.0322</v>
      </c>
      <c r="D272" s="25">
        <v>69.09</v>
      </c>
      <c r="E272" s="25">
        <v>67.67</v>
      </c>
      <c r="Q272" s="15">
        <v>44327</v>
      </c>
      <c r="R272" s="25">
        <v>2.0988000000000002</v>
      </c>
      <c r="S272" s="25">
        <v>65.680000000000007</v>
      </c>
      <c r="T272" s="20">
        <v>44314</v>
      </c>
      <c r="U272" s="43">
        <v>2.0426000000000002</v>
      </c>
      <c r="V272" s="43">
        <v>65.61</v>
      </c>
    </row>
    <row r="273" spans="1:22">
      <c r="A273" s="20">
        <v>44152</v>
      </c>
      <c r="B273" s="25">
        <v>36.9</v>
      </c>
      <c r="C273" s="25">
        <v>1.052</v>
      </c>
      <c r="D273" s="25">
        <v>69.400000000000006</v>
      </c>
      <c r="E273" s="25">
        <v>65.16</v>
      </c>
      <c r="Q273" s="15">
        <v>44326</v>
      </c>
      <c r="R273" s="25">
        <v>2.0743</v>
      </c>
      <c r="S273" s="25">
        <v>65.23</v>
      </c>
      <c r="T273" s="20">
        <v>44315</v>
      </c>
      <c r="U273" s="43">
        <v>2.0463</v>
      </c>
      <c r="V273" s="43">
        <v>65.56</v>
      </c>
    </row>
    <row r="274" spans="1:22">
      <c r="A274" s="20">
        <v>44153</v>
      </c>
      <c r="B274" s="25">
        <v>37.700000000000003</v>
      </c>
      <c r="C274" s="25">
        <v>1.0769</v>
      </c>
      <c r="D274" s="25">
        <v>68.7</v>
      </c>
      <c r="E274" s="25">
        <v>65.180000000000007</v>
      </c>
      <c r="Q274" s="15">
        <v>44323</v>
      </c>
      <c r="R274" s="25">
        <v>2.0287999999999999</v>
      </c>
      <c r="S274" s="25">
        <v>64.38</v>
      </c>
      <c r="T274" s="20">
        <v>44316</v>
      </c>
      <c r="U274" s="43">
        <v>2.0209000000000001</v>
      </c>
      <c r="V274" s="43">
        <v>64.78</v>
      </c>
    </row>
    <row r="275" spans="1:22">
      <c r="A275" s="20">
        <v>44154</v>
      </c>
      <c r="B275" s="25">
        <v>39.04</v>
      </c>
      <c r="C275" s="25">
        <v>1.1081000000000001</v>
      </c>
      <c r="D275" s="25">
        <v>68.73</v>
      </c>
      <c r="E275" s="25">
        <v>65.12</v>
      </c>
      <c r="Q275" s="15">
        <v>44322</v>
      </c>
      <c r="R275" s="25">
        <v>1.9902</v>
      </c>
      <c r="S275" s="25">
        <v>65.739999999999995</v>
      </c>
      <c r="T275" s="20">
        <v>44319</v>
      </c>
      <c r="U275" s="43">
        <v>1.9881</v>
      </c>
      <c r="V275" s="43">
        <v>64.94</v>
      </c>
    </row>
    <row r="276" spans="1:22">
      <c r="A276" s="20">
        <v>44155</v>
      </c>
      <c r="B276" s="25">
        <v>38.729999999999997</v>
      </c>
      <c r="C276" s="25">
        <v>1.1158999999999999</v>
      </c>
      <c r="D276" s="25">
        <v>67.67</v>
      </c>
      <c r="E276" s="25">
        <v>65.099999999999994</v>
      </c>
      <c r="Q276" s="15">
        <v>44321</v>
      </c>
      <c r="R276" s="25">
        <v>2.0051000000000001</v>
      </c>
      <c r="S276" s="25">
        <v>64.180000000000007</v>
      </c>
      <c r="T276" s="20">
        <v>44320</v>
      </c>
      <c r="U276" s="43">
        <v>1.9811000000000001</v>
      </c>
      <c r="V276" s="43">
        <v>64.959999999999994</v>
      </c>
    </row>
    <row r="277" spans="1:22">
      <c r="A277" s="20">
        <v>44158</v>
      </c>
      <c r="B277" s="25">
        <v>37.42</v>
      </c>
      <c r="C277" s="25">
        <v>1.0844</v>
      </c>
      <c r="D277" s="25">
        <v>65.16</v>
      </c>
      <c r="E277" s="25">
        <v>65.09</v>
      </c>
      <c r="Q277" s="15">
        <v>44320</v>
      </c>
      <c r="R277" s="25">
        <v>1.9811000000000001</v>
      </c>
      <c r="S277" s="25">
        <v>64.959999999999994</v>
      </c>
      <c r="T277" s="20">
        <v>44321</v>
      </c>
      <c r="U277" s="43">
        <v>2.0051000000000001</v>
      </c>
      <c r="V277" s="43">
        <v>64.180000000000007</v>
      </c>
    </row>
    <row r="278" spans="1:22">
      <c r="A278" s="20">
        <v>44159</v>
      </c>
      <c r="B278" s="25">
        <v>39.78</v>
      </c>
      <c r="C278" s="25">
        <v>1.1607000000000001</v>
      </c>
      <c r="D278" s="25">
        <v>65.180000000000007</v>
      </c>
      <c r="E278" s="25">
        <v>64.48</v>
      </c>
      <c r="Q278" s="15">
        <v>44319</v>
      </c>
      <c r="R278" s="25">
        <v>1.9881</v>
      </c>
      <c r="S278" s="25">
        <v>64.94</v>
      </c>
      <c r="T278" s="20">
        <v>44322</v>
      </c>
      <c r="U278" s="43">
        <v>1.9902</v>
      </c>
      <c r="V278" s="43">
        <v>65.739999999999995</v>
      </c>
    </row>
    <row r="279" spans="1:22">
      <c r="A279" s="20">
        <v>44160</v>
      </c>
      <c r="B279" s="25">
        <v>40.520000000000003</v>
      </c>
      <c r="C279" s="25">
        <v>1.1940999999999999</v>
      </c>
      <c r="D279" s="25">
        <v>65.12</v>
      </c>
      <c r="E279" s="25">
        <v>58.46</v>
      </c>
      <c r="Q279" s="15">
        <v>44316</v>
      </c>
      <c r="R279" s="25">
        <v>2.0209000000000001</v>
      </c>
      <c r="S279" s="25">
        <v>64.78</v>
      </c>
      <c r="T279" s="20">
        <v>44323</v>
      </c>
      <c r="U279" s="43">
        <v>2.0287999999999999</v>
      </c>
      <c r="V279" s="43">
        <v>64.38</v>
      </c>
    </row>
    <row r="280" spans="1:22">
      <c r="A280" s="20">
        <v>44161</v>
      </c>
      <c r="B280" s="25">
        <v>40.58</v>
      </c>
      <c r="C280" s="25">
        <v>1.1758999999999999</v>
      </c>
      <c r="D280" s="25">
        <v>65.099999999999994</v>
      </c>
      <c r="E280" s="25">
        <v>64.47</v>
      </c>
      <c r="Q280" s="15">
        <v>44315</v>
      </c>
      <c r="R280" s="25">
        <v>2.0463</v>
      </c>
      <c r="S280" s="25">
        <v>65.56</v>
      </c>
      <c r="T280" s="20">
        <v>44326</v>
      </c>
      <c r="U280" s="43">
        <v>2.0743</v>
      </c>
      <c r="V280" s="43">
        <v>65.23</v>
      </c>
    </row>
    <row r="281" spans="1:22">
      <c r="A281" s="20">
        <v>44162</v>
      </c>
      <c r="B281" s="25">
        <v>40.380000000000003</v>
      </c>
      <c r="C281" s="25">
        <v>1.1557999999999999</v>
      </c>
      <c r="D281" s="25">
        <v>65.09</v>
      </c>
      <c r="E281" s="25">
        <v>65.33</v>
      </c>
      <c r="Q281" s="15">
        <v>44314</v>
      </c>
      <c r="R281" s="25">
        <v>2.0426000000000002</v>
      </c>
      <c r="S281" s="25">
        <v>65.61</v>
      </c>
      <c r="T281" s="20">
        <v>44327</v>
      </c>
      <c r="U281" s="43">
        <v>2.0988000000000002</v>
      </c>
      <c r="V281" s="43">
        <v>65.680000000000007</v>
      </c>
    </row>
    <row r="282" spans="1:22">
      <c r="A282" s="20">
        <v>44165</v>
      </c>
      <c r="B282" s="25">
        <v>39.83</v>
      </c>
      <c r="C282" s="25">
        <v>1.125</v>
      </c>
      <c r="D282" s="25">
        <v>64.48</v>
      </c>
      <c r="E282" s="25">
        <v>65.680000000000007</v>
      </c>
      <c r="Q282" s="15">
        <v>44313</v>
      </c>
      <c r="R282" s="25">
        <v>2.0526</v>
      </c>
      <c r="S282" s="25">
        <v>64.47</v>
      </c>
      <c r="T282" s="20">
        <v>44328</v>
      </c>
      <c r="U282" s="43">
        <v>2.0762999999999998</v>
      </c>
      <c r="V282" s="43">
        <v>65.33</v>
      </c>
    </row>
    <row r="283" spans="1:22">
      <c r="A283" s="20">
        <v>44166</v>
      </c>
      <c r="B283" s="25">
        <v>40.42</v>
      </c>
      <c r="C283" s="25">
        <v>1.147</v>
      </c>
      <c r="D283" s="25">
        <v>58.46</v>
      </c>
      <c r="E283" s="25">
        <v>65.23</v>
      </c>
      <c r="Q283" s="15">
        <v>44312</v>
      </c>
      <c r="R283" s="25">
        <v>2.0409000000000002</v>
      </c>
      <c r="S283" s="25">
        <v>61.7</v>
      </c>
      <c r="T283" s="20">
        <v>44329</v>
      </c>
      <c r="U283" s="43">
        <v>2.1015000000000001</v>
      </c>
      <c r="V283" s="43">
        <v>64.47</v>
      </c>
    </row>
    <row r="284" spans="1:22">
      <c r="A284" s="20">
        <v>44167</v>
      </c>
      <c r="B284" s="25">
        <v>40.46</v>
      </c>
      <c r="C284" s="25">
        <v>1.1528</v>
      </c>
      <c r="D284" s="25">
        <v>64.47</v>
      </c>
      <c r="E284" s="25">
        <v>64.38</v>
      </c>
      <c r="Q284" s="15">
        <v>44309</v>
      </c>
      <c r="R284" s="25">
        <v>1.9757</v>
      </c>
      <c r="S284" s="25">
        <v>61.77</v>
      </c>
      <c r="T284" s="20">
        <v>44330</v>
      </c>
      <c r="U284" s="43">
        <v>2.1511999999999998</v>
      </c>
      <c r="V284" s="43">
        <v>58.46</v>
      </c>
    </row>
    <row r="285" spans="1:22">
      <c r="A285" s="20">
        <v>44168</v>
      </c>
      <c r="B285" s="25">
        <v>40.61</v>
      </c>
      <c r="C285" s="25">
        <v>1.1626000000000001</v>
      </c>
      <c r="D285" s="25">
        <v>65.33</v>
      </c>
      <c r="E285" s="25">
        <v>65.739999999999995</v>
      </c>
      <c r="Q285" s="15">
        <v>44308</v>
      </c>
      <c r="R285" s="25">
        <v>1.97</v>
      </c>
      <c r="S285" s="25">
        <v>61.66</v>
      </c>
      <c r="T285" s="20">
        <v>44333</v>
      </c>
      <c r="U285" s="43">
        <v>2.1513</v>
      </c>
      <c r="V285" s="43">
        <v>64.48</v>
      </c>
    </row>
    <row r="286" spans="1:22">
      <c r="A286" s="20">
        <v>44169</v>
      </c>
      <c r="B286" s="25">
        <v>40.57</v>
      </c>
      <c r="C286" s="25">
        <v>1.1596</v>
      </c>
      <c r="D286" s="25">
        <v>65.680000000000007</v>
      </c>
      <c r="E286" s="25">
        <v>64.180000000000007</v>
      </c>
      <c r="Q286" s="15">
        <v>44307</v>
      </c>
      <c r="R286" s="25">
        <v>1.9621</v>
      </c>
      <c r="S286" s="25">
        <v>61.53</v>
      </c>
      <c r="T286" s="20">
        <v>44334</v>
      </c>
      <c r="U286" s="43">
        <v>2.1137000000000001</v>
      </c>
      <c r="V286" s="43">
        <v>65.09</v>
      </c>
    </row>
    <row r="287" spans="1:22">
      <c r="A287" s="20">
        <v>44172</v>
      </c>
      <c r="B287" s="25">
        <v>40.72</v>
      </c>
      <c r="C287" s="25">
        <v>1.1702999999999999</v>
      </c>
      <c r="D287" s="25">
        <v>65.23</v>
      </c>
      <c r="E287" s="25">
        <v>64.959999999999994</v>
      </c>
      <c r="Q287" s="15">
        <v>44306</v>
      </c>
      <c r="R287" s="25">
        <v>1.9593</v>
      </c>
      <c r="S287" s="25">
        <v>61.33</v>
      </c>
      <c r="T287" s="20">
        <v>44335</v>
      </c>
      <c r="U287" s="43">
        <v>2.1269</v>
      </c>
      <c r="V287" s="43">
        <v>65.099999999999994</v>
      </c>
    </row>
    <row r="288" spans="1:22">
      <c r="A288" s="20">
        <v>44173</v>
      </c>
      <c r="B288" s="25">
        <v>40.880000000000003</v>
      </c>
      <c r="C288" s="25">
        <v>1.1971000000000001</v>
      </c>
      <c r="D288" s="25">
        <v>64.38</v>
      </c>
      <c r="E288" s="25">
        <v>64.94</v>
      </c>
      <c r="Q288" s="15">
        <v>44305</v>
      </c>
      <c r="R288" s="25">
        <v>1.9518</v>
      </c>
      <c r="S288" s="25">
        <v>61.39</v>
      </c>
      <c r="T288" s="20">
        <v>44336</v>
      </c>
      <c r="U288" s="43">
        <v>2.1334</v>
      </c>
      <c r="V288" s="43">
        <v>65.12</v>
      </c>
    </row>
    <row r="289" spans="1:22">
      <c r="A289" s="20">
        <v>44174</v>
      </c>
      <c r="B289" s="25">
        <v>41.25</v>
      </c>
      <c r="C289" s="25">
        <v>1.2509999999999999</v>
      </c>
      <c r="D289" s="25">
        <v>65.739999999999995</v>
      </c>
      <c r="E289" s="25">
        <v>64.78</v>
      </c>
      <c r="Q289" s="15">
        <v>44302</v>
      </c>
      <c r="R289" s="25">
        <v>1.9662999999999999</v>
      </c>
      <c r="S289" s="25">
        <v>61.19</v>
      </c>
      <c r="T289" s="20">
        <v>44337</v>
      </c>
      <c r="U289" s="43">
        <v>2.1398999999999999</v>
      </c>
      <c r="V289" s="43">
        <v>65.180000000000007</v>
      </c>
    </row>
    <row r="290" spans="1:22">
      <c r="A290" s="20">
        <v>44175</v>
      </c>
      <c r="B290" s="25">
        <v>41.37</v>
      </c>
      <c r="C290" s="25">
        <v>1.2709999999999999</v>
      </c>
      <c r="D290" s="25">
        <v>64.180000000000007</v>
      </c>
      <c r="E290" s="25">
        <v>65.56</v>
      </c>
      <c r="Q290" s="15">
        <v>44301</v>
      </c>
      <c r="R290" s="25">
        <v>1.9611000000000001</v>
      </c>
      <c r="S290" s="25">
        <v>54.78</v>
      </c>
      <c r="T290" s="20">
        <v>44340</v>
      </c>
      <c r="U290" s="43">
        <v>2.161</v>
      </c>
      <c r="V290" s="43">
        <v>65.16</v>
      </c>
    </row>
    <row r="291" spans="1:22">
      <c r="A291" s="20">
        <v>44176</v>
      </c>
      <c r="B291" s="25">
        <v>41.36</v>
      </c>
      <c r="C291" s="25">
        <v>1.266</v>
      </c>
      <c r="D291" s="25">
        <v>64.959999999999994</v>
      </c>
      <c r="E291" s="25">
        <v>65.61</v>
      </c>
      <c r="Q291" s="15">
        <v>44300</v>
      </c>
      <c r="R291" s="25">
        <v>2.0223</v>
      </c>
      <c r="S291" s="25">
        <v>61.66</v>
      </c>
      <c r="T291" s="20">
        <v>44341</v>
      </c>
      <c r="U291" s="43">
        <v>2.093</v>
      </c>
      <c r="V291" s="43">
        <v>67.67</v>
      </c>
    </row>
    <row r="292" spans="1:22">
      <c r="A292" s="20">
        <v>44179</v>
      </c>
      <c r="B292" s="25">
        <v>41.35</v>
      </c>
      <c r="C292" s="25">
        <v>1.2416</v>
      </c>
      <c r="D292" s="25">
        <v>64.94</v>
      </c>
      <c r="E292" s="25">
        <v>64.47</v>
      </c>
      <c r="Q292" s="15">
        <v>44299</v>
      </c>
      <c r="R292" s="25">
        <v>1.9597</v>
      </c>
      <c r="S292" s="25">
        <v>62</v>
      </c>
      <c r="T292" s="20">
        <v>44342</v>
      </c>
      <c r="U292" s="43">
        <v>2.1223999999999998</v>
      </c>
      <c r="V292" s="43">
        <v>68.73</v>
      </c>
    </row>
    <row r="293" spans="1:22">
      <c r="A293" s="20">
        <v>44180</v>
      </c>
      <c r="B293" s="25">
        <v>44.61</v>
      </c>
      <c r="C293" s="25">
        <v>1.2203999999999999</v>
      </c>
      <c r="D293" s="25">
        <v>64.78</v>
      </c>
      <c r="E293" s="25">
        <v>61.7</v>
      </c>
      <c r="Q293" s="15">
        <v>44298</v>
      </c>
      <c r="R293" s="25">
        <v>1.9964</v>
      </c>
      <c r="S293" s="25">
        <v>61.88</v>
      </c>
      <c r="T293" s="20">
        <v>44343</v>
      </c>
      <c r="U293" s="43">
        <v>2.1536</v>
      </c>
      <c r="V293" s="43">
        <v>68.7</v>
      </c>
    </row>
    <row r="294" spans="1:22">
      <c r="A294" s="20">
        <v>44181</v>
      </c>
      <c r="B294" s="25">
        <v>45.3</v>
      </c>
      <c r="C294" s="25">
        <v>1.2399</v>
      </c>
      <c r="D294" s="25">
        <v>65.56</v>
      </c>
      <c r="E294" s="25">
        <v>61.77</v>
      </c>
      <c r="Q294" s="15">
        <v>44295</v>
      </c>
      <c r="R294" s="25">
        <v>2.0009000000000001</v>
      </c>
      <c r="S294" s="25">
        <v>62.05</v>
      </c>
      <c r="T294" s="20">
        <v>44344</v>
      </c>
      <c r="U294" s="43">
        <v>2.1554000000000002</v>
      </c>
      <c r="V294" s="43">
        <v>69.400000000000006</v>
      </c>
    </row>
    <row r="295" spans="1:22">
      <c r="A295" s="20">
        <v>44182</v>
      </c>
      <c r="B295" s="25">
        <v>45.62</v>
      </c>
      <c r="C295" s="25">
        <v>1.2617</v>
      </c>
      <c r="D295" s="25">
        <v>65.61</v>
      </c>
      <c r="E295" s="25">
        <v>61.66</v>
      </c>
      <c r="Q295" s="15">
        <v>44294</v>
      </c>
      <c r="R295" s="25">
        <v>1.9709000000000001</v>
      </c>
      <c r="S295" s="25">
        <v>61.88</v>
      </c>
      <c r="T295" s="20">
        <v>44347</v>
      </c>
      <c r="U295" s="43">
        <v>2.0979000000000001</v>
      </c>
      <c r="V295" s="43">
        <v>69.09</v>
      </c>
    </row>
    <row r="296" spans="1:22">
      <c r="A296" s="20">
        <v>44183</v>
      </c>
      <c r="B296" s="25">
        <v>46.16</v>
      </c>
      <c r="C296" s="25">
        <v>1.2685</v>
      </c>
      <c r="D296" s="25">
        <v>64.47</v>
      </c>
      <c r="E296" s="25">
        <v>61.53</v>
      </c>
      <c r="Q296" s="15">
        <v>44293</v>
      </c>
      <c r="R296" s="25">
        <v>1.9196</v>
      </c>
      <c r="S296" s="25">
        <v>60.04</v>
      </c>
      <c r="T296" s="20">
        <v>44348</v>
      </c>
      <c r="U296" s="43">
        <v>2.0461999999999998</v>
      </c>
      <c r="V296" s="43">
        <v>69.73</v>
      </c>
    </row>
    <row r="297" spans="1:22">
      <c r="A297" s="20">
        <v>44186</v>
      </c>
      <c r="B297" s="25">
        <v>45.76</v>
      </c>
      <c r="C297" s="25">
        <v>1.2558</v>
      </c>
      <c r="D297" s="25">
        <v>61.7</v>
      </c>
      <c r="E297" s="25">
        <v>61.33</v>
      </c>
      <c r="Q297" s="15">
        <v>44292</v>
      </c>
      <c r="R297" s="25">
        <v>1.9875</v>
      </c>
      <c r="S297" s="25">
        <v>59.72</v>
      </c>
      <c r="T297" s="20">
        <v>44349</v>
      </c>
      <c r="U297" s="43">
        <v>2.0709</v>
      </c>
      <c r="V297" s="43">
        <v>69.66</v>
      </c>
    </row>
    <row r="298" spans="1:22">
      <c r="A298" s="20">
        <v>44187</v>
      </c>
      <c r="B298" s="25">
        <v>45.64</v>
      </c>
      <c r="C298" s="25">
        <v>1.2559</v>
      </c>
      <c r="D298" s="25">
        <v>61.77</v>
      </c>
      <c r="E298" s="25">
        <v>61.39</v>
      </c>
      <c r="Q298" s="15">
        <v>44291</v>
      </c>
      <c r="R298" s="25">
        <v>1.8958999999999999</v>
      </c>
      <c r="S298" s="25">
        <v>59.44</v>
      </c>
      <c r="T298" s="20">
        <v>44350</v>
      </c>
      <c r="U298" s="43">
        <v>2.1217000000000001</v>
      </c>
      <c r="V298" s="43">
        <v>69.88</v>
      </c>
    </row>
    <row r="299" spans="1:22">
      <c r="A299" s="20">
        <v>44188</v>
      </c>
      <c r="B299" s="25">
        <v>45.58</v>
      </c>
      <c r="C299" s="25">
        <v>1.2759</v>
      </c>
      <c r="D299" s="25">
        <v>61.66</v>
      </c>
      <c r="E299" s="25">
        <v>61.19</v>
      </c>
      <c r="Q299" s="15">
        <v>44287</v>
      </c>
      <c r="R299" s="25">
        <v>1.9583999999999999</v>
      </c>
      <c r="S299" s="25">
        <v>59.65</v>
      </c>
      <c r="T299" s="20">
        <v>44351</v>
      </c>
      <c r="U299" s="43">
        <v>2.1229</v>
      </c>
      <c r="V299" s="43">
        <v>70.25</v>
      </c>
    </row>
    <row r="300" spans="1:22">
      <c r="A300" s="20">
        <v>44189</v>
      </c>
      <c r="B300" s="25">
        <v>46.44</v>
      </c>
      <c r="C300" s="25">
        <v>1.3166</v>
      </c>
      <c r="D300" s="25">
        <v>61.53</v>
      </c>
      <c r="E300" s="25">
        <v>54.78</v>
      </c>
      <c r="Q300" s="15">
        <v>44286</v>
      </c>
      <c r="R300" s="25">
        <v>1.9437</v>
      </c>
      <c r="S300" s="25">
        <v>59.79</v>
      </c>
      <c r="T300" s="20">
        <v>44354</v>
      </c>
      <c r="U300" s="43">
        <v>2.1511999999999998</v>
      </c>
      <c r="V300" s="43">
        <v>70.239999999999995</v>
      </c>
    </row>
    <row r="301" spans="1:22">
      <c r="A301" s="20">
        <v>44193</v>
      </c>
      <c r="B301" s="25">
        <v>46.3</v>
      </c>
      <c r="C301" s="25">
        <v>1.3077000000000001</v>
      </c>
      <c r="D301" s="25">
        <v>61.33</v>
      </c>
      <c r="E301" s="25">
        <v>61.66</v>
      </c>
      <c r="Q301" s="15">
        <v>44285</v>
      </c>
      <c r="R301" s="25">
        <v>1.9407000000000001</v>
      </c>
      <c r="S301" s="25">
        <v>59.41</v>
      </c>
      <c r="T301" s="20">
        <v>44355</v>
      </c>
      <c r="U301" s="43">
        <v>2.1551999999999998</v>
      </c>
      <c r="V301" s="43">
        <v>70.92</v>
      </c>
    </row>
    <row r="302" spans="1:22">
      <c r="A302" s="20">
        <v>44194</v>
      </c>
      <c r="B302" s="25">
        <v>46.54</v>
      </c>
      <c r="C302" s="25">
        <v>1.3190999999999999</v>
      </c>
      <c r="D302" s="25">
        <v>61.39</v>
      </c>
      <c r="E302" s="25">
        <v>62</v>
      </c>
      <c r="Q302" s="15">
        <v>44284</v>
      </c>
      <c r="R302" s="25">
        <v>2.0474999999999999</v>
      </c>
      <c r="S302" s="25">
        <v>58.79</v>
      </c>
      <c r="T302" s="20">
        <v>44356</v>
      </c>
      <c r="U302" s="43">
        <v>2.1368999999999998</v>
      </c>
      <c r="V302" s="43">
        <v>70.95</v>
      </c>
    </row>
    <row r="303" spans="1:22">
      <c r="A303" s="20">
        <v>44195</v>
      </c>
      <c r="B303" s="25">
        <v>46.89</v>
      </c>
      <c r="C303" s="25">
        <v>1.3268</v>
      </c>
      <c r="D303" s="25">
        <v>61.19</v>
      </c>
      <c r="E303" s="25">
        <v>61.88</v>
      </c>
      <c r="Q303" s="15">
        <v>44281</v>
      </c>
      <c r="R303" s="25">
        <v>2.0956999999999999</v>
      </c>
      <c r="S303" s="25">
        <v>61.46</v>
      </c>
      <c r="T303" s="20">
        <v>44357</v>
      </c>
      <c r="U303" s="43">
        <v>2.1703999999999999</v>
      </c>
      <c r="V303" s="43">
        <v>70.430000000000007</v>
      </c>
    </row>
    <row r="304" spans="1:22">
      <c r="A304" s="20">
        <v>44196</v>
      </c>
      <c r="B304" s="25">
        <v>46.99</v>
      </c>
      <c r="C304" s="25">
        <v>1.3514999999999999</v>
      </c>
      <c r="D304" s="25">
        <v>54.78</v>
      </c>
      <c r="E304" s="25">
        <v>62.05</v>
      </c>
      <c r="Q304" s="15">
        <v>44280</v>
      </c>
      <c r="R304" s="25">
        <v>2.0994000000000002</v>
      </c>
      <c r="S304" s="25">
        <v>61.85</v>
      </c>
      <c r="T304" s="20">
        <v>44358</v>
      </c>
      <c r="U304" s="43">
        <v>2.1941000000000002</v>
      </c>
      <c r="V304" s="43">
        <v>70.650000000000006</v>
      </c>
    </row>
    <row r="305" spans="1:22">
      <c r="A305" s="20">
        <v>44200</v>
      </c>
      <c r="B305" s="25">
        <v>47.24</v>
      </c>
      <c r="C305" s="25">
        <v>1.3816999999999999</v>
      </c>
      <c r="D305" s="25">
        <v>61.66</v>
      </c>
      <c r="E305" s="25">
        <v>61.88</v>
      </c>
      <c r="Q305" s="15">
        <v>44279</v>
      </c>
      <c r="R305" s="25">
        <v>2.1347999999999998</v>
      </c>
      <c r="S305" s="25">
        <v>61.44</v>
      </c>
      <c r="T305" s="20">
        <v>44361</v>
      </c>
      <c r="U305" s="43">
        <v>2.2018</v>
      </c>
      <c r="V305" s="43">
        <v>71.33</v>
      </c>
    </row>
    <row r="306" spans="1:22">
      <c r="A306" s="20">
        <v>44201</v>
      </c>
      <c r="B306" s="25">
        <v>47.53</v>
      </c>
      <c r="C306" s="25">
        <v>1.391</v>
      </c>
      <c r="D306" s="25">
        <v>62</v>
      </c>
      <c r="E306" s="25">
        <v>60.04</v>
      </c>
      <c r="Q306" s="15">
        <v>44278</v>
      </c>
      <c r="R306" s="25">
        <v>2.1273</v>
      </c>
      <c r="S306" s="25">
        <v>61.12</v>
      </c>
      <c r="T306" s="20">
        <v>44362</v>
      </c>
      <c r="U306" s="43">
        <v>2.2115</v>
      </c>
      <c r="V306" s="43">
        <v>58.46</v>
      </c>
    </row>
    <row r="307" spans="1:22">
      <c r="A307" s="20">
        <v>44202</v>
      </c>
      <c r="B307" s="25">
        <v>47.06</v>
      </c>
      <c r="C307" s="25">
        <v>1.3548</v>
      </c>
      <c r="D307" s="25">
        <v>61.88</v>
      </c>
      <c r="E307" s="25">
        <v>59.72</v>
      </c>
      <c r="Q307" s="15">
        <v>44277</v>
      </c>
      <c r="R307" s="25">
        <v>2.0747</v>
      </c>
      <c r="S307" s="25">
        <v>61.2</v>
      </c>
      <c r="T307" s="20">
        <v>44363</v>
      </c>
      <c r="U307" s="43">
        <v>2.1930999999999998</v>
      </c>
      <c r="V307" s="43">
        <v>71.290000000000006</v>
      </c>
    </row>
    <row r="308" spans="1:22">
      <c r="A308" s="20">
        <v>44203</v>
      </c>
      <c r="B308" s="25">
        <v>46.76</v>
      </c>
      <c r="C308" s="25">
        <v>1.3354999999999999</v>
      </c>
      <c r="D308" s="25">
        <v>62.05</v>
      </c>
      <c r="E308" s="25">
        <v>59.44</v>
      </c>
      <c r="Q308" s="15">
        <v>44274</v>
      </c>
      <c r="R308" s="25">
        <v>2.0501999999999998</v>
      </c>
      <c r="S308" s="25">
        <v>60.67</v>
      </c>
      <c r="T308" s="20">
        <v>44364</v>
      </c>
      <c r="U308" s="43">
        <v>2.2189999999999999</v>
      </c>
      <c r="V308" s="43">
        <v>71.34</v>
      </c>
    </row>
    <row r="309" spans="1:22">
      <c r="A309" s="20">
        <v>44204</v>
      </c>
      <c r="B309" s="25">
        <v>47.06</v>
      </c>
      <c r="C309" s="25">
        <v>1.3762000000000001</v>
      </c>
      <c r="D309" s="25">
        <v>61.88</v>
      </c>
      <c r="E309" s="25">
        <v>59.65</v>
      </c>
      <c r="Q309" s="15">
        <v>44273</v>
      </c>
      <c r="R309" s="25">
        <v>2.0487000000000002</v>
      </c>
      <c r="S309" s="25">
        <v>61.31</v>
      </c>
      <c r="T309" s="20">
        <v>44365</v>
      </c>
      <c r="U309" s="43">
        <v>2.2025000000000001</v>
      </c>
      <c r="V309" s="43">
        <v>71.48</v>
      </c>
    </row>
    <row r="310" spans="1:22">
      <c r="A310" s="20">
        <v>44207</v>
      </c>
      <c r="B310" s="25">
        <v>47.09</v>
      </c>
      <c r="C310" s="25">
        <v>1.3722000000000001</v>
      </c>
      <c r="D310" s="25">
        <v>60.04</v>
      </c>
      <c r="E310" s="25">
        <v>59.79</v>
      </c>
      <c r="Q310" s="15">
        <v>44272</v>
      </c>
      <c r="R310" s="25">
        <v>2.0647000000000002</v>
      </c>
      <c r="S310" s="25">
        <v>60.79</v>
      </c>
      <c r="T310" s="20">
        <v>44368</v>
      </c>
      <c r="U310" s="43">
        <v>2.2122000000000002</v>
      </c>
      <c r="V310" s="43">
        <v>71.319999999999993</v>
      </c>
    </row>
    <row r="311" spans="1:22">
      <c r="A311" s="20">
        <v>44208</v>
      </c>
      <c r="B311" s="25">
        <v>46.97</v>
      </c>
      <c r="C311" s="25">
        <v>1.3607</v>
      </c>
      <c r="D311" s="25">
        <v>59.72</v>
      </c>
      <c r="E311" s="25">
        <v>59.41</v>
      </c>
      <c r="Q311" s="15">
        <v>44271</v>
      </c>
      <c r="R311" s="25">
        <v>1.9979</v>
      </c>
      <c r="S311" s="25">
        <v>50.51</v>
      </c>
      <c r="T311" s="20">
        <v>44369</v>
      </c>
      <c r="U311" s="43">
        <v>2.1861000000000002</v>
      </c>
      <c r="V311" s="43">
        <v>71.33</v>
      </c>
    </row>
    <row r="312" spans="1:22">
      <c r="A312" s="20">
        <v>44209</v>
      </c>
      <c r="B312" s="25">
        <v>47.03</v>
      </c>
      <c r="C312" s="25">
        <v>1.3783000000000001</v>
      </c>
      <c r="D312" s="25">
        <v>59.44</v>
      </c>
      <c r="E312" s="25">
        <v>58.79</v>
      </c>
      <c r="Q312" s="15">
        <v>44270</v>
      </c>
      <c r="R312" s="25">
        <v>1.9518</v>
      </c>
      <c r="S312" s="25">
        <v>62.8</v>
      </c>
      <c r="T312" s="20">
        <v>44370</v>
      </c>
      <c r="U312" s="43">
        <v>2.173</v>
      </c>
      <c r="V312" s="43">
        <v>71.349999999999994</v>
      </c>
    </row>
    <row r="313" spans="1:22">
      <c r="A313" s="20">
        <v>44210</v>
      </c>
      <c r="B313" s="25">
        <v>47.06</v>
      </c>
      <c r="C313" s="25">
        <v>1.4013</v>
      </c>
      <c r="D313" s="25">
        <v>59.65</v>
      </c>
      <c r="E313" s="25">
        <v>61.46</v>
      </c>
      <c r="Q313" s="15">
        <v>44267</v>
      </c>
      <c r="R313" s="25">
        <v>1.9363999999999999</v>
      </c>
      <c r="S313" s="25">
        <v>62.26</v>
      </c>
      <c r="T313" s="20">
        <v>44371</v>
      </c>
      <c r="U313" s="43">
        <v>2.1728999999999998</v>
      </c>
      <c r="V313" s="43">
        <v>74.33</v>
      </c>
    </row>
    <row r="314" spans="1:22">
      <c r="A314" s="20">
        <v>44211</v>
      </c>
      <c r="B314" s="25">
        <v>47.07</v>
      </c>
      <c r="C314" s="25">
        <v>1.4100999999999999</v>
      </c>
      <c r="D314" s="25">
        <v>59.79</v>
      </c>
      <c r="E314" s="25">
        <v>61.85</v>
      </c>
      <c r="Q314" s="15">
        <v>44266</v>
      </c>
      <c r="R314" s="25">
        <v>1.9429000000000001</v>
      </c>
      <c r="S314" s="25">
        <v>62.86</v>
      </c>
      <c r="T314" s="20">
        <v>44372</v>
      </c>
      <c r="U314" s="43">
        <v>2.16</v>
      </c>
      <c r="V314" s="43">
        <v>74.86</v>
      </c>
    </row>
    <row r="315" spans="1:22">
      <c r="A315" s="20">
        <v>44214</v>
      </c>
      <c r="B315" s="25">
        <v>47.67</v>
      </c>
      <c r="C315" s="25">
        <v>1.3729</v>
      </c>
      <c r="D315" s="25">
        <v>59.41</v>
      </c>
      <c r="E315" s="25">
        <v>61.44</v>
      </c>
      <c r="Q315" s="15">
        <v>44265</v>
      </c>
      <c r="R315" s="25">
        <v>1.9504999999999999</v>
      </c>
      <c r="S315" s="25">
        <v>62.56</v>
      </c>
      <c r="T315" s="20">
        <v>44375</v>
      </c>
      <c r="U315" s="43">
        <v>2.1387999999999998</v>
      </c>
      <c r="V315" s="43">
        <v>73.239999999999995</v>
      </c>
    </row>
    <row r="316" spans="1:22">
      <c r="A316" s="20">
        <v>44215</v>
      </c>
      <c r="B316" s="25">
        <v>49.84</v>
      </c>
      <c r="C316" s="25">
        <v>1.4520999999999999</v>
      </c>
      <c r="D316" s="25">
        <v>58.79</v>
      </c>
      <c r="E316" s="25">
        <v>61.12</v>
      </c>
      <c r="Q316" s="15">
        <v>44264</v>
      </c>
      <c r="R316" s="25">
        <v>1.9763999999999999</v>
      </c>
      <c r="S316" s="25">
        <v>61.63</v>
      </c>
      <c r="T316" s="20">
        <v>44376</v>
      </c>
      <c r="U316" s="43">
        <v>2.1739999999999999</v>
      </c>
      <c r="V316" s="43">
        <v>72.27</v>
      </c>
    </row>
    <row r="317" spans="1:22">
      <c r="A317" s="20">
        <v>44216</v>
      </c>
      <c r="B317" s="25">
        <v>50.46</v>
      </c>
      <c r="C317" s="25">
        <v>1.4750000000000001</v>
      </c>
      <c r="D317" s="25">
        <v>61.46</v>
      </c>
      <c r="E317" s="25">
        <v>61.2</v>
      </c>
      <c r="Q317" s="15">
        <v>44263</v>
      </c>
      <c r="R317" s="25">
        <v>1.9777</v>
      </c>
      <c r="S317" s="25">
        <v>61.61</v>
      </c>
      <c r="T317" s="20">
        <v>44377</v>
      </c>
      <c r="U317" s="43">
        <v>2.2031000000000001</v>
      </c>
      <c r="V317" s="43">
        <v>72.84</v>
      </c>
    </row>
    <row r="318" spans="1:22">
      <c r="A318" s="20">
        <v>44217</v>
      </c>
      <c r="B318" s="25">
        <v>50.62</v>
      </c>
      <c r="C318" s="25">
        <v>1.4826999999999999</v>
      </c>
      <c r="D318" s="25">
        <v>61.85</v>
      </c>
      <c r="E318" s="25">
        <v>60.67</v>
      </c>
      <c r="Q318" s="15">
        <v>44260</v>
      </c>
      <c r="R318" s="25">
        <v>1.9424999999999999</v>
      </c>
      <c r="S318" s="25">
        <v>62.27</v>
      </c>
      <c r="T318" s="20">
        <v>44378</v>
      </c>
      <c r="U318" s="43">
        <v>2.2301000000000002</v>
      </c>
      <c r="V318" s="43">
        <v>70.540000000000006</v>
      </c>
    </row>
    <row r="319" spans="1:22">
      <c r="A319" s="20">
        <v>44218</v>
      </c>
      <c r="B319" s="25">
        <v>51.72</v>
      </c>
      <c r="C319" s="25">
        <v>1.5423</v>
      </c>
      <c r="D319" s="25">
        <v>61.44</v>
      </c>
      <c r="E319" s="25">
        <v>61.31</v>
      </c>
      <c r="Q319" s="15">
        <v>44259</v>
      </c>
      <c r="R319" s="25">
        <v>1.9309000000000001</v>
      </c>
      <c r="S319" s="25">
        <v>63.22</v>
      </c>
      <c r="T319" s="20">
        <v>44379</v>
      </c>
      <c r="U319" s="43">
        <v>2.2698999999999998</v>
      </c>
      <c r="V319" s="43">
        <v>70.5</v>
      </c>
    </row>
    <row r="320" spans="1:22">
      <c r="A320" s="20">
        <v>44221</v>
      </c>
      <c r="B320" s="25">
        <v>51.73</v>
      </c>
      <c r="C320" s="25">
        <v>1.5207999999999999</v>
      </c>
      <c r="D320" s="25">
        <v>61.12</v>
      </c>
      <c r="E320" s="25">
        <v>60.79</v>
      </c>
      <c r="Q320" s="15">
        <v>44258</v>
      </c>
      <c r="R320" s="25">
        <v>1.8889</v>
      </c>
      <c r="S320" s="25">
        <v>62.47</v>
      </c>
      <c r="T320" s="20">
        <v>44382</v>
      </c>
      <c r="U320" s="43">
        <v>2.2799999999999998</v>
      </c>
      <c r="V320" s="43">
        <v>69.930000000000007</v>
      </c>
    </row>
    <row r="321" spans="1:22">
      <c r="A321" s="20">
        <v>44222</v>
      </c>
      <c r="B321" s="25">
        <v>52.39</v>
      </c>
      <c r="C321" s="25">
        <v>1.5518000000000001</v>
      </c>
      <c r="D321" s="25">
        <v>61.2</v>
      </c>
      <c r="E321" s="25">
        <v>50.51</v>
      </c>
      <c r="Q321" s="15">
        <v>44257</v>
      </c>
      <c r="R321" s="25">
        <v>1.8872</v>
      </c>
      <c r="S321" s="25">
        <v>64.42</v>
      </c>
      <c r="T321" s="20">
        <v>44383</v>
      </c>
      <c r="U321" s="43">
        <v>2.2612000000000001</v>
      </c>
      <c r="V321" s="43">
        <v>72.09</v>
      </c>
    </row>
    <row r="322" spans="1:22">
      <c r="A322" s="20">
        <v>44223</v>
      </c>
      <c r="B322" s="25">
        <v>52.21</v>
      </c>
      <c r="C322" s="25">
        <v>1.5467</v>
      </c>
      <c r="D322" s="25">
        <v>60.67</v>
      </c>
      <c r="E322" s="25">
        <v>62.8</v>
      </c>
      <c r="Q322" s="15">
        <v>44256</v>
      </c>
      <c r="R322" s="25">
        <v>1.8937999999999999</v>
      </c>
      <c r="S322" s="25">
        <v>65.22</v>
      </c>
      <c r="T322" s="20">
        <v>44384</v>
      </c>
      <c r="U322" s="43">
        <v>2.2176999999999998</v>
      </c>
      <c r="V322" s="43">
        <v>72.55</v>
      </c>
    </row>
    <row r="323" spans="1:22">
      <c r="A323" s="20">
        <v>44224</v>
      </c>
      <c r="B323" s="25">
        <v>52.59</v>
      </c>
      <c r="C323" s="25">
        <v>1.5538000000000001</v>
      </c>
      <c r="D323" s="25">
        <v>61.31</v>
      </c>
      <c r="E323" s="25">
        <v>62.26</v>
      </c>
      <c r="Q323" s="15">
        <v>44253</v>
      </c>
      <c r="R323" s="25">
        <v>1.8636999999999999</v>
      </c>
      <c r="S323" s="25">
        <v>63.34</v>
      </c>
      <c r="T323" s="20">
        <v>44385</v>
      </c>
      <c r="U323" s="43">
        <v>2.2414999999999998</v>
      </c>
      <c r="V323" s="43">
        <v>72.64</v>
      </c>
    </row>
    <row r="324" spans="1:22">
      <c r="A324" s="20">
        <v>44225</v>
      </c>
      <c r="B324" s="25">
        <v>51.96</v>
      </c>
      <c r="C324" s="25">
        <v>1.5277000000000001</v>
      </c>
      <c r="D324" s="25">
        <v>60.79</v>
      </c>
      <c r="E324" s="25">
        <v>62.86</v>
      </c>
      <c r="Q324" s="15">
        <v>44252</v>
      </c>
      <c r="R324" s="25">
        <v>1.8139000000000001</v>
      </c>
      <c r="S324" s="25">
        <v>61.13</v>
      </c>
      <c r="T324" s="20">
        <v>44386</v>
      </c>
      <c r="U324" s="43">
        <v>2.2418</v>
      </c>
      <c r="V324" s="43">
        <v>68.62</v>
      </c>
    </row>
    <row r="325" spans="1:22">
      <c r="A325" s="20">
        <v>44228</v>
      </c>
      <c r="B325" s="25">
        <v>45.13</v>
      </c>
      <c r="C325" s="25">
        <v>1.5379</v>
      </c>
      <c r="D325" s="25">
        <v>50.51</v>
      </c>
      <c r="E325" s="25">
        <v>62.56</v>
      </c>
      <c r="Q325" s="15">
        <v>44251</v>
      </c>
      <c r="R325" s="25">
        <v>1.7786</v>
      </c>
      <c r="S325" s="25">
        <v>59.73</v>
      </c>
      <c r="T325" s="20">
        <v>44389</v>
      </c>
      <c r="U325" s="43">
        <v>2.2675999999999998</v>
      </c>
      <c r="V325" s="43">
        <v>69.349999999999994</v>
      </c>
    </row>
    <row r="326" spans="1:22">
      <c r="A326" s="20">
        <v>44229</v>
      </c>
      <c r="B326" s="25">
        <v>52.37</v>
      </c>
      <c r="C326" s="25">
        <v>1.5437000000000001</v>
      </c>
      <c r="D326" s="25">
        <v>62.8</v>
      </c>
      <c r="E326" s="25">
        <v>61.63</v>
      </c>
      <c r="Q326" s="15">
        <v>44250</v>
      </c>
      <c r="R326" s="25">
        <v>1.7841</v>
      </c>
      <c r="S326" s="25">
        <v>60.57</v>
      </c>
      <c r="T326" s="20">
        <v>44390</v>
      </c>
      <c r="U326" s="43">
        <v>2.2997999999999998</v>
      </c>
      <c r="V326" s="43">
        <v>71.7</v>
      </c>
    </row>
    <row r="327" spans="1:22">
      <c r="A327" s="20">
        <v>44230</v>
      </c>
      <c r="B327" s="25">
        <v>52.3</v>
      </c>
      <c r="C327" s="25">
        <v>1.5471999999999999</v>
      </c>
      <c r="D327" s="25">
        <v>62.26</v>
      </c>
      <c r="E327" s="25">
        <v>61.61</v>
      </c>
      <c r="Q327" s="15">
        <v>44249</v>
      </c>
      <c r="R327" s="25">
        <v>1.6736</v>
      </c>
      <c r="S327" s="25">
        <v>59.06</v>
      </c>
      <c r="T327" s="20">
        <v>44391</v>
      </c>
      <c r="U327" s="43">
        <v>2.2282000000000002</v>
      </c>
      <c r="V327" s="43">
        <v>72.23</v>
      </c>
    </row>
    <row r="328" spans="1:22">
      <c r="A328" s="20">
        <v>44231</v>
      </c>
      <c r="B328" s="25">
        <v>52.03</v>
      </c>
      <c r="C328" s="25">
        <v>1.5449999999999999</v>
      </c>
      <c r="D328" s="25">
        <v>62.86</v>
      </c>
      <c r="E328" s="25">
        <v>62.27</v>
      </c>
      <c r="Q328" s="15">
        <v>44246</v>
      </c>
      <c r="R328" s="25">
        <v>1.6748000000000001</v>
      </c>
      <c r="S328" s="25">
        <v>59.17</v>
      </c>
      <c r="T328" s="20">
        <v>44392</v>
      </c>
      <c r="U328" s="43">
        <v>2.206</v>
      </c>
      <c r="V328" s="43">
        <v>54.47</v>
      </c>
    </row>
    <row r="329" spans="1:22">
      <c r="A329" s="20">
        <v>44232</v>
      </c>
      <c r="B329" s="25">
        <v>52.16</v>
      </c>
      <c r="C329" s="25">
        <v>1.5579000000000001</v>
      </c>
      <c r="D329" s="25">
        <v>62.56</v>
      </c>
      <c r="E329" s="25">
        <v>63.22</v>
      </c>
      <c r="Q329" s="15">
        <v>44245</v>
      </c>
      <c r="R329" s="25">
        <v>1.6493</v>
      </c>
      <c r="S329" s="25">
        <v>59.14</v>
      </c>
      <c r="T329" s="20">
        <v>44393</v>
      </c>
      <c r="U329" s="43">
        <v>2.2551999999999999</v>
      </c>
      <c r="V329" s="43">
        <v>72.239999999999995</v>
      </c>
    </row>
    <row r="330" spans="1:22">
      <c r="A330" s="20">
        <v>44235</v>
      </c>
      <c r="B330" s="25">
        <v>52.13</v>
      </c>
      <c r="C330" s="25">
        <v>1.5748</v>
      </c>
      <c r="D330" s="25">
        <v>61.63</v>
      </c>
      <c r="E330" s="25">
        <v>62.47</v>
      </c>
      <c r="Q330" s="15">
        <v>44244</v>
      </c>
      <c r="R330" s="25">
        <v>1.6448</v>
      </c>
      <c r="S330" s="25">
        <v>58.89</v>
      </c>
      <c r="T330" s="20">
        <v>44396</v>
      </c>
      <c r="U330" s="43">
        <v>2.2919999999999998</v>
      </c>
      <c r="V330" s="43">
        <v>71.83</v>
      </c>
    </row>
    <row r="331" spans="1:22">
      <c r="A331" s="20">
        <v>44236</v>
      </c>
      <c r="B331" s="25">
        <v>52.16</v>
      </c>
      <c r="C331" s="25">
        <v>1.5716000000000001</v>
      </c>
      <c r="D331" s="25">
        <v>61.61</v>
      </c>
      <c r="E331" s="25">
        <v>64.42</v>
      </c>
      <c r="Q331" s="15">
        <v>44243</v>
      </c>
      <c r="R331" s="25">
        <v>1.6486000000000001</v>
      </c>
      <c r="S331" s="25">
        <v>58.9</v>
      </c>
      <c r="T331" s="20">
        <v>44397</v>
      </c>
      <c r="U331" s="43">
        <v>2.2772000000000001</v>
      </c>
      <c r="V331" s="43">
        <v>70.34</v>
      </c>
    </row>
    <row r="332" spans="1:22">
      <c r="A332" s="20">
        <v>44237</v>
      </c>
      <c r="B332" s="25">
        <v>52.11</v>
      </c>
      <c r="C332" s="25">
        <v>1.5753999999999999</v>
      </c>
      <c r="D332" s="25">
        <v>62.27</v>
      </c>
      <c r="E332" s="25">
        <v>65.22</v>
      </c>
      <c r="Q332" s="15">
        <v>44242</v>
      </c>
      <c r="R332" s="25">
        <v>1.6160000000000001</v>
      </c>
      <c r="S332" s="25">
        <v>58.26</v>
      </c>
      <c r="T332" s="20">
        <v>44398</v>
      </c>
      <c r="U332" s="43">
        <v>2.3016999999999999</v>
      </c>
      <c r="V332" s="43">
        <v>71.3</v>
      </c>
    </row>
    <row r="333" spans="1:22">
      <c r="A333" s="20">
        <v>44238</v>
      </c>
      <c r="B333" s="25">
        <v>52.1</v>
      </c>
      <c r="C333" s="25">
        <v>1.5527</v>
      </c>
      <c r="D333" s="25">
        <v>63.22</v>
      </c>
      <c r="E333" s="25">
        <v>63.34</v>
      </c>
      <c r="Q333" s="15">
        <v>44239</v>
      </c>
      <c r="R333" s="25">
        <v>1.5901000000000001</v>
      </c>
      <c r="S333" s="25">
        <v>58.67</v>
      </c>
      <c r="T333" s="20">
        <v>44399</v>
      </c>
      <c r="U333" s="43">
        <v>2.2722000000000002</v>
      </c>
      <c r="V333" s="43">
        <v>70.66</v>
      </c>
    </row>
    <row r="334" spans="1:22">
      <c r="A334" s="20">
        <v>44239</v>
      </c>
      <c r="B334" s="25">
        <v>53.52</v>
      </c>
      <c r="C334" s="25">
        <v>1.5901000000000001</v>
      </c>
      <c r="D334" s="25">
        <v>62.47</v>
      </c>
      <c r="E334" s="25">
        <v>61.13</v>
      </c>
      <c r="Q334" s="15">
        <v>44238</v>
      </c>
      <c r="R334" s="25">
        <v>1.5527</v>
      </c>
      <c r="S334" s="25">
        <v>50.94</v>
      </c>
      <c r="T334" s="20">
        <v>44400</v>
      </c>
      <c r="U334" s="43">
        <v>2.2317999999999998</v>
      </c>
      <c r="V334" s="43">
        <v>70.13</v>
      </c>
    </row>
    <row r="335" spans="1:22">
      <c r="A335" s="20">
        <v>44242</v>
      </c>
      <c r="B335" s="25">
        <v>54.67</v>
      </c>
      <c r="C335" s="25">
        <v>1.6160000000000001</v>
      </c>
      <c r="D335" s="25">
        <v>64.42</v>
      </c>
      <c r="E335" s="25">
        <v>59.73</v>
      </c>
      <c r="Q335" s="15">
        <v>44237</v>
      </c>
      <c r="R335" s="25">
        <v>1.5753999999999999</v>
      </c>
      <c r="S335" s="25">
        <v>58.44</v>
      </c>
      <c r="T335" s="20">
        <v>44403</v>
      </c>
      <c r="U335" s="43">
        <v>2.2345000000000002</v>
      </c>
      <c r="V335" s="43">
        <v>70.42</v>
      </c>
    </row>
    <row r="336" spans="1:22">
      <c r="A336" s="20">
        <v>44243</v>
      </c>
      <c r="B336" s="25">
        <v>55.5</v>
      </c>
      <c r="C336" s="25">
        <v>1.6486000000000001</v>
      </c>
      <c r="D336" s="25">
        <v>65.22</v>
      </c>
      <c r="E336" s="25">
        <v>60.57</v>
      </c>
      <c r="Q336" s="15">
        <v>44236</v>
      </c>
      <c r="R336" s="25">
        <v>1.5716000000000001</v>
      </c>
      <c r="S336" s="25">
        <v>58.14</v>
      </c>
      <c r="T336" s="20">
        <v>44404</v>
      </c>
      <c r="U336" s="43">
        <v>2.0903</v>
      </c>
      <c r="V336" s="43">
        <v>68.290000000000006</v>
      </c>
    </row>
    <row r="337" spans="1:22">
      <c r="A337" s="20">
        <v>44244</v>
      </c>
      <c r="B337" s="25">
        <v>55.95</v>
      </c>
      <c r="C337" s="25">
        <v>1.6448</v>
      </c>
      <c r="D337" s="25">
        <v>63.34</v>
      </c>
      <c r="E337" s="25">
        <v>59.06</v>
      </c>
      <c r="Q337" s="15">
        <v>44235</v>
      </c>
      <c r="R337" s="25">
        <v>1.5748</v>
      </c>
      <c r="S337" s="25">
        <v>57.49</v>
      </c>
      <c r="T337" s="20">
        <v>44405</v>
      </c>
      <c r="U337" s="43">
        <v>2.1103999999999998</v>
      </c>
      <c r="V337" s="43">
        <v>69.099999999999994</v>
      </c>
    </row>
    <row r="338" spans="1:22">
      <c r="A338" s="20">
        <v>44245</v>
      </c>
      <c r="B338" s="25">
        <v>56.44</v>
      </c>
      <c r="C338" s="25">
        <v>1.6493</v>
      </c>
      <c r="D338" s="25">
        <v>61.13</v>
      </c>
      <c r="E338" s="25">
        <v>59.17</v>
      </c>
      <c r="Q338" s="15">
        <v>44232</v>
      </c>
      <c r="R338" s="25">
        <v>1.5579000000000001</v>
      </c>
      <c r="S338" s="25">
        <v>57.74</v>
      </c>
      <c r="T338" s="20">
        <v>44406</v>
      </c>
      <c r="U338" s="43">
        <v>2.1941000000000002</v>
      </c>
      <c r="V338" s="43">
        <v>68.489999999999995</v>
      </c>
    </row>
    <row r="339" spans="1:22">
      <c r="A339" s="20">
        <v>44246</v>
      </c>
      <c r="B339" s="25">
        <v>57.27</v>
      </c>
      <c r="C339" s="25">
        <v>1.6748000000000001</v>
      </c>
      <c r="D339" s="25">
        <v>59.73</v>
      </c>
      <c r="E339" s="25">
        <v>59.14</v>
      </c>
      <c r="Q339" s="15">
        <v>44231</v>
      </c>
      <c r="R339" s="25">
        <v>1.5449999999999999</v>
      </c>
      <c r="S339" s="25">
        <v>57.54</v>
      </c>
      <c r="T339" s="20">
        <v>44407</v>
      </c>
      <c r="U339" s="43">
        <v>2.2473999999999998</v>
      </c>
      <c r="V339" s="43">
        <v>67.099999999999994</v>
      </c>
    </row>
    <row r="340" spans="1:22">
      <c r="A340" s="20">
        <v>44249</v>
      </c>
      <c r="B340" s="25">
        <v>57.54</v>
      </c>
      <c r="C340" s="25">
        <v>1.6736</v>
      </c>
      <c r="D340" s="25">
        <v>60.57</v>
      </c>
      <c r="E340" s="25">
        <v>58.89</v>
      </c>
      <c r="Q340" s="15">
        <v>44230</v>
      </c>
      <c r="R340" s="25">
        <v>1.5471999999999999</v>
      </c>
      <c r="S340" s="25">
        <v>57.27</v>
      </c>
      <c r="T340" s="20">
        <v>44410</v>
      </c>
      <c r="U340" s="43">
        <v>2.2612000000000001</v>
      </c>
      <c r="V340" s="43">
        <v>68.400000000000006</v>
      </c>
    </row>
    <row r="341" spans="1:22">
      <c r="A341" s="20">
        <v>44250</v>
      </c>
      <c r="B341" s="25">
        <v>57.74</v>
      </c>
      <c r="C341" s="25">
        <v>1.7841</v>
      </c>
      <c r="D341" s="25">
        <v>59.06</v>
      </c>
      <c r="E341" s="25">
        <v>58.9</v>
      </c>
      <c r="Q341" s="15">
        <v>44229</v>
      </c>
      <c r="R341" s="25">
        <v>1.5437000000000001</v>
      </c>
      <c r="S341" s="25">
        <v>56.44</v>
      </c>
      <c r="T341" s="20">
        <v>44411</v>
      </c>
      <c r="U341" s="43">
        <v>2.2753999999999999</v>
      </c>
      <c r="V341" s="43">
        <v>66.08</v>
      </c>
    </row>
    <row r="342" spans="1:22">
      <c r="A342" s="20">
        <v>44251</v>
      </c>
      <c r="B342" s="25">
        <v>57.49</v>
      </c>
      <c r="C342" s="25">
        <v>1.7786</v>
      </c>
      <c r="D342" s="25">
        <v>59.17</v>
      </c>
      <c r="E342" s="25">
        <v>58.26</v>
      </c>
      <c r="Q342" s="15">
        <v>44228</v>
      </c>
      <c r="R342" s="25">
        <v>1.5379</v>
      </c>
      <c r="S342" s="25">
        <v>55.95</v>
      </c>
      <c r="T342" s="20">
        <v>44412</v>
      </c>
      <c r="U342" s="43">
        <v>2.2812999999999999</v>
      </c>
      <c r="V342" s="43">
        <v>66.13</v>
      </c>
    </row>
    <row r="343" spans="1:22">
      <c r="A343" s="20">
        <v>44252</v>
      </c>
      <c r="B343" s="25">
        <v>58.14</v>
      </c>
      <c r="C343" s="25">
        <v>1.8139000000000001</v>
      </c>
      <c r="D343" s="25">
        <v>59.14</v>
      </c>
      <c r="E343" s="25">
        <v>58.67</v>
      </c>
      <c r="Q343" s="15">
        <v>44225</v>
      </c>
      <c r="R343" s="25">
        <v>1.5277000000000001</v>
      </c>
      <c r="S343" s="25">
        <v>55.5</v>
      </c>
      <c r="T343" s="20">
        <v>44413</v>
      </c>
      <c r="U343" s="43">
        <v>2.282</v>
      </c>
      <c r="V343" s="43">
        <v>67.33</v>
      </c>
    </row>
    <row r="344" spans="1:22">
      <c r="A344" s="20">
        <v>44253</v>
      </c>
      <c r="B344" s="25">
        <v>58.44</v>
      </c>
      <c r="C344" s="25">
        <v>1.8636999999999999</v>
      </c>
      <c r="D344" s="25">
        <v>58.89</v>
      </c>
      <c r="E344" s="25">
        <v>50.94</v>
      </c>
      <c r="Q344" s="15">
        <v>44224</v>
      </c>
      <c r="R344" s="25">
        <v>1.5538000000000001</v>
      </c>
      <c r="S344" s="25">
        <v>54.67</v>
      </c>
      <c r="T344" s="20">
        <v>44414</v>
      </c>
      <c r="U344" s="43">
        <v>2.3250999999999999</v>
      </c>
      <c r="V344" s="43">
        <v>67.94</v>
      </c>
    </row>
    <row r="345" spans="1:22">
      <c r="A345" s="20">
        <v>44256</v>
      </c>
      <c r="B345" s="25">
        <v>50.94</v>
      </c>
      <c r="C345" s="25">
        <v>1.8937999999999999</v>
      </c>
      <c r="D345" s="25">
        <v>58.9</v>
      </c>
      <c r="E345" s="25">
        <v>58.44</v>
      </c>
      <c r="Q345" s="15">
        <v>44223</v>
      </c>
      <c r="R345" s="25">
        <v>1.5467</v>
      </c>
      <c r="S345" s="25">
        <v>53.52</v>
      </c>
      <c r="T345" s="20">
        <v>44417</v>
      </c>
      <c r="U345" s="43">
        <v>2.3347000000000002</v>
      </c>
      <c r="V345" s="43">
        <v>67.59</v>
      </c>
    </row>
    <row r="346" spans="1:22">
      <c r="A346" s="20">
        <v>44257</v>
      </c>
      <c r="B346" s="25">
        <v>58.67</v>
      </c>
      <c r="C346" s="25">
        <v>1.8872</v>
      </c>
      <c r="D346" s="25">
        <v>58.26</v>
      </c>
      <c r="E346" s="25">
        <v>58.14</v>
      </c>
      <c r="Q346" s="15">
        <v>44222</v>
      </c>
      <c r="R346" s="25">
        <v>1.5518000000000001</v>
      </c>
      <c r="S346" s="25">
        <v>52.1</v>
      </c>
      <c r="T346" s="20">
        <v>44418</v>
      </c>
      <c r="U346" s="43">
        <v>2.2747000000000002</v>
      </c>
      <c r="V346" s="43">
        <v>67.069999999999993</v>
      </c>
    </row>
    <row r="347" spans="1:22">
      <c r="A347" s="20">
        <v>44258</v>
      </c>
      <c r="B347" s="25">
        <v>58.26</v>
      </c>
      <c r="C347" s="25">
        <v>1.8889</v>
      </c>
      <c r="D347" s="25">
        <v>58.67</v>
      </c>
      <c r="E347" s="25">
        <v>57.49</v>
      </c>
      <c r="Q347" s="15">
        <v>44221</v>
      </c>
      <c r="R347" s="25">
        <v>1.5207999999999999</v>
      </c>
      <c r="S347" s="25">
        <v>52.11</v>
      </c>
      <c r="T347" s="20">
        <v>44419</v>
      </c>
      <c r="U347" s="43">
        <v>2.2707999999999999</v>
      </c>
      <c r="V347" s="43">
        <v>66.37</v>
      </c>
    </row>
    <row r="348" spans="1:22">
      <c r="A348" s="20">
        <v>44259</v>
      </c>
      <c r="B348" s="25">
        <v>58.9</v>
      </c>
      <c r="C348" s="25">
        <v>1.9309000000000001</v>
      </c>
      <c r="D348" s="25">
        <v>50.94</v>
      </c>
      <c r="E348" s="25">
        <v>57.74</v>
      </c>
      <c r="Q348" s="15">
        <v>44218</v>
      </c>
      <c r="R348" s="25">
        <v>1.5423</v>
      </c>
      <c r="S348" s="25">
        <v>52.16</v>
      </c>
      <c r="T348" s="20">
        <v>44420</v>
      </c>
      <c r="U348" s="43">
        <v>2.25</v>
      </c>
      <c r="V348" s="43">
        <v>65.180000000000007</v>
      </c>
    </row>
    <row r="349" spans="1:22">
      <c r="A349" s="20">
        <v>44260</v>
      </c>
      <c r="B349" s="25">
        <v>58.89</v>
      </c>
      <c r="C349" s="25">
        <v>1.9424999999999999</v>
      </c>
      <c r="D349" s="25">
        <v>58.44</v>
      </c>
      <c r="E349" s="25">
        <v>57.54</v>
      </c>
      <c r="Q349" s="15">
        <v>44217</v>
      </c>
      <c r="R349" s="25">
        <v>1.4826999999999999</v>
      </c>
      <c r="S349" s="25">
        <v>52.13</v>
      </c>
      <c r="T349" s="20">
        <v>44421</v>
      </c>
      <c r="U349" s="43">
        <v>2.294</v>
      </c>
      <c r="V349" s="43">
        <v>66.989999999999995</v>
      </c>
    </row>
    <row r="350" spans="1:22">
      <c r="A350" s="20">
        <v>44263</v>
      </c>
      <c r="B350" s="25">
        <v>59.14</v>
      </c>
      <c r="C350" s="25">
        <v>1.9777</v>
      </c>
      <c r="D350" s="25">
        <v>58.14</v>
      </c>
      <c r="E350" s="25">
        <v>57.27</v>
      </c>
      <c r="Q350" s="15">
        <v>44216</v>
      </c>
      <c r="R350" s="25">
        <v>1.4750000000000001</v>
      </c>
      <c r="S350" s="25">
        <v>52.16</v>
      </c>
      <c r="T350" s="20">
        <v>44424</v>
      </c>
      <c r="U350" s="43">
        <v>2.2568999999999999</v>
      </c>
      <c r="V350" s="43">
        <v>58.02</v>
      </c>
    </row>
    <row r="351" spans="1:22">
      <c r="A351" s="20">
        <v>44264</v>
      </c>
      <c r="B351" s="25">
        <v>59.17</v>
      </c>
      <c r="C351" s="25">
        <v>1.9763999999999999</v>
      </c>
      <c r="D351" s="25">
        <v>57.49</v>
      </c>
      <c r="E351" s="25">
        <v>56.44</v>
      </c>
      <c r="Q351" s="15">
        <v>44215</v>
      </c>
      <c r="R351" s="25">
        <v>1.4520999999999999</v>
      </c>
      <c r="S351" s="25">
        <v>52.03</v>
      </c>
      <c r="T351" s="20">
        <v>44425</v>
      </c>
      <c r="U351" s="43">
        <v>2.2347999999999999</v>
      </c>
      <c r="V351" s="43">
        <v>67.69</v>
      </c>
    </row>
    <row r="352" spans="1:22">
      <c r="A352" s="20">
        <v>44265</v>
      </c>
      <c r="B352" s="25">
        <v>59.06</v>
      </c>
      <c r="C352" s="25">
        <v>1.9504999999999999</v>
      </c>
      <c r="D352" s="25">
        <v>57.74</v>
      </c>
      <c r="E352" s="25">
        <v>55.95</v>
      </c>
      <c r="Q352" s="15">
        <v>44214</v>
      </c>
      <c r="R352" s="25">
        <v>1.3729</v>
      </c>
      <c r="S352" s="25">
        <v>52.3</v>
      </c>
      <c r="T352" s="20">
        <v>44426</v>
      </c>
      <c r="U352" s="43">
        <v>2.2679</v>
      </c>
      <c r="V352" s="43">
        <v>67.52</v>
      </c>
    </row>
    <row r="353" spans="1:22">
      <c r="A353" s="20">
        <v>44266</v>
      </c>
      <c r="B353" s="25">
        <v>60.57</v>
      </c>
      <c r="C353" s="25">
        <v>1.9429000000000001</v>
      </c>
      <c r="D353" s="25">
        <v>57.54</v>
      </c>
      <c r="E353" s="25">
        <v>55.5</v>
      </c>
      <c r="Q353" s="15">
        <v>44211</v>
      </c>
      <c r="R353" s="25">
        <v>1.4100999999999999</v>
      </c>
      <c r="S353" s="25">
        <v>52.37</v>
      </c>
      <c r="T353" s="20">
        <v>44427</v>
      </c>
      <c r="U353" s="43">
        <v>2.3022</v>
      </c>
      <c r="V353" s="43">
        <v>67.7</v>
      </c>
    </row>
    <row r="354" spans="1:22">
      <c r="A354" s="20">
        <v>44267</v>
      </c>
      <c r="B354" s="25">
        <v>59.73</v>
      </c>
      <c r="C354" s="25">
        <v>1.9363999999999999</v>
      </c>
      <c r="D354" s="25">
        <v>57.27</v>
      </c>
      <c r="E354" s="25">
        <v>54.67</v>
      </c>
      <c r="Q354" s="15">
        <v>44210</v>
      </c>
      <c r="R354" s="25">
        <v>1.4013</v>
      </c>
      <c r="S354" s="25">
        <v>45.13</v>
      </c>
      <c r="T354" s="20">
        <v>44428</v>
      </c>
      <c r="U354" s="43">
        <v>2.13</v>
      </c>
      <c r="V354" s="43">
        <v>67.739999999999995</v>
      </c>
    </row>
    <row r="355" spans="1:22">
      <c r="A355" s="20">
        <v>44270</v>
      </c>
      <c r="B355" s="25">
        <v>61.13</v>
      </c>
      <c r="C355" s="25">
        <v>1.9518</v>
      </c>
      <c r="D355" s="25">
        <v>56.44</v>
      </c>
      <c r="E355" s="25">
        <v>53.52</v>
      </c>
      <c r="Q355" s="15">
        <v>44209</v>
      </c>
      <c r="R355" s="25">
        <v>1.3783000000000001</v>
      </c>
      <c r="S355" s="25">
        <v>51.96</v>
      </c>
      <c r="T355" s="20">
        <v>44431</v>
      </c>
      <c r="U355" s="43">
        <v>2.1128999999999998</v>
      </c>
      <c r="V355" s="43">
        <v>67.709999999999994</v>
      </c>
    </row>
    <row r="356" spans="1:22">
      <c r="A356" s="20">
        <v>44271</v>
      </c>
      <c r="B356" s="25">
        <v>63.34</v>
      </c>
      <c r="C356" s="25">
        <v>1.9979</v>
      </c>
      <c r="D356" s="25">
        <v>55.95</v>
      </c>
      <c r="E356" s="25">
        <v>52.1</v>
      </c>
      <c r="Q356" s="15">
        <v>44208</v>
      </c>
      <c r="R356" s="25">
        <v>1.3607</v>
      </c>
      <c r="S356" s="25">
        <v>52.59</v>
      </c>
      <c r="T356" s="20">
        <v>44432</v>
      </c>
      <c r="U356" s="43">
        <v>2.0668000000000002</v>
      </c>
      <c r="V356" s="43">
        <v>68.5</v>
      </c>
    </row>
    <row r="357" spans="1:22">
      <c r="A357" s="20">
        <v>44272</v>
      </c>
      <c r="B357" s="25">
        <v>65.22</v>
      </c>
      <c r="C357" s="25">
        <v>2.0647000000000002</v>
      </c>
      <c r="D357" s="25">
        <v>55.5</v>
      </c>
      <c r="E357" s="25">
        <v>52.11</v>
      </c>
      <c r="Q357" s="15">
        <v>44207</v>
      </c>
      <c r="R357" s="25">
        <v>1.3722000000000001</v>
      </c>
      <c r="S357" s="25">
        <v>52.21</v>
      </c>
      <c r="T357" s="20">
        <v>44433</v>
      </c>
      <c r="U357" s="43">
        <v>2.0396999999999998</v>
      </c>
      <c r="V357" s="43">
        <v>69.84</v>
      </c>
    </row>
    <row r="358" spans="1:22">
      <c r="A358" s="20">
        <v>44273</v>
      </c>
      <c r="B358" s="25">
        <v>64.42</v>
      </c>
      <c r="C358" s="25">
        <v>2.0487000000000002</v>
      </c>
      <c r="D358" s="25">
        <v>54.67</v>
      </c>
      <c r="E358" s="25">
        <v>52.16</v>
      </c>
      <c r="Q358" s="15">
        <v>44204</v>
      </c>
      <c r="R358" s="25">
        <v>1.3762000000000001</v>
      </c>
      <c r="S358" s="25">
        <v>52.39</v>
      </c>
      <c r="T358" s="20">
        <v>44434</v>
      </c>
      <c r="U358" s="43">
        <v>2.0162</v>
      </c>
      <c r="V358" s="43">
        <v>69.22</v>
      </c>
    </row>
    <row r="359" spans="1:22">
      <c r="A359" s="20">
        <v>44274</v>
      </c>
      <c r="B359" s="25">
        <v>62.47</v>
      </c>
      <c r="C359" s="25">
        <v>2.0501999999999998</v>
      </c>
      <c r="D359" s="25">
        <v>53.52</v>
      </c>
      <c r="E359" s="25">
        <v>52.13</v>
      </c>
      <c r="Q359" s="15">
        <v>44203</v>
      </c>
      <c r="R359" s="25">
        <v>1.3354999999999999</v>
      </c>
      <c r="S359" s="25">
        <v>51.73</v>
      </c>
      <c r="T359" s="20">
        <v>44435</v>
      </c>
      <c r="U359" s="43">
        <v>1.9524999999999999</v>
      </c>
      <c r="V359" s="43">
        <v>68.41</v>
      </c>
    </row>
    <row r="360" spans="1:22">
      <c r="A360" s="20">
        <v>44277</v>
      </c>
      <c r="B360" s="25">
        <v>63.22</v>
      </c>
      <c r="C360" s="25">
        <v>2.0747</v>
      </c>
      <c r="D360" s="25">
        <v>52.1</v>
      </c>
      <c r="E360" s="25">
        <v>52.16</v>
      </c>
      <c r="Q360" s="15">
        <v>44202</v>
      </c>
      <c r="R360" s="25">
        <v>1.3548</v>
      </c>
      <c r="S360" s="25">
        <v>51.72</v>
      </c>
      <c r="T360" s="20">
        <v>44438</v>
      </c>
      <c r="U360" s="43">
        <v>1.8902000000000001</v>
      </c>
      <c r="V360" s="43">
        <v>69.17</v>
      </c>
    </row>
    <row r="361" spans="1:22">
      <c r="A361" s="20">
        <v>44278</v>
      </c>
      <c r="B361" s="25">
        <v>62.27</v>
      </c>
      <c r="C361" s="25">
        <v>2.1273</v>
      </c>
      <c r="D361" s="25">
        <v>52.11</v>
      </c>
      <c r="E361" s="25">
        <v>52.03</v>
      </c>
      <c r="Q361" s="15">
        <v>44201</v>
      </c>
      <c r="R361" s="25">
        <v>1.391</v>
      </c>
      <c r="S361" s="25">
        <v>50.62</v>
      </c>
      <c r="T361" s="20">
        <v>44439</v>
      </c>
      <c r="U361" s="43">
        <v>1.9865999999999999</v>
      </c>
      <c r="V361" s="43">
        <v>68.3</v>
      </c>
    </row>
    <row r="362" spans="1:22">
      <c r="A362" s="20">
        <v>44279</v>
      </c>
      <c r="B362" s="25">
        <v>61.61</v>
      </c>
      <c r="C362" s="25">
        <v>2.1347999999999998</v>
      </c>
      <c r="D362" s="25">
        <v>52.16</v>
      </c>
      <c r="E362" s="25">
        <v>52.3</v>
      </c>
      <c r="Q362" s="15">
        <v>44200</v>
      </c>
      <c r="R362" s="25">
        <v>1.3816999999999999</v>
      </c>
      <c r="S362" s="25">
        <v>50.46</v>
      </c>
      <c r="T362" s="20">
        <v>44440</v>
      </c>
      <c r="U362" s="43">
        <v>2.0575999999999999</v>
      </c>
      <c r="V362" s="43">
        <v>69.41</v>
      </c>
    </row>
    <row r="363" spans="1:22">
      <c r="A363" s="20">
        <v>44280</v>
      </c>
      <c r="B363" s="25">
        <v>61.63</v>
      </c>
      <c r="C363" s="25">
        <v>2.0994000000000002</v>
      </c>
      <c r="D363" s="25">
        <v>52.13</v>
      </c>
      <c r="E363" s="25">
        <v>52.37</v>
      </c>
      <c r="Q363" s="15">
        <v>44196</v>
      </c>
      <c r="R363" s="25">
        <v>1.3514999999999999</v>
      </c>
      <c r="S363" s="25">
        <v>49.84</v>
      </c>
      <c r="T363" s="20">
        <v>44441</v>
      </c>
      <c r="U363" s="43">
        <v>2.145</v>
      </c>
      <c r="V363" s="43">
        <v>69.900000000000006</v>
      </c>
    </row>
    <row r="364" spans="1:22">
      <c r="A364" s="20">
        <v>44281</v>
      </c>
      <c r="B364" s="25">
        <v>62.56</v>
      </c>
      <c r="C364" s="25">
        <v>2.0956999999999999</v>
      </c>
      <c r="D364" s="25">
        <v>52.16</v>
      </c>
      <c r="E364" s="25">
        <v>45.13</v>
      </c>
      <c r="Q364" s="15">
        <v>44195</v>
      </c>
      <c r="R364" s="25">
        <v>1.3268</v>
      </c>
      <c r="S364" s="25">
        <v>47.67</v>
      </c>
      <c r="T364" s="20">
        <v>44442</v>
      </c>
      <c r="U364" s="43">
        <v>2.0922999999999998</v>
      </c>
      <c r="V364" s="43">
        <v>69.91</v>
      </c>
    </row>
    <row r="365" spans="1:22">
      <c r="A365" s="20">
        <v>44284</v>
      </c>
      <c r="B365" s="25">
        <v>62.86</v>
      </c>
      <c r="C365" s="25">
        <v>2.0474999999999999</v>
      </c>
      <c r="D365" s="25">
        <v>52.03</v>
      </c>
      <c r="E365" s="25">
        <v>51.96</v>
      </c>
      <c r="Q365" s="15">
        <v>44194</v>
      </c>
      <c r="R365" s="25">
        <v>1.3190999999999999</v>
      </c>
      <c r="S365" s="25">
        <v>47.07</v>
      </c>
      <c r="T365" s="20">
        <v>44445</v>
      </c>
      <c r="U365" s="43">
        <v>2.1196000000000002</v>
      </c>
      <c r="V365" s="43">
        <v>71.13</v>
      </c>
    </row>
    <row r="366" spans="1:22">
      <c r="A366" s="20">
        <v>44285</v>
      </c>
      <c r="B366" s="25">
        <v>62.26</v>
      </c>
      <c r="C366" s="25">
        <v>1.9407000000000001</v>
      </c>
      <c r="D366" s="25">
        <v>52.3</v>
      </c>
      <c r="E366" s="25">
        <v>52.59</v>
      </c>
      <c r="Q366" s="15">
        <v>44193</v>
      </c>
      <c r="R366" s="25">
        <v>1.3077000000000001</v>
      </c>
      <c r="S366" s="25">
        <v>47.06</v>
      </c>
      <c r="T366" s="20">
        <v>44446</v>
      </c>
      <c r="U366" s="43">
        <v>2.1537999999999999</v>
      </c>
      <c r="V366" s="43">
        <v>71.14</v>
      </c>
    </row>
    <row r="367" spans="1:22">
      <c r="A367" s="20">
        <v>44286</v>
      </c>
      <c r="B367" s="25">
        <v>62.8</v>
      </c>
      <c r="C367" s="25">
        <v>1.9437</v>
      </c>
      <c r="D367" s="25">
        <v>52.37</v>
      </c>
      <c r="E367" s="25">
        <v>52.21</v>
      </c>
      <c r="Q367" s="15">
        <v>44189</v>
      </c>
      <c r="R367" s="25">
        <v>1.3166</v>
      </c>
      <c r="S367" s="25">
        <v>47.03</v>
      </c>
      <c r="T367" s="20">
        <v>44447</v>
      </c>
      <c r="U367" s="43">
        <v>2.1419000000000001</v>
      </c>
      <c r="V367" s="43">
        <v>70.86</v>
      </c>
    </row>
    <row r="368" spans="1:22">
      <c r="A368" s="20">
        <v>44287</v>
      </c>
      <c r="B368" s="25">
        <v>50.51</v>
      </c>
      <c r="C368" s="25">
        <v>1.9583999999999999</v>
      </c>
      <c r="D368" s="25">
        <v>45.13</v>
      </c>
      <c r="E368" s="25">
        <v>52.39</v>
      </c>
      <c r="Q368" s="15">
        <v>44188</v>
      </c>
      <c r="R368" s="25">
        <v>1.2759</v>
      </c>
      <c r="S368" s="25">
        <v>46.97</v>
      </c>
      <c r="T368" s="20">
        <v>44448</v>
      </c>
      <c r="U368" s="43">
        <v>2.1109</v>
      </c>
      <c r="V368" s="43">
        <v>70.14</v>
      </c>
    </row>
    <row r="369" spans="1:22">
      <c r="A369" s="20">
        <v>44291</v>
      </c>
      <c r="B369" s="25">
        <v>60.79</v>
      </c>
      <c r="C369" s="25">
        <v>1.8958999999999999</v>
      </c>
      <c r="D369" s="25">
        <v>51.96</v>
      </c>
      <c r="E369" s="25">
        <v>51.73</v>
      </c>
      <c r="Q369" s="15">
        <v>44187</v>
      </c>
      <c r="R369" s="25">
        <v>1.2559</v>
      </c>
      <c r="S369" s="25">
        <v>47.09</v>
      </c>
      <c r="T369" s="20">
        <v>44449</v>
      </c>
      <c r="U369" s="43">
        <v>2.1635</v>
      </c>
      <c r="V369" s="43">
        <v>70.27</v>
      </c>
    </row>
    <row r="370" spans="1:22">
      <c r="A370" s="20">
        <v>44292</v>
      </c>
      <c r="B370" s="25">
        <v>61.31</v>
      </c>
      <c r="C370" s="25">
        <v>1.9875</v>
      </c>
      <c r="D370" s="25">
        <v>52.59</v>
      </c>
      <c r="E370" s="25">
        <v>51.72</v>
      </c>
      <c r="Q370" s="15">
        <v>44186</v>
      </c>
      <c r="R370" s="25">
        <v>1.2558</v>
      </c>
      <c r="S370" s="25">
        <v>47.06</v>
      </c>
      <c r="T370" s="20">
        <v>44452</v>
      </c>
      <c r="U370" s="43">
        <v>2.1539999999999999</v>
      </c>
      <c r="V370" s="43">
        <v>70.849999999999994</v>
      </c>
    </row>
    <row r="371" spans="1:22">
      <c r="A371" s="20">
        <v>44293</v>
      </c>
      <c r="B371" s="25">
        <v>60.67</v>
      </c>
      <c r="C371" s="25">
        <v>1.9196</v>
      </c>
      <c r="D371" s="25">
        <v>52.21</v>
      </c>
      <c r="E371" s="25">
        <v>50.62</v>
      </c>
      <c r="Q371" s="15">
        <v>44183</v>
      </c>
      <c r="R371" s="25">
        <v>1.2685</v>
      </c>
      <c r="S371" s="25">
        <v>46.76</v>
      </c>
      <c r="T371" s="20">
        <v>44453</v>
      </c>
      <c r="U371" s="43">
        <v>2.13</v>
      </c>
      <c r="V371" s="43">
        <v>71.16</v>
      </c>
    </row>
    <row r="372" spans="1:22">
      <c r="A372" s="20">
        <v>44294</v>
      </c>
      <c r="B372" s="25">
        <v>61.2</v>
      </c>
      <c r="C372" s="25">
        <v>1.9709000000000001</v>
      </c>
      <c r="D372" s="25">
        <v>52.39</v>
      </c>
      <c r="E372" s="25">
        <v>50.46</v>
      </c>
      <c r="Q372" s="15">
        <v>44182</v>
      </c>
      <c r="R372" s="25">
        <v>1.2617</v>
      </c>
      <c r="S372" s="25">
        <v>47.06</v>
      </c>
      <c r="T372" s="20">
        <v>44454</v>
      </c>
      <c r="U372" s="43">
        <v>2.1320999999999999</v>
      </c>
      <c r="V372" s="43">
        <v>69.3</v>
      </c>
    </row>
    <row r="373" spans="1:22">
      <c r="A373" s="20">
        <v>44295</v>
      </c>
      <c r="B373" s="25">
        <v>61.12</v>
      </c>
      <c r="C373" s="25">
        <v>2.0009000000000001</v>
      </c>
      <c r="D373" s="25">
        <v>51.73</v>
      </c>
      <c r="E373" s="25">
        <v>49.84</v>
      </c>
      <c r="Q373" s="15">
        <v>44181</v>
      </c>
      <c r="R373" s="25">
        <v>1.2399</v>
      </c>
      <c r="S373" s="25">
        <v>47.53</v>
      </c>
      <c r="T373" s="20">
        <v>44455</v>
      </c>
      <c r="U373" s="43">
        <v>2.0996999999999999</v>
      </c>
      <c r="V373" s="43">
        <v>71.599999999999994</v>
      </c>
    </row>
    <row r="374" spans="1:22">
      <c r="A374" s="20">
        <v>44298</v>
      </c>
      <c r="B374" s="25">
        <v>61.44</v>
      </c>
      <c r="C374" s="25">
        <v>1.9964</v>
      </c>
      <c r="D374" s="25">
        <v>51.72</v>
      </c>
      <c r="E374" s="25">
        <v>47.67</v>
      </c>
      <c r="Q374" s="15">
        <v>44180</v>
      </c>
      <c r="R374" s="25">
        <v>1.2203999999999999</v>
      </c>
      <c r="S374" s="25">
        <v>47.24</v>
      </c>
      <c r="T374" s="20">
        <v>44456</v>
      </c>
      <c r="U374" s="43">
        <v>2.1539999999999999</v>
      </c>
      <c r="V374" s="43">
        <v>71.58</v>
      </c>
    </row>
    <row r="375" spans="1:22">
      <c r="A375" s="20">
        <v>44299</v>
      </c>
      <c r="B375" s="25">
        <v>61.85</v>
      </c>
      <c r="C375" s="25">
        <v>1.9597</v>
      </c>
      <c r="D375" s="25">
        <v>50.62</v>
      </c>
      <c r="E375" s="25">
        <v>47.07</v>
      </c>
      <c r="Q375" s="15">
        <v>44179</v>
      </c>
      <c r="R375" s="25">
        <v>1.2416</v>
      </c>
      <c r="S375" s="25">
        <v>46.99</v>
      </c>
      <c r="T375" s="20">
        <v>44459</v>
      </c>
      <c r="U375" s="43">
        <v>2.1608999999999998</v>
      </c>
      <c r="V375" s="43">
        <v>71.540000000000006</v>
      </c>
    </row>
    <row r="376" spans="1:22">
      <c r="A376" s="20">
        <v>44300</v>
      </c>
      <c r="B376" s="25">
        <v>61.46</v>
      </c>
      <c r="C376" s="25">
        <v>2.0223</v>
      </c>
      <c r="D376" s="25">
        <v>50.46</v>
      </c>
      <c r="E376" s="25">
        <v>47.06</v>
      </c>
      <c r="Q376" s="15">
        <v>44176</v>
      </c>
      <c r="R376" s="25">
        <v>1.266</v>
      </c>
      <c r="S376" s="25">
        <v>46.89</v>
      </c>
      <c r="T376" s="20">
        <v>44460</v>
      </c>
      <c r="U376" s="43">
        <v>2.1118999999999999</v>
      </c>
      <c r="V376" s="43">
        <v>71.13</v>
      </c>
    </row>
    <row r="377" spans="1:22">
      <c r="A377" s="20">
        <v>44301</v>
      </c>
      <c r="B377" s="25">
        <v>58.79</v>
      </c>
      <c r="C377" s="25">
        <v>1.9611000000000001</v>
      </c>
      <c r="D377" s="25">
        <v>49.84</v>
      </c>
      <c r="E377" s="25">
        <v>47.03</v>
      </c>
      <c r="Q377" s="15">
        <v>44175</v>
      </c>
      <c r="R377" s="25">
        <v>1.2709999999999999</v>
      </c>
      <c r="S377" s="25">
        <v>46.54</v>
      </c>
      <c r="T377" s="20">
        <v>44461</v>
      </c>
      <c r="U377" s="43">
        <v>2.1438000000000001</v>
      </c>
      <c r="V377" s="43">
        <v>75.78</v>
      </c>
    </row>
    <row r="378" spans="1:22">
      <c r="A378" s="20">
        <v>44302</v>
      </c>
      <c r="B378" s="25">
        <v>59.41</v>
      </c>
      <c r="C378" s="25">
        <v>1.9662999999999999</v>
      </c>
      <c r="D378" s="25">
        <v>47.67</v>
      </c>
      <c r="E378" s="25">
        <v>46.97</v>
      </c>
      <c r="Q378" s="15">
        <v>44174</v>
      </c>
      <c r="R378" s="25">
        <v>1.2509999999999999</v>
      </c>
      <c r="S378" s="25">
        <v>46.3</v>
      </c>
      <c r="T378" s="20">
        <v>44462</v>
      </c>
      <c r="U378" s="43">
        <v>2.1269</v>
      </c>
      <c r="V378" s="43">
        <v>77.44</v>
      </c>
    </row>
    <row r="379" spans="1:22">
      <c r="A379" s="20">
        <v>44305</v>
      </c>
      <c r="B379" s="25">
        <v>59.79</v>
      </c>
      <c r="C379" s="25">
        <v>1.9518</v>
      </c>
      <c r="D379" s="25">
        <v>47.07</v>
      </c>
      <c r="E379" s="25">
        <v>47.09</v>
      </c>
      <c r="Q379" s="15">
        <v>44173</v>
      </c>
      <c r="R379" s="25">
        <v>1.1971000000000001</v>
      </c>
      <c r="S379" s="25">
        <v>46.44</v>
      </c>
      <c r="T379" s="20">
        <v>44463</v>
      </c>
      <c r="U379" s="43">
        <v>2.1156999999999999</v>
      </c>
      <c r="V379" s="43">
        <v>78.599999999999994</v>
      </c>
    </row>
    <row r="380" spans="1:22">
      <c r="A380" s="20">
        <v>44306</v>
      </c>
      <c r="B380" s="25">
        <v>59.65</v>
      </c>
      <c r="C380" s="25">
        <v>1.9593</v>
      </c>
      <c r="D380" s="25">
        <v>47.06</v>
      </c>
      <c r="E380" s="25">
        <v>47.06</v>
      </c>
      <c r="Q380" s="15">
        <v>44172</v>
      </c>
      <c r="R380" s="25">
        <v>1.1702999999999999</v>
      </c>
      <c r="S380" s="25">
        <v>45.58</v>
      </c>
      <c r="T380" s="20">
        <v>44466</v>
      </c>
      <c r="U380" s="43">
        <v>2.0602999999999998</v>
      </c>
      <c r="V380" s="43">
        <v>77.31</v>
      </c>
    </row>
    <row r="381" spans="1:22">
      <c r="A381" s="20">
        <v>44307</v>
      </c>
      <c r="B381" s="25">
        <v>59.44</v>
      </c>
      <c r="C381" s="25">
        <v>1.9621</v>
      </c>
      <c r="D381" s="25">
        <v>47.03</v>
      </c>
      <c r="E381" s="25">
        <v>46.76</v>
      </c>
      <c r="Q381" s="15">
        <v>44169</v>
      </c>
      <c r="R381" s="25">
        <v>1.1596</v>
      </c>
      <c r="S381" s="25">
        <v>45.64</v>
      </c>
      <c r="T381" s="20">
        <v>44467</v>
      </c>
      <c r="U381" s="43">
        <v>2.0598000000000001</v>
      </c>
      <c r="V381" s="43">
        <v>78.03</v>
      </c>
    </row>
    <row r="382" spans="1:22">
      <c r="A382" s="20">
        <v>44308</v>
      </c>
      <c r="B382" s="25">
        <v>59.72</v>
      </c>
      <c r="C382" s="25">
        <v>1.97</v>
      </c>
      <c r="D382" s="25">
        <v>46.97</v>
      </c>
      <c r="E382" s="25">
        <v>47.06</v>
      </c>
      <c r="Q382" s="15">
        <v>44168</v>
      </c>
      <c r="R382" s="25">
        <v>1.1626000000000001</v>
      </c>
      <c r="S382" s="25">
        <v>45.76</v>
      </c>
      <c r="T382" s="20">
        <v>44468</v>
      </c>
      <c r="U382" s="43">
        <v>2.0836999999999999</v>
      </c>
      <c r="V382" s="43">
        <v>78.739999999999995</v>
      </c>
    </row>
    <row r="383" spans="1:22">
      <c r="A383" s="20">
        <v>44309</v>
      </c>
      <c r="B383" s="25">
        <v>60.04</v>
      </c>
      <c r="C383" s="25">
        <v>1.9757</v>
      </c>
      <c r="D383" s="25">
        <v>47.09</v>
      </c>
      <c r="E383" s="25">
        <v>47.53</v>
      </c>
      <c r="Q383" s="15">
        <v>44167</v>
      </c>
      <c r="R383" s="25">
        <v>1.1528</v>
      </c>
      <c r="S383" s="25">
        <v>46.16</v>
      </c>
      <c r="T383" s="20">
        <v>44469</v>
      </c>
      <c r="U383" s="43">
        <v>2.1261000000000001</v>
      </c>
      <c r="V383" s="43">
        <v>79.58</v>
      </c>
    </row>
    <row r="384" spans="1:22">
      <c r="A384" s="20">
        <v>44312</v>
      </c>
      <c r="B384" s="25">
        <v>61.88</v>
      </c>
      <c r="C384" s="25">
        <v>2.0409000000000002</v>
      </c>
      <c r="D384" s="25">
        <v>47.06</v>
      </c>
      <c r="E384" s="25">
        <v>47.24</v>
      </c>
      <c r="Q384" s="15">
        <v>44166</v>
      </c>
      <c r="R384" s="25">
        <v>1.147</v>
      </c>
      <c r="S384" s="25">
        <v>45.62</v>
      </c>
      <c r="T384" s="20">
        <v>44470</v>
      </c>
      <c r="U384" s="43">
        <v>2.1377000000000002</v>
      </c>
      <c r="V384" s="43">
        <v>79.62</v>
      </c>
    </row>
    <row r="385" spans="1:22">
      <c r="A385" s="20">
        <v>44313</v>
      </c>
      <c r="B385" s="25">
        <v>62.05</v>
      </c>
      <c r="C385" s="25">
        <v>2.0526</v>
      </c>
      <c r="D385" s="25">
        <v>46.76</v>
      </c>
      <c r="E385" s="25">
        <v>46.99</v>
      </c>
      <c r="Q385" s="15">
        <v>44165</v>
      </c>
      <c r="R385" s="25">
        <v>1.125</v>
      </c>
      <c r="S385" s="25">
        <v>45.3</v>
      </c>
      <c r="T385" s="20">
        <v>44473</v>
      </c>
      <c r="U385" s="43">
        <v>2.17</v>
      </c>
      <c r="V385" s="43">
        <v>79.53</v>
      </c>
    </row>
    <row r="386" spans="1:22">
      <c r="A386" s="20">
        <v>44314</v>
      </c>
      <c r="B386" s="25">
        <v>61.88</v>
      </c>
      <c r="C386" s="25">
        <v>2.0426000000000002</v>
      </c>
      <c r="D386" s="25">
        <v>47.06</v>
      </c>
      <c r="E386" s="25">
        <v>46.89</v>
      </c>
      <c r="Q386" s="15">
        <v>44162</v>
      </c>
      <c r="R386" s="25">
        <v>1.1557999999999999</v>
      </c>
      <c r="S386" s="25">
        <v>44.61</v>
      </c>
      <c r="T386" s="20">
        <v>44474</v>
      </c>
      <c r="U386" s="43">
        <v>2.1475</v>
      </c>
      <c r="V386" s="43">
        <v>80.05</v>
      </c>
    </row>
    <row r="387" spans="1:22">
      <c r="A387" s="20">
        <v>44315</v>
      </c>
      <c r="B387" s="25">
        <v>62</v>
      </c>
      <c r="C387" s="25">
        <v>2.0463</v>
      </c>
      <c r="D387" s="25">
        <v>47.53</v>
      </c>
      <c r="E387" s="25">
        <v>46.54</v>
      </c>
      <c r="Q387" s="15">
        <v>44161</v>
      </c>
      <c r="R387" s="25">
        <v>1.1758999999999999</v>
      </c>
      <c r="S387" s="25">
        <v>41.35</v>
      </c>
      <c r="T387" s="20">
        <v>44475</v>
      </c>
      <c r="U387" s="43">
        <v>2.1749999999999998</v>
      </c>
      <c r="V387" s="43">
        <v>80.55</v>
      </c>
    </row>
    <row r="388" spans="1:22">
      <c r="A388" s="20">
        <v>44316</v>
      </c>
      <c r="B388" s="25">
        <v>61.66</v>
      </c>
      <c r="C388" s="25">
        <v>2.0209000000000001</v>
      </c>
      <c r="D388" s="25">
        <v>47.24</v>
      </c>
      <c r="E388" s="25">
        <v>46.3</v>
      </c>
      <c r="Q388" s="15">
        <v>44160</v>
      </c>
      <c r="R388" s="25">
        <v>1.1940999999999999</v>
      </c>
      <c r="S388" s="25">
        <v>41.36</v>
      </c>
      <c r="T388" s="20">
        <v>44476</v>
      </c>
      <c r="U388" s="43">
        <v>2.194</v>
      </c>
      <c r="V388" s="43">
        <v>80.56</v>
      </c>
    </row>
    <row r="389" spans="1:22">
      <c r="A389" s="20">
        <v>44319</v>
      </c>
      <c r="B389" s="25">
        <v>54.78</v>
      </c>
      <c r="C389" s="25">
        <v>1.9881</v>
      </c>
      <c r="D389" s="25">
        <v>46.99</v>
      </c>
      <c r="E389" s="25">
        <v>46.44</v>
      </c>
      <c r="Q389" s="15">
        <v>44159</v>
      </c>
      <c r="R389" s="25">
        <v>1.1607000000000001</v>
      </c>
      <c r="S389" s="25">
        <v>41.37</v>
      </c>
      <c r="T389" s="20">
        <v>44477</v>
      </c>
      <c r="U389" s="43">
        <v>2.25</v>
      </c>
      <c r="V389" s="43">
        <v>80.86</v>
      </c>
    </row>
    <row r="390" spans="1:22">
      <c r="A390" s="20">
        <v>44320</v>
      </c>
      <c r="B390" s="25">
        <v>61.19</v>
      </c>
      <c r="C390" s="25">
        <v>1.9811000000000001</v>
      </c>
      <c r="D390" s="25">
        <v>46.89</v>
      </c>
      <c r="E390" s="25">
        <v>45.58</v>
      </c>
      <c r="Q390" s="15">
        <v>44158</v>
      </c>
      <c r="R390" s="25">
        <v>1.0844</v>
      </c>
      <c r="S390" s="25">
        <v>41.25</v>
      </c>
      <c r="T390" s="20">
        <v>44480</v>
      </c>
      <c r="U390" s="43">
        <v>2.3085</v>
      </c>
      <c r="V390" s="43">
        <v>81.23</v>
      </c>
    </row>
    <row r="391" spans="1:22">
      <c r="A391" s="20">
        <v>44321</v>
      </c>
      <c r="B391" s="25">
        <v>61.39</v>
      </c>
      <c r="C391" s="25">
        <v>2.0051000000000001</v>
      </c>
      <c r="D391" s="25">
        <v>46.54</v>
      </c>
      <c r="E391" s="25">
        <v>45.64</v>
      </c>
      <c r="Q391" s="15">
        <v>44155</v>
      </c>
      <c r="R391" s="25">
        <v>1.1158999999999999</v>
      </c>
      <c r="S391" s="25">
        <v>40.880000000000003</v>
      </c>
      <c r="T391" s="20">
        <v>44481</v>
      </c>
      <c r="U391" s="43">
        <v>2.3578999999999999</v>
      </c>
      <c r="V391" s="43">
        <v>80.930000000000007</v>
      </c>
    </row>
    <row r="392" spans="1:22">
      <c r="A392" s="20">
        <v>44322</v>
      </c>
      <c r="B392" s="25">
        <v>61.33</v>
      </c>
      <c r="C392" s="25">
        <v>1.9902</v>
      </c>
      <c r="D392" s="25">
        <v>46.3</v>
      </c>
      <c r="E392" s="25">
        <v>45.76</v>
      </c>
      <c r="Q392" s="15">
        <v>44154</v>
      </c>
      <c r="R392" s="25">
        <v>1.1081000000000001</v>
      </c>
      <c r="S392" s="25">
        <v>40.72</v>
      </c>
      <c r="T392" s="20">
        <v>44482</v>
      </c>
      <c r="U392" s="43">
        <v>2.3081999999999998</v>
      </c>
      <c r="V392" s="43">
        <v>81.290000000000006</v>
      </c>
    </row>
    <row r="393" spans="1:22">
      <c r="A393" s="20">
        <v>44323</v>
      </c>
      <c r="B393" s="25">
        <v>61.53</v>
      </c>
      <c r="C393" s="25">
        <v>2.0287999999999999</v>
      </c>
      <c r="D393" s="25">
        <v>46.44</v>
      </c>
      <c r="E393" s="25">
        <v>46.16</v>
      </c>
      <c r="Q393" s="15">
        <v>44153</v>
      </c>
      <c r="R393" s="25">
        <v>1.0769</v>
      </c>
      <c r="S393" s="25">
        <v>40.57</v>
      </c>
      <c r="T393" s="20">
        <v>44483</v>
      </c>
      <c r="U393" s="43">
        <v>2.3344</v>
      </c>
      <c r="V393" s="43">
        <v>65.25</v>
      </c>
    </row>
    <row r="394" spans="1:22">
      <c r="A394" s="20">
        <v>44326</v>
      </c>
      <c r="B394" s="25">
        <v>61.66</v>
      </c>
      <c r="C394" s="25">
        <v>2.0743</v>
      </c>
      <c r="D394" s="25">
        <v>45.58</v>
      </c>
      <c r="E394" s="25">
        <v>45.62</v>
      </c>
      <c r="Q394" s="15">
        <v>44152</v>
      </c>
      <c r="R394" s="25">
        <v>1.052</v>
      </c>
      <c r="S394" s="25">
        <v>40.61</v>
      </c>
      <c r="T394" s="20">
        <v>44484</v>
      </c>
      <c r="U394" s="43">
        <v>2.3662000000000001</v>
      </c>
      <c r="V394" s="43">
        <v>81.459999999999994</v>
      </c>
    </row>
    <row r="395" spans="1:22">
      <c r="A395" s="20">
        <v>44327</v>
      </c>
      <c r="B395" s="25">
        <v>61.77</v>
      </c>
      <c r="C395" s="25">
        <v>2.0988000000000002</v>
      </c>
      <c r="D395" s="25">
        <v>45.64</v>
      </c>
      <c r="E395" s="25">
        <v>45.3</v>
      </c>
      <c r="Q395" s="15">
        <v>44151</v>
      </c>
      <c r="R395" s="25">
        <v>1.0322</v>
      </c>
      <c r="S395" s="25">
        <v>40.46</v>
      </c>
      <c r="T395" s="20">
        <v>44487</v>
      </c>
      <c r="U395" s="43">
        <v>2.3778999999999999</v>
      </c>
      <c r="V395" s="43">
        <v>81.17</v>
      </c>
    </row>
    <row r="396" spans="1:22">
      <c r="A396" s="20">
        <v>44328</v>
      </c>
      <c r="B396" s="25">
        <v>61.7</v>
      </c>
      <c r="C396" s="25">
        <v>2.0762999999999998</v>
      </c>
      <c r="D396" s="25">
        <v>45.76</v>
      </c>
      <c r="E396" s="25">
        <v>44.61</v>
      </c>
      <c r="Q396" s="15">
        <v>44148</v>
      </c>
      <c r="R396" s="25">
        <v>1.028</v>
      </c>
      <c r="S396" s="25">
        <v>40.42</v>
      </c>
      <c r="T396" s="20">
        <v>44488</v>
      </c>
      <c r="U396" s="43">
        <v>2.3828999999999998</v>
      </c>
      <c r="V396" s="43">
        <v>81.19</v>
      </c>
    </row>
    <row r="397" spans="1:22">
      <c r="A397" s="20">
        <v>44329</v>
      </c>
      <c r="B397" s="25">
        <v>64.47</v>
      </c>
      <c r="C397" s="25">
        <v>2.1015000000000001</v>
      </c>
      <c r="D397" s="25">
        <v>46.16</v>
      </c>
      <c r="E397" s="25">
        <v>41.35</v>
      </c>
      <c r="Q397" s="15">
        <v>44147</v>
      </c>
      <c r="R397" s="25">
        <v>1.0636000000000001</v>
      </c>
      <c r="S397" s="25">
        <v>39.83</v>
      </c>
      <c r="T397" s="20">
        <v>44489</v>
      </c>
      <c r="U397" s="43">
        <v>2.4055</v>
      </c>
      <c r="V397" s="43">
        <v>80.16</v>
      </c>
    </row>
    <row r="398" spans="1:22">
      <c r="A398" s="20">
        <v>44330</v>
      </c>
      <c r="B398" s="25">
        <v>65.61</v>
      </c>
      <c r="C398" s="25">
        <v>2.1511999999999998</v>
      </c>
      <c r="D398" s="25">
        <v>45.62</v>
      </c>
      <c r="E398" s="25">
        <v>41.36</v>
      </c>
      <c r="Q398" s="15">
        <v>44146</v>
      </c>
      <c r="R398" s="25">
        <v>1.1288</v>
      </c>
      <c r="S398" s="25">
        <v>40.380000000000003</v>
      </c>
      <c r="T398" s="20">
        <v>44490</v>
      </c>
      <c r="U398" s="43">
        <v>2.3824000000000001</v>
      </c>
      <c r="V398" s="43">
        <v>82.39</v>
      </c>
    </row>
    <row r="399" spans="1:22">
      <c r="A399" s="20">
        <v>44333</v>
      </c>
      <c r="B399" s="25">
        <v>65.56</v>
      </c>
      <c r="C399" s="25">
        <v>2.1513</v>
      </c>
      <c r="D399" s="25">
        <v>45.3</v>
      </c>
      <c r="E399" s="25">
        <v>41.37</v>
      </c>
      <c r="Q399" s="15">
        <v>44145</v>
      </c>
      <c r="R399" s="25">
        <v>1.0969</v>
      </c>
      <c r="S399" s="25">
        <v>40.58</v>
      </c>
      <c r="T399" s="20">
        <v>44491</v>
      </c>
      <c r="U399" s="43">
        <v>2.4251</v>
      </c>
      <c r="V399" s="43">
        <v>82.7</v>
      </c>
    </row>
    <row r="400" spans="1:22">
      <c r="A400" s="20">
        <v>44334</v>
      </c>
      <c r="B400" s="25">
        <v>64.78</v>
      </c>
      <c r="C400" s="25">
        <v>2.1137000000000001</v>
      </c>
      <c r="D400" s="25">
        <v>44.61</v>
      </c>
      <c r="E400" s="25">
        <v>41.25</v>
      </c>
      <c r="Q400" s="15">
        <v>44144</v>
      </c>
      <c r="R400" s="25">
        <v>1.127</v>
      </c>
      <c r="S400" s="25">
        <v>40.520000000000003</v>
      </c>
      <c r="T400" s="20">
        <v>44494</v>
      </c>
      <c r="U400" s="43">
        <v>2.4222999999999999</v>
      </c>
      <c r="V400" s="43">
        <v>80.790000000000006</v>
      </c>
    </row>
    <row r="401" spans="1:22">
      <c r="A401" s="20">
        <v>44335</v>
      </c>
      <c r="B401" s="25">
        <v>64.94</v>
      </c>
      <c r="C401" s="25">
        <v>2.1269</v>
      </c>
      <c r="D401" s="25">
        <v>41.35</v>
      </c>
      <c r="E401" s="25">
        <v>40.880000000000003</v>
      </c>
      <c r="Q401" s="15">
        <v>44141</v>
      </c>
      <c r="R401" s="25">
        <v>1.1452</v>
      </c>
      <c r="S401" s="25">
        <v>39.78</v>
      </c>
      <c r="T401" s="20">
        <v>44495</v>
      </c>
      <c r="U401" s="43">
        <v>2.4176000000000002</v>
      </c>
      <c r="V401" s="43">
        <v>79.08</v>
      </c>
    </row>
    <row r="402" spans="1:22">
      <c r="A402" s="20">
        <v>44336</v>
      </c>
      <c r="B402" s="25">
        <v>64.959999999999994</v>
      </c>
      <c r="C402" s="25">
        <v>2.1334</v>
      </c>
      <c r="D402" s="25">
        <v>41.36</v>
      </c>
      <c r="E402" s="25">
        <v>40.72</v>
      </c>
      <c r="Q402" s="15">
        <v>44140</v>
      </c>
      <c r="R402" s="25">
        <v>1.1271</v>
      </c>
      <c r="S402" s="25">
        <v>37.42</v>
      </c>
      <c r="T402" s="20">
        <v>44496</v>
      </c>
      <c r="U402" s="43">
        <v>2.4468999999999999</v>
      </c>
      <c r="V402" s="43">
        <v>81.069999999999993</v>
      </c>
    </row>
    <row r="403" spans="1:22">
      <c r="A403" s="20">
        <v>44337</v>
      </c>
      <c r="B403" s="25">
        <v>64.180000000000007</v>
      </c>
      <c r="C403" s="25">
        <v>2.1398999999999999</v>
      </c>
      <c r="D403" s="25">
        <v>41.37</v>
      </c>
      <c r="E403" s="25">
        <v>40.57</v>
      </c>
      <c r="Q403" s="15">
        <v>44139</v>
      </c>
      <c r="R403" s="25">
        <v>1.1725000000000001</v>
      </c>
      <c r="S403" s="25">
        <v>38.729999999999997</v>
      </c>
      <c r="T403" s="20">
        <v>44497</v>
      </c>
      <c r="U403" s="43">
        <v>2.419</v>
      </c>
      <c r="V403" s="43">
        <v>80.900000000000006</v>
      </c>
    </row>
    <row r="404" spans="1:22">
      <c r="A404" s="20">
        <v>44340</v>
      </c>
      <c r="B404" s="25">
        <v>65.739999999999995</v>
      </c>
      <c r="C404" s="25">
        <v>2.161</v>
      </c>
      <c r="D404" s="25">
        <v>41.25</v>
      </c>
      <c r="E404" s="25">
        <v>40.61</v>
      </c>
      <c r="Q404" s="15">
        <v>44138</v>
      </c>
      <c r="R404" s="25">
        <v>1.1485000000000001</v>
      </c>
      <c r="S404" s="25">
        <v>39.04</v>
      </c>
      <c r="T404" s="20">
        <v>44498</v>
      </c>
      <c r="U404" s="43">
        <v>2.4156</v>
      </c>
      <c r="V404" s="43">
        <v>82.01</v>
      </c>
    </row>
    <row r="405" spans="1:22">
      <c r="A405" s="20">
        <v>44341</v>
      </c>
      <c r="B405" s="25">
        <v>64.38</v>
      </c>
      <c r="C405" s="25">
        <v>2.093</v>
      </c>
      <c r="D405" s="25">
        <v>40.880000000000003</v>
      </c>
      <c r="E405" s="25">
        <v>40.46</v>
      </c>
      <c r="Q405" s="15">
        <v>44137</v>
      </c>
      <c r="R405" s="25">
        <v>1.1535</v>
      </c>
      <c r="S405" s="25">
        <v>37.700000000000003</v>
      </c>
      <c r="T405" s="20">
        <v>44501</v>
      </c>
      <c r="U405" s="43">
        <v>2.4426999999999999</v>
      </c>
      <c r="V405" s="43">
        <v>81.099999999999994</v>
      </c>
    </row>
    <row r="406" spans="1:22">
      <c r="A406" s="20">
        <v>44342</v>
      </c>
      <c r="B406" s="25">
        <v>65.23</v>
      </c>
      <c r="C406" s="25">
        <v>2.1223999999999998</v>
      </c>
      <c r="D406" s="25">
        <v>40.72</v>
      </c>
      <c r="E406" s="25">
        <v>40.42</v>
      </c>
      <c r="Q406" s="15">
        <v>44134</v>
      </c>
      <c r="R406" s="25">
        <v>1.1637</v>
      </c>
      <c r="S406" s="25">
        <v>36.9</v>
      </c>
      <c r="T406" s="20">
        <v>44502</v>
      </c>
      <c r="U406" s="43">
        <v>2.4472</v>
      </c>
      <c r="V406" s="43">
        <v>79.37</v>
      </c>
    </row>
    <row r="407" spans="1:22">
      <c r="A407" s="20">
        <v>44343</v>
      </c>
      <c r="B407" s="25">
        <v>65.680000000000007</v>
      </c>
      <c r="C407" s="25">
        <v>2.1536</v>
      </c>
      <c r="D407" s="25">
        <v>40.57</v>
      </c>
      <c r="E407" s="25">
        <v>39.83</v>
      </c>
      <c r="Q407" s="15">
        <v>44133</v>
      </c>
      <c r="R407" s="25">
        <v>1.1795</v>
      </c>
      <c r="S407" s="25">
        <v>37.46</v>
      </c>
      <c r="T407" s="20">
        <v>44503</v>
      </c>
      <c r="U407" s="43">
        <v>2.3792</v>
      </c>
      <c r="V407" s="43">
        <v>80.319999999999993</v>
      </c>
    </row>
    <row r="408" spans="1:22">
      <c r="A408" s="20">
        <v>44344</v>
      </c>
      <c r="B408" s="25">
        <v>65.33</v>
      </c>
      <c r="C408" s="25">
        <v>2.1554000000000002</v>
      </c>
      <c r="D408" s="25">
        <v>40.61</v>
      </c>
      <c r="E408" s="25">
        <v>40.380000000000003</v>
      </c>
      <c r="Q408" s="15">
        <v>44132</v>
      </c>
      <c r="R408" s="25">
        <v>1.1633</v>
      </c>
      <c r="S408" s="25">
        <v>37.65</v>
      </c>
      <c r="T408" s="20">
        <v>44504</v>
      </c>
      <c r="U408" s="43">
        <v>2.3589000000000002</v>
      </c>
      <c r="V408" s="43">
        <v>78.900000000000006</v>
      </c>
    </row>
    <row r="409" spans="1:22">
      <c r="A409" s="20">
        <v>44347</v>
      </c>
      <c r="B409" s="25">
        <v>64.47</v>
      </c>
      <c r="C409" s="25">
        <v>2.0979000000000001</v>
      </c>
      <c r="D409" s="25">
        <v>40.46</v>
      </c>
      <c r="E409" s="25">
        <v>40.58</v>
      </c>
      <c r="Q409" s="15">
        <v>44131</v>
      </c>
      <c r="R409" s="25">
        <v>1.1757</v>
      </c>
      <c r="S409" s="25">
        <v>39.119999999999997</v>
      </c>
      <c r="T409" s="20">
        <v>44505</v>
      </c>
      <c r="U409" s="43">
        <v>2.3696999999999999</v>
      </c>
      <c r="V409" s="43">
        <v>79.400000000000006</v>
      </c>
    </row>
    <row r="410" spans="1:22">
      <c r="A410" s="20">
        <v>44348</v>
      </c>
      <c r="B410" s="25">
        <v>58.46</v>
      </c>
      <c r="C410" s="25">
        <v>2.0461999999999998</v>
      </c>
      <c r="D410" s="25">
        <v>40.42</v>
      </c>
      <c r="E410" s="25">
        <v>40.520000000000003</v>
      </c>
      <c r="Q410" s="15">
        <v>44130</v>
      </c>
      <c r="R410" s="25">
        <v>1.2032</v>
      </c>
      <c r="S410" s="25">
        <v>39.979999999999997</v>
      </c>
      <c r="T410" s="20">
        <v>44508</v>
      </c>
      <c r="U410" s="43">
        <v>2.4093</v>
      </c>
      <c r="V410" s="43">
        <v>80.03</v>
      </c>
    </row>
    <row r="411" spans="1:22">
      <c r="A411" s="20">
        <v>44349</v>
      </c>
      <c r="B411" s="25">
        <v>64.48</v>
      </c>
      <c r="C411" s="25">
        <v>2.0709</v>
      </c>
      <c r="D411" s="25">
        <v>39.83</v>
      </c>
      <c r="E411" s="25">
        <v>39.78</v>
      </c>
      <c r="Q411" s="15">
        <v>44127</v>
      </c>
      <c r="R411" s="25">
        <v>1.2316</v>
      </c>
      <c r="S411" s="25">
        <v>39.799999999999997</v>
      </c>
      <c r="T411" s="20">
        <v>44509</v>
      </c>
      <c r="U411" s="43">
        <v>2.4500999999999999</v>
      </c>
      <c r="V411" s="43">
        <v>80.34</v>
      </c>
    </row>
    <row r="412" spans="1:22">
      <c r="A412" s="20">
        <v>44350</v>
      </c>
      <c r="B412" s="25">
        <v>65.09</v>
      </c>
      <c r="C412" s="25">
        <v>2.1217000000000001</v>
      </c>
      <c r="D412" s="25">
        <v>40.380000000000003</v>
      </c>
      <c r="E412" s="25">
        <v>37.42</v>
      </c>
      <c r="Q412" s="15">
        <v>44126</v>
      </c>
      <c r="R412" s="25">
        <v>1.2009000000000001</v>
      </c>
      <c r="S412" s="25">
        <v>39.97</v>
      </c>
      <c r="T412" s="20">
        <v>44510</v>
      </c>
      <c r="U412" s="43">
        <v>2.3384999999999998</v>
      </c>
      <c r="V412" s="43">
        <v>76.09</v>
      </c>
    </row>
    <row r="413" spans="1:22">
      <c r="A413" s="20">
        <v>44351</v>
      </c>
      <c r="B413" s="25">
        <v>65.099999999999994</v>
      </c>
      <c r="C413" s="25">
        <v>2.1229</v>
      </c>
      <c r="D413" s="25">
        <v>40.58</v>
      </c>
      <c r="E413" s="25">
        <v>38.729999999999997</v>
      </c>
      <c r="Q413" s="15">
        <v>44125</v>
      </c>
      <c r="R413" s="25">
        <v>1.2351000000000001</v>
      </c>
      <c r="S413" s="25">
        <v>39.22</v>
      </c>
      <c r="T413" s="20">
        <v>44511</v>
      </c>
      <c r="U413" s="43">
        <v>2.2926000000000002</v>
      </c>
      <c r="V413" s="43">
        <v>74.2</v>
      </c>
    </row>
    <row r="414" spans="1:22">
      <c r="A414" s="20">
        <v>44354</v>
      </c>
      <c r="B414" s="25">
        <v>65.12</v>
      </c>
      <c r="C414" s="25">
        <v>2.1511999999999998</v>
      </c>
      <c r="D414" s="25">
        <v>40.520000000000003</v>
      </c>
      <c r="E414" s="25">
        <v>39.04</v>
      </c>
      <c r="Q414" s="15">
        <v>44124</v>
      </c>
      <c r="R414" s="25">
        <v>1.1940999999999999</v>
      </c>
      <c r="S414" s="25">
        <v>39.79</v>
      </c>
      <c r="T414" s="20">
        <v>44512</v>
      </c>
      <c r="U414" s="43">
        <v>2.3209</v>
      </c>
      <c r="V414" s="43">
        <v>71.010000000000005</v>
      </c>
    </row>
    <row r="415" spans="1:22">
      <c r="A415" s="20">
        <v>44355</v>
      </c>
      <c r="B415" s="25">
        <v>65.180000000000007</v>
      </c>
      <c r="C415" s="25">
        <v>2.1551999999999998</v>
      </c>
      <c r="D415" s="25">
        <v>39.78</v>
      </c>
      <c r="E415" s="25">
        <v>37.700000000000003</v>
      </c>
      <c r="Q415" s="15">
        <v>44123</v>
      </c>
      <c r="R415" s="25">
        <v>1.1234999999999999</v>
      </c>
      <c r="S415" s="25">
        <v>39.090000000000003</v>
      </c>
      <c r="T415" s="20">
        <v>44515</v>
      </c>
      <c r="U415" s="43">
        <v>2.3222</v>
      </c>
      <c r="V415" s="43">
        <v>53.1</v>
      </c>
    </row>
    <row r="416" spans="1:22">
      <c r="A416" s="20">
        <v>44356</v>
      </c>
      <c r="B416" s="25">
        <v>65.16</v>
      </c>
      <c r="C416" s="25">
        <v>2.1368999999999998</v>
      </c>
      <c r="D416" s="25">
        <v>37.42</v>
      </c>
      <c r="E416" s="25">
        <v>36.9</v>
      </c>
      <c r="Q416" s="15">
        <v>44120</v>
      </c>
      <c r="R416" s="25">
        <v>1.1524000000000001</v>
      </c>
      <c r="S416" s="25">
        <v>38.44</v>
      </c>
      <c r="T416" s="20">
        <v>44516</v>
      </c>
      <c r="U416" s="43">
        <v>2.3752</v>
      </c>
      <c r="V416" s="43">
        <v>70.069999999999993</v>
      </c>
    </row>
    <row r="417" spans="1:22">
      <c r="A417" s="20">
        <v>44357</v>
      </c>
      <c r="B417" s="25">
        <v>67.67</v>
      </c>
      <c r="C417" s="25">
        <v>2.1703999999999999</v>
      </c>
      <c r="D417" s="25">
        <v>38.729999999999997</v>
      </c>
      <c r="E417" s="25">
        <v>37.46</v>
      </c>
      <c r="Q417" s="15">
        <v>44119</v>
      </c>
      <c r="R417" s="25">
        <v>1.1816</v>
      </c>
      <c r="S417" s="25">
        <v>35.89</v>
      </c>
      <c r="T417" s="20">
        <v>44517</v>
      </c>
      <c r="U417" s="43">
        <v>2.2646000000000002</v>
      </c>
      <c r="V417" s="43">
        <v>71.650000000000006</v>
      </c>
    </row>
    <row r="418" spans="1:22">
      <c r="A418" s="20">
        <v>44358</v>
      </c>
      <c r="B418" s="25">
        <v>68.73</v>
      </c>
      <c r="C418" s="25">
        <v>2.1941000000000002</v>
      </c>
      <c r="D418" s="25">
        <v>39.04</v>
      </c>
      <c r="E418" s="25">
        <v>37.65</v>
      </c>
      <c r="Q418" s="15">
        <v>44118</v>
      </c>
      <c r="R418" s="25">
        <v>1.1711</v>
      </c>
      <c r="S418" s="25">
        <v>36.5</v>
      </c>
      <c r="T418" s="20">
        <v>44518</v>
      </c>
      <c r="U418" s="43">
        <v>2.2806000000000002</v>
      </c>
      <c r="V418" s="43">
        <v>70.569999999999993</v>
      </c>
    </row>
    <row r="419" spans="1:22">
      <c r="A419" s="20">
        <v>44361</v>
      </c>
      <c r="B419" s="25">
        <v>68.7</v>
      </c>
      <c r="C419" s="25">
        <v>2.2018</v>
      </c>
      <c r="D419" s="25">
        <v>37.700000000000003</v>
      </c>
      <c r="E419" s="25">
        <v>39.119999999999997</v>
      </c>
      <c r="Q419" s="15">
        <v>44117</v>
      </c>
      <c r="R419" s="25">
        <v>1.2132000000000001</v>
      </c>
      <c r="S419" s="25">
        <v>37.119999999999997</v>
      </c>
      <c r="T419" s="20">
        <v>44519</v>
      </c>
      <c r="U419" s="43">
        <v>2.2685</v>
      </c>
      <c r="V419" s="43">
        <v>65.5</v>
      </c>
    </row>
    <row r="420" spans="1:22">
      <c r="A420" s="20">
        <v>44362</v>
      </c>
      <c r="B420" s="25">
        <v>69.400000000000006</v>
      </c>
      <c r="C420" s="25">
        <v>2.2115</v>
      </c>
      <c r="D420" s="25">
        <v>36.9</v>
      </c>
      <c r="E420" s="25">
        <v>39.979999999999997</v>
      </c>
      <c r="Q420" s="15">
        <v>44116</v>
      </c>
      <c r="R420" s="25">
        <v>1.1898</v>
      </c>
      <c r="S420" s="25">
        <v>38.42</v>
      </c>
      <c r="T420" s="20">
        <v>44522</v>
      </c>
      <c r="U420" s="43">
        <v>2.2761999999999998</v>
      </c>
      <c r="V420" s="43">
        <v>66.37</v>
      </c>
    </row>
    <row r="421" spans="1:22">
      <c r="A421" s="20">
        <v>44363</v>
      </c>
      <c r="B421" s="25">
        <v>69.09</v>
      </c>
      <c r="C421" s="25">
        <v>2.1930999999999998</v>
      </c>
      <c r="D421" s="25">
        <v>37.46</v>
      </c>
      <c r="E421" s="25">
        <v>39.799999999999997</v>
      </c>
      <c r="Q421" s="15">
        <v>44113</v>
      </c>
      <c r="R421" s="25">
        <v>1.1732</v>
      </c>
      <c r="S421" s="25">
        <v>39.53</v>
      </c>
      <c r="T421" s="20">
        <v>44523</v>
      </c>
      <c r="U421" s="43">
        <v>2.2936000000000001</v>
      </c>
      <c r="V421" s="43">
        <v>66.180000000000007</v>
      </c>
    </row>
    <row r="422" spans="1:22">
      <c r="A422" s="20">
        <v>44364</v>
      </c>
      <c r="B422" s="25">
        <v>69.73</v>
      </c>
      <c r="C422" s="25">
        <v>2.2189999999999999</v>
      </c>
      <c r="D422" s="25">
        <v>37.65</v>
      </c>
      <c r="E422" s="25">
        <v>39.97</v>
      </c>
      <c r="Q422" s="15">
        <v>44112</v>
      </c>
      <c r="R422" s="25">
        <v>1.1577999999999999</v>
      </c>
      <c r="S422" s="25">
        <v>39.22</v>
      </c>
      <c r="T422" s="20">
        <v>44524</v>
      </c>
      <c r="U422" s="43">
        <v>2.2305000000000001</v>
      </c>
      <c r="V422" s="43">
        <v>68.959999999999994</v>
      </c>
    </row>
    <row r="423" spans="1:22">
      <c r="A423" s="20">
        <v>44365</v>
      </c>
      <c r="B423" s="25">
        <v>69.66</v>
      </c>
      <c r="C423" s="25">
        <v>2.2025000000000001</v>
      </c>
      <c r="D423" s="25">
        <v>39.119999999999997</v>
      </c>
      <c r="E423" s="25">
        <v>39.22</v>
      </c>
      <c r="Q423" s="15">
        <v>44111</v>
      </c>
      <c r="R423" s="25">
        <v>1.1437999999999999</v>
      </c>
      <c r="S423" s="25">
        <v>40.82</v>
      </c>
      <c r="T423" s="20">
        <v>44525</v>
      </c>
      <c r="U423" s="43">
        <v>2.2427000000000001</v>
      </c>
      <c r="V423" s="43">
        <v>71.05</v>
      </c>
    </row>
    <row r="424" spans="1:22">
      <c r="A424" s="20">
        <v>44368</v>
      </c>
      <c r="B424" s="25">
        <v>69.88</v>
      </c>
      <c r="C424" s="25">
        <v>2.2122000000000002</v>
      </c>
      <c r="D424" s="25">
        <v>39.979999999999997</v>
      </c>
      <c r="E424" s="25">
        <v>39.79</v>
      </c>
      <c r="Q424" s="15">
        <v>44110</v>
      </c>
      <c r="R424" s="25">
        <v>1.1544000000000001</v>
      </c>
      <c r="S424" s="25">
        <v>39.86</v>
      </c>
      <c r="T424" s="20">
        <v>44526</v>
      </c>
      <c r="U424" s="43">
        <v>2.1568999999999998</v>
      </c>
      <c r="V424" s="43">
        <v>71.3</v>
      </c>
    </row>
    <row r="425" spans="1:22">
      <c r="A425" s="20">
        <v>44369</v>
      </c>
      <c r="B425" s="25">
        <v>70.25</v>
      </c>
      <c r="C425" s="25">
        <v>2.1861000000000002</v>
      </c>
      <c r="D425" s="25">
        <v>39.799999999999997</v>
      </c>
      <c r="E425" s="25">
        <v>39.090000000000003</v>
      </c>
      <c r="Q425" s="15">
        <v>44109</v>
      </c>
      <c r="R425" s="25">
        <v>1.2097</v>
      </c>
      <c r="S425" s="25">
        <v>40.450000000000003</v>
      </c>
      <c r="T425" s="20">
        <v>44529</v>
      </c>
      <c r="U425" s="43">
        <v>2.2033</v>
      </c>
      <c r="V425" s="43">
        <v>70.28</v>
      </c>
    </row>
    <row r="426" spans="1:22">
      <c r="A426" s="20">
        <v>44370</v>
      </c>
      <c r="B426" s="25">
        <v>70.239999999999995</v>
      </c>
      <c r="C426" s="25">
        <v>2.173</v>
      </c>
      <c r="D426" s="25">
        <v>39.97</v>
      </c>
      <c r="E426" s="25">
        <v>38.44</v>
      </c>
      <c r="Q426" s="15">
        <v>44106</v>
      </c>
      <c r="R426" s="25">
        <v>1.2017</v>
      </c>
      <c r="S426" s="25">
        <v>39.200000000000003</v>
      </c>
      <c r="T426" s="20">
        <v>44530</v>
      </c>
      <c r="U426" s="43">
        <v>2.2783000000000002</v>
      </c>
      <c r="V426" s="43">
        <v>70.760000000000005</v>
      </c>
    </row>
    <row r="427" spans="1:22">
      <c r="A427" s="20">
        <v>44371</v>
      </c>
      <c r="B427" s="25">
        <v>70.92</v>
      </c>
      <c r="C427" s="25">
        <v>2.1728999999999998</v>
      </c>
      <c r="D427" s="25">
        <v>39.22</v>
      </c>
      <c r="E427" s="25">
        <v>35.89</v>
      </c>
      <c r="Q427" s="15">
        <v>44105</v>
      </c>
      <c r="R427" s="25">
        <v>1.1694</v>
      </c>
      <c r="S427" s="25">
        <v>37.229999999999997</v>
      </c>
      <c r="T427" s="20">
        <v>44531</v>
      </c>
      <c r="U427" s="43">
        <v>2.2658999999999998</v>
      </c>
      <c r="V427" s="43">
        <v>70.5</v>
      </c>
    </row>
    <row r="428" spans="1:22">
      <c r="A428" s="20">
        <v>44372</v>
      </c>
      <c r="B428" s="25">
        <v>70.95</v>
      </c>
      <c r="C428" s="25">
        <v>2.16</v>
      </c>
      <c r="D428" s="25">
        <v>39.79</v>
      </c>
      <c r="E428" s="25">
        <v>36.5</v>
      </c>
      <c r="Q428" s="15">
        <v>44104</v>
      </c>
      <c r="R428" s="25">
        <v>1.1198999999999999</v>
      </c>
      <c r="S428" s="25">
        <v>38.83</v>
      </c>
      <c r="T428" s="20">
        <v>44532</v>
      </c>
      <c r="U428" s="43">
        <v>1.9811000000000001</v>
      </c>
      <c r="V428" s="43">
        <v>70.180000000000007</v>
      </c>
    </row>
    <row r="429" spans="1:22">
      <c r="A429" s="20">
        <v>44375</v>
      </c>
      <c r="B429" s="25">
        <v>70.430000000000007</v>
      </c>
      <c r="C429" s="25">
        <v>2.1387999999999998</v>
      </c>
      <c r="D429" s="25">
        <v>39.090000000000003</v>
      </c>
      <c r="E429" s="25">
        <v>37.119999999999997</v>
      </c>
      <c r="Q429" s="15">
        <v>44103</v>
      </c>
      <c r="R429" s="25">
        <v>1.0922000000000001</v>
      </c>
      <c r="S429" s="25">
        <v>39.630000000000003</v>
      </c>
      <c r="T429" s="20">
        <v>44533</v>
      </c>
      <c r="U429" s="43">
        <v>2.0329999999999999</v>
      </c>
      <c r="V429" s="43">
        <v>70.260000000000005</v>
      </c>
    </row>
    <row r="430" spans="1:22">
      <c r="A430" s="20">
        <v>44376</v>
      </c>
      <c r="B430" s="25">
        <v>70.650000000000006</v>
      </c>
      <c r="C430" s="25">
        <v>2.1739999999999999</v>
      </c>
      <c r="D430" s="25">
        <v>38.44</v>
      </c>
      <c r="E430" s="25">
        <v>38.42</v>
      </c>
      <c r="Q430" s="15">
        <v>44102</v>
      </c>
      <c r="R430" s="25">
        <v>1.0949</v>
      </c>
      <c r="S430" s="25">
        <v>39.58</v>
      </c>
      <c r="T430" s="20">
        <v>44536</v>
      </c>
      <c r="U430" s="43">
        <v>1.9400999999999999</v>
      </c>
      <c r="V430" s="43">
        <v>71</v>
      </c>
    </row>
    <row r="431" spans="1:22">
      <c r="A431" s="20">
        <v>44377</v>
      </c>
      <c r="B431" s="25">
        <v>71.33</v>
      </c>
      <c r="C431" s="25">
        <v>2.2031000000000001</v>
      </c>
      <c r="D431" s="25">
        <v>35.89</v>
      </c>
      <c r="E431" s="25">
        <v>39.53</v>
      </c>
      <c r="Q431" s="15">
        <v>44099</v>
      </c>
      <c r="R431" s="25">
        <v>1.0976999999999999</v>
      </c>
      <c r="S431" s="25">
        <v>39.71</v>
      </c>
      <c r="T431" s="20">
        <v>44537</v>
      </c>
      <c r="U431" s="43">
        <v>1.9511000000000001</v>
      </c>
      <c r="V431" s="43">
        <v>70.349999999999994</v>
      </c>
    </row>
    <row r="432" spans="1:22">
      <c r="A432" s="20">
        <v>44378</v>
      </c>
      <c r="B432" s="25">
        <v>58.46</v>
      </c>
      <c r="C432" s="25">
        <v>2.2301000000000002</v>
      </c>
      <c r="D432" s="25">
        <v>36.5</v>
      </c>
      <c r="E432" s="25">
        <v>39.22</v>
      </c>
      <c r="Q432" s="15">
        <v>44098</v>
      </c>
      <c r="R432" s="25">
        <v>1.1193</v>
      </c>
      <c r="S432" s="25">
        <v>39.659999999999997</v>
      </c>
      <c r="T432" s="20">
        <v>44538</v>
      </c>
      <c r="U432" s="43">
        <v>1.9677</v>
      </c>
      <c r="V432" s="43">
        <v>69.459999999999994</v>
      </c>
    </row>
    <row r="433" spans="1:22">
      <c r="A433" s="20">
        <v>44379</v>
      </c>
      <c r="B433" s="25">
        <v>71.290000000000006</v>
      </c>
      <c r="C433" s="25">
        <v>2.2698999999999998</v>
      </c>
      <c r="D433" s="25">
        <v>37.119999999999997</v>
      </c>
      <c r="E433" s="25">
        <v>40.82</v>
      </c>
      <c r="Q433" s="15">
        <v>44097</v>
      </c>
      <c r="R433" s="25">
        <v>1.1028</v>
      </c>
      <c r="S433" s="25">
        <v>39.67</v>
      </c>
      <c r="T433" s="20">
        <v>44539</v>
      </c>
      <c r="U433" s="43">
        <v>1.9529000000000001</v>
      </c>
      <c r="V433" s="43">
        <v>70.37</v>
      </c>
    </row>
    <row r="434" spans="1:22">
      <c r="A434" s="20">
        <v>44382</v>
      </c>
      <c r="B434" s="25">
        <v>71.34</v>
      </c>
      <c r="C434" s="25">
        <v>2.2799999999999998</v>
      </c>
      <c r="D434" s="25">
        <v>38.42</v>
      </c>
      <c r="E434" s="25">
        <v>39.86</v>
      </c>
      <c r="Q434" s="15">
        <v>44096</v>
      </c>
      <c r="R434" s="25">
        <v>1.1772</v>
      </c>
      <c r="S434" s="25">
        <v>39.58</v>
      </c>
      <c r="T434" s="20">
        <v>44540</v>
      </c>
      <c r="U434" s="43">
        <v>2.0432999999999999</v>
      </c>
      <c r="V434" s="43">
        <v>70.89</v>
      </c>
    </row>
    <row r="435" spans="1:22">
      <c r="A435" s="20">
        <v>44383</v>
      </c>
      <c r="B435" s="25">
        <v>71.48</v>
      </c>
      <c r="C435" s="25">
        <v>2.2612000000000001</v>
      </c>
      <c r="D435" s="25">
        <v>39.53</v>
      </c>
      <c r="E435" s="25">
        <v>40.450000000000003</v>
      </c>
      <c r="Q435" s="15">
        <v>44095</v>
      </c>
      <c r="R435" s="25">
        <v>1.2049000000000001</v>
      </c>
      <c r="S435" s="25">
        <v>39.54</v>
      </c>
      <c r="T435" s="20">
        <v>44543</v>
      </c>
      <c r="U435" s="43">
        <v>2.1</v>
      </c>
      <c r="V435" s="43">
        <v>71.17</v>
      </c>
    </row>
    <row r="436" spans="1:22">
      <c r="A436" s="20">
        <v>44384</v>
      </c>
      <c r="B436" s="25">
        <v>71.319999999999993</v>
      </c>
      <c r="C436" s="25">
        <v>2.2176999999999998</v>
      </c>
      <c r="D436" s="25">
        <v>39.22</v>
      </c>
      <c r="E436" s="25">
        <v>39.200000000000003</v>
      </c>
      <c r="Q436" s="15">
        <v>44092</v>
      </c>
      <c r="R436" s="25">
        <v>1.202</v>
      </c>
      <c r="S436" s="25">
        <v>39.450000000000003</v>
      </c>
      <c r="T436" s="20">
        <v>44544</v>
      </c>
      <c r="U436" s="43">
        <v>2.1484999999999999</v>
      </c>
      <c r="V436" s="43">
        <v>71.58</v>
      </c>
    </row>
    <row r="437" spans="1:22">
      <c r="A437" s="20">
        <v>44385</v>
      </c>
      <c r="B437" s="25">
        <v>71.33</v>
      </c>
      <c r="C437" s="25">
        <v>2.2414999999999998</v>
      </c>
      <c r="D437" s="25">
        <v>40.82</v>
      </c>
      <c r="E437" s="25">
        <v>37.229999999999997</v>
      </c>
      <c r="Q437" s="15">
        <v>44091</v>
      </c>
      <c r="R437" s="25">
        <v>1.2246999999999999</v>
      </c>
      <c r="S437" s="25">
        <v>39.07</v>
      </c>
      <c r="T437" s="20">
        <v>44545</v>
      </c>
      <c r="U437" s="43">
        <v>2.1284000000000001</v>
      </c>
      <c r="V437" s="43">
        <v>71.650000000000006</v>
      </c>
    </row>
    <row r="438" spans="1:22">
      <c r="A438" s="20">
        <v>44386</v>
      </c>
      <c r="B438" s="25">
        <v>71.349999999999994</v>
      </c>
      <c r="C438" s="25">
        <v>2.2418</v>
      </c>
      <c r="D438" s="25">
        <v>39.86</v>
      </c>
      <c r="E438" s="25">
        <v>38.83</v>
      </c>
      <c r="Q438" s="15">
        <v>44090</v>
      </c>
      <c r="R438" s="25">
        <v>1.2137</v>
      </c>
      <c r="S438" s="25">
        <v>38.090000000000003</v>
      </c>
      <c r="T438" s="20">
        <v>44546</v>
      </c>
      <c r="U438" s="43">
        <v>2.1372</v>
      </c>
      <c r="V438" s="43">
        <v>65.25</v>
      </c>
    </row>
    <row r="439" spans="1:22">
      <c r="A439" s="20">
        <v>44389</v>
      </c>
      <c r="B439" s="25">
        <v>74.33</v>
      </c>
      <c r="C439" s="25">
        <v>2.2675999999999998</v>
      </c>
      <c r="D439" s="25">
        <v>40.450000000000003</v>
      </c>
      <c r="E439" s="25">
        <v>39.630000000000003</v>
      </c>
      <c r="Q439" s="15">
        <v>44089</v>
      </c>
      <c r="R439" s="25">
        <v>1.2464999999999999</v>
      </c>
      <c r="S439" s="25">
        <v>39.700000000000003</v>
      </c>
      <c r="T439" s="20">
        <v>44547</v>
      </c>
      <c r="U439" s="43">
        <v>2.1164999999999998</v>
      </c>
      <c r="V439" s="43">
        <v>71.77</v>
      </c>
    </row>
    <row r="440" spans="1:22">
      <c r="A440" s="20">
        <v>44390</v>
      </c>
      <c r="B440" s="25">
        <v>74.86</v>
      </c>
      <c r="C440" s="25">
        <v>2.2997999999999998</v>
      </c>
      <c r="D440" s="25">
        <v>39.200000000000003</v>
      </c>
      <c r="E440" s="25">
        <v>39.58</v>
      </c>
      <c r="Q440" s="15">
        <v>44088</v>
      </c>
      <c r="R440" s="25">
        <v>1.2181999999999999</v>
      </c>
      <c r="S440" s="25">
        <v>38.72</v>
      </c>
      <c r="T440" s="20">
        <v>44550</v>
      </c>
      <c r="U440" s="43">
        <v>2.1107999999999998</v>
      </c>
      <c r="V440" s="43">
        <v>71.69</v>
      </c>
    </row>
    <row r="441" spans="1:22">
      <c r="A441" s="20">
        <v>44391</v>
      </c>
      <c r="B441" s="25">
        <v>73.239999999999995</v>
      </c>
      <c r="C441" s="25">
        <v>2.2282000000000002</v>
      </c>
      <c r="D441" s="25">
        <v>37.229999999999997</v>
      </c>
      <c r="E441" s="25">
        <v>39.71</v>
      </c>
      <c r="Q441" s="15">
        <v>44085</v>
      </c>
      <c r="R441" s="25">
        <v>1.2634000000000001</v>
      </c>
      <c r="S441" s="25">
        <v>38.14</v>
      </c>
      <c r="T441" s="20">
        <v>44551</v>
      </c>
      <c r="U441" s="43">
        <v>2.1122999999999998</v>
      </c>
      <c r="V441" s="43">
        <v>76</v>
      </c>
    </row>
    <row r="442" spans="1:22">
      <c r="A442" s="20">
        <v>44392</v>
      </c>
      <c r="B442" s="25">
        <v>72.27</v>
      </c>
      <c r="C442" s="25">
        <v>2.206</v>
      </c>
      <c r="D442" s="25">
        <v>38.83</v>
      </c>
      <c r="E442" s="25">
        <v>39.659999999999997</v>
      </c>
      <c r="Q442" s="15">
        <v>44084</v>
      </c>
      <c r="R442" s="25">
        <v>1.2685</v>
      </c>
      <c r="S442" s="25">
        <v>38.19</v>
      </c>
      <c r="T442" s="20">
        <v>44552</v>
      </c>
      <c r="U442" s="43">
        <v>2.1644000000000001</v>
      </c>
      <c r="V442" s="43">
        <v>76.86</v>
      </c>
    </row>
    <row r="443" spans="1:22">
      <c r="A443" s="20">
        <v>44393</v>
      </c>
      <c r="B443" s="25">
        <v>72.84</v>
      </c>
      <c r="C443" s="25">
        <v>2.2551999999999999</v>
      </c>
      <c r="D443" s="25">
        <v>39.630000000000003</v>
      </c>
      <c r="E443" s="25">
        <v>39.67</v>
      </c>
      <c r="Q443" s="15">
        <v>44083</v>
      </c>
      <c r="R443" s="25">
        <v>1.2598</v>
      </c>
      <c r="S443" s="25">
        <v>38.18</v>
      </c>
      <c r="T443" s="20">
        <v>44553</v>
      </c>
      <c r="U443" s="43">
        <v>2.1126</v>
      </c>
      <c r="V443" s="43">
        <v>77.59</v>
      </c>
    </row>
    <row r="444" spans="1:22">
      <c r="A444" s="20">
        <v>44396</v>
      </c>
      <c r="B444" s="25">
        <v>70.540000000000006</v>
      </c>
      <c r="C444" s="25">
        <v>2.2919999999999998</v>
      </c>
      <c r="D444" s="25">
        <v>39.58</v>
      </c>
      <c r="E444" s="25">
        <v>39.58</v>
      </c>
      <c r="Q444" s="15">
        <v>44082</v>
      </c>
      <c r="R444" s="25">
        <v>1.2130000000000001</v>
      </c>
      <c r="S444" s="25">
        <v>38.72</v>
      </c>
      <c r="T444" s="20">
        <v>44554</v>
      </c>
      <c r="U444" s="43">
        <v>2.0785999999999998</v>
      </c>
      <c r="V444" s="43">
        <v>78.88</v>
      </c>
    </row>
    <row r="445" spans="1:22">
      <c r="A445" s="20">
        <v>44397</v>
      </c>
      <c r="B445" s="25">
        <v>70.5</v>
      </c>
      <c r="C445" s="25">
        <v>2.2772000000000001</v>
      </c>
      <c r="D445" s="25">
        <v>39.71</v>
      </c>
      <c r="E445" s="25">
        <v>39.54</v>
      </c>
      <c r="Q445" s="15">
        <v>44081</v>
      </c>
      <c r="R445" s="25">
        <v>1.2263999999999999</v>
      </c>
      <c r="S445" s="25">
        <v>37.76</v>
      </c>
      <c r="T445" s="20">
        <v>44557</v>
      </c>
      <c r="U445" s="43">
        <v>2.1448</v>
      </c>
      <c r="V445" s="43">
        <v>78.48</v>
      </c>
    </row>
    <row r="446" spans="1:22">
      <c r="A446" s="20">
        <v>44398</v>
      </c>
      <c r="B446" s="25">
        <v>69.930000000000007</v>
      </c>
      <c r="C446" s="25">
        <v>2.3016999999999999</v>
      </c>
      <c r="D446" s="25">
        <v>39.659999999999997</v>
      </c>
      <c r="E446" s="25">
        <v>39.450000000000003</v>
      </c>
      <c r="Q446" s="15">
        <v>44078</v>
      </c>
      <c r="R446" s="25">
        <v>1.2284999999999999</v>
      </c>
      <c r="S446" s="25">
        <v>40.18</v>
      </c>
      <c r="T446" s="20">
        <v>44558</v>
      </c>
      <c r="U446" s="43">
        <v>2.165</v>
      </c>
      <c r="V446" s="43">
        <v>77.95</v>
      </c>
    </row>
    <row r="447" spans="1:22">
      <c r="A447" s="20">
        <v>44399</v>
      </c>
      <c r="B447" s="25">
        <v>72.09</v>
      </c>
      <c r="C447" s="25">
        <v>2.2722000000000002</v>
      </c>
      <c r="D447" s="25">
        <v>39.67</v>
      </c>
      <c r="E447" s="25">
        <v>39.07</v>
      </c>
      <c r="Q447" s="15">
        <v>44077</v>
      </c>
      <c r="R447" s="25">
        <v>1.2249000000000001</v>
      </c>
      <c r="S447" s="25">
        <v>41.49</v>
      </c>
      <c r="T447" s="20">
        <v>44559</v>
      </c>
      <c r="U447" s="43">
        <v>2.2033</v>
      </c>
      <c r="V447" s="43">
        <v>80.040000000000006</v>
      </c>
    </row>
    <row r="448" spans="1:22">
      <c r="A448" s="20">
        <v>44400</v>
      </c>
      <c r="B448" s="25">
        <v>72.55</v>
      </c>
      <c r="C448" s="25">
        <v>2.2317999999999998</v>
      </c>
      <c r="D448" s="25">
        <v>39.58</v>
      </c>
      <c r="E448" s="25">
        <v>38.090000000000003</v>
      </c>
      <c r="Q448" s="15">
        <v>44076</v>
      </c>
      <c r="R448" s="25">
        <v>1.2134</v>
      </c>
      <c r="S448" s="25">
        <v>41.67</v>
      </c>
      <c r="T448" s="20">
        <v>44560</v>
      </c>
      <c r="U448" s="43">
        <v>2.2303999999999999</v>
      </c>
      <c r="V448" s="43">
        <v>80.94</v>
      </c>
    </row>
    <row r="449" spans="1:22">
      <c r="A449" s="20">
        <v>44403</v>
      </c>
      <c r="B449" s="25">
        <v>72.64</v>
      </c>
      <c r="C449" s="25">
        <v>2.2345000000000002</v>
      </c>
      <c r="D449" s="25">
        <v>39.54</v>
      </c>
      <c r="E449" s="25">
        <v>39.700000000000003</v>
      </c>
      <c r="Q449" s="15">
        <v>44075</v>
      </c>
      <c r="R449" s="25">
        <v>1.1879999999999999</v>
      </c>
      <c r="S449" s="25">
        <v>42.07</v>
      </c>
      <c r="T449" s="20">
        <v>44561</v>
      </c>
      <c r="U449" s="43">
        <v>2.246</v>
      </c>
      <c r="V449" s="43">
        <v>80.67</v>
      </c>
    </row>
    <row r="450" spans="1:22">
      <c r="A450" s="20">
        <v>44404</v>
      </c>
      <c r="B450" s="25">
        <v>68.62</v>
      </c>
      <c r="C450" s="25">
        <v>2.0903</v>
      </c>
      <c r="D450" s="25">
        <v>39.450000000000003</v>
      </c>
      <c r="E450" s="25">
        <v>38.72</v>
      </c>
      <c r="Q450" s="15">
        <v>44074</v>
      </c>
      <c r="R450" s="25">
        <v>1.1789000000000001</v>
      </c>
      <c r="S450" s="25">
        <v>41.29</v>
      </c>
      <c r="T450" s="20">
        <v>44564</v>
      </c>
      <c r="U450" s="43">
        <v>2.2665999999999999</v>
      </c>
      <c r="V450" s="43">
        <v>81.59</v>
      </c>
    </row>
    <row r="451" spans="1:22">
      <c r="A451" s="20">
        <v>44405</v>
      </c>
      <c r="B451" s="25">
        <v>69.349999999999994</v>
      </c>
      <c r="C451" s="25">
        <v>2.1103999999999998</v>
      </c>
      <c r="D451" s="25">
        <v>39.07</v>
      </c>
      <c r="E451" s="25">
        <v>38.14</v>
      </c>
      <c r="Q451" s="15">
        <v>44071</v>
      </c>
      <c r="R451" s="25">
        <v>1.1858</v>
      </c>
      <c r="S451" s="25">
        <v>39.35</v>
      </c>
      <c r="T451" s="20">
        <v>44565</v>
      </c>
      <c r="U451" s="43">
        <v>2.2913999999999999</v>
      </c>
      <c r="V451" s="43">
        <v>82.37</v>
      </c>
    </row>
    <row r="452" spans="1:22">
      <c r="A452" s="20">
        <v>44406</v>
      </c>
      <c r="B452" s="25">
        <v>71.7</v>
      </c>
      <c r="C452" s="25">
        <v>2.1941000000000002</v>
      </c>
      <c r="D452" s="25">
        <v>38.090000000000003</v>
      </c>
      <c r="E452" s="25">
        <v>38.19</v>
      </c>
      <c r="Q452" s="15">
        <v>44070</v>
      </c>
      <c r="R452" s="25">
        <v>1.2044999999999999</v>
      </c>
      <c r="S452" s="25">
        <v>38.96</v>
      </c>
      <c r="T452" s="20">
        <v>44566</v>
      </c>
      <c r="U452" s="43">
        <v>2.2246000000000001</v>
      </c>
      <c r="V452" s="43">
        <v>82.86</v>
      </c>
    </row>
    <row r="453" spans="1:22">
      <c r="A453" s="20">
        <v>44407</v>
      </c>
      <c r="B453" s="25">
        <v>72.23</v>
      </c>
      <c r="C453" s="25">
        <v>2.2473999999999998</v>
      </c>
      <c r="D453" s="25">
        <v>39.700000000000003</v>
      </c>
      <c r="E453" s="25">
        <v>38.18</v>
      </c>
      <c r="Q453" s="15">
        <v>44069</v>
      </c>
      <c r="R453" s="25">
        <v>1.2293000000000001</v>
      </c>
      <c r="S453" s="25">
        <v>39.369999999999997</v>
      </c>
      <c r="T453" s="20">
        <v>44567</v>
      </c>
      <c r="U453" s="43">
        <v>2.2565</v>
      </c>
      <c r="V453" s="43">
        <v>82.77</v>
      </c>
    </row>
    <row r="454" spans="1:22">
      <c r="A454" s="20">
        <v>44410</v>
      </c>
      <c r="B454" s="25">
        <v>54.47</v>
      </c>
      <c r="C454" s="25">
        <v>2.2612000000000001</v>
      </c>
      <c r="D454" s="25">
        <v>38.72</v>
      </c>
      <c r="E454" s="25">
        <v>38.72</v>
      </c>
      <c r="Q454" s="15">
        <v>44068</v>
      </c>
      <c r="R454" s="25">
        <v>1.2076</v>
      </c>
      <c r="S454" s="25">
        <v>39.83</v>
      </c>
      <c r="T454" s="20">
        <v>44568</v>
      </c>
      <c r="U454" s="43">
        <v>2.2763</v>
      </c>
      <c r="V454" s="43">
        <v>82.63</v>
      </c>
    </row>
    <row r="455" spans="1:22">
      <c r="A455" s="20">
        <v>44411</v>
      </c>
      <c r="B455" s="25">
        <v>72.239999999999995</v>
      </c>
      <c r="C455" s="25">
        <v>2.2753999999999999</v>
      </c>
      <c r="D455" s="25">
        <v>38.14</v>
      </c>
      <c r="E455" s="25">
        <v>37.76</v>
      </c>
      <c r="Q455" s="15">
        <v>44067</v>
      </c>
      <c r="R455" s="25">
        <v>1.2281</v>
      </c>
      <c r="S455" s="25">
        <v>39.82</v>
      </c>
      <c r="T455" s="20">
        <v>44571</v>
      </c>
      <c r="U455" s="43">
        <v>2.2921</v>
      </c>
      <c r="V455" s="43">
        <v>82.08</v>
      </c>
    </row>
    <row r="456" spans="1:22">
      <c r="A456" s="20">
        <v>44412</v>
      </c>
      <c r="B456" s="25">
        <v>71.83</v>
      </c>
      <c r="C456" s="25">
        <v>2.2812999999999999</v>
      </c>
      <c r="D456" s="25">
        <v>38.19</v>
      </c>
      <c r="E456" s="25">
        <v>40.18</v>
      </c>
      <c r="Q456" s="15">
        <v>44064</v>
      </c>
      <c r="R456" s="25">
        <v>1.2228000000000001</v>
      </c>
      <c r="S456" s="25">
        <v>40.29</v>
      </c>
      <c r="T456" s="20">
        <v>44572</v>
      </c>
      <c r="U456" s="43">
        <v>2.3043</v>
      </c>
      <c r="V456" s="43">
        <v>82.65</v>
      </c>
    </row>
    <row r="457" spans="1:22">
      <c r="A457" s="20">
        <v>44413</v>
      </c>
      <c r="B457" s="25">
        <v>70.34</v>
      </c>
      <c r="C457" s="25">
        <v>2.282</v>
      </c>
      <c r="D457" s="25">
        <v>38.18</v>
      </c>
      <c r="E457" s="25">
        <v>41.49</v>
      </c>
      <c r="Q457" s="15">
        <v>44063</v>
      </c>
      <c r="R457" s="25">
        <v>1.2142999999999999</v>
      </c>
      <c r="S457" s="25">
        <v>41.64</v>
      </c>
      <c r="T457" s="20">
        <v>44573</v>
      </c>
      <c r="U457" s="43">
        <v>2.2989000000000002</v>
      </c>
      <c r="V457" s="43">
        <v>83</v>
      </c>
    </row>
    <row r="458" spans="1:22">
      <c r="A458" s="20">
        <v>44414</v>
      </c>
      <c r="B458" s="25">
        <v>71.3</v>
      </c>
      <c r="C458" s="25">
        <v>2.3250999999999999</v>
      </c>
      <c r="D458" s="25">
        <v>38.72</v>
      </c>
      <c r="E458" s="25">
        <v>41.67</v>
      </c>
      <c r="Q458" s="15">
        <v>44062</v>
      </c>
      <c r="R458" s="25">
        <v>1.2131000000000001</v>
      </c>
      <c r="S458" s="25">
        <v>42.47</v>
      </c>
      <c r="T458" s="20">
        <v>44574</v>
      </c>
      <c r="U458" s="43">
        <v>2.2753999999999999</v>
      </c>
      <c r="V458" s="43">
        <v>82.89</v>
      </c>
    </row>
    <row r="459" spans="1:22">
      <c r="A459" s="20">
        <v>44417</v>
      </c>
      <c r="B459" s="25">
        <v>70.66</v>
      </c>
      <c r="C459" s="25">
        <v>2.3347000000000002</v>
      </c>
      <c r="D459" s="25">
        <v>37.76</v>
      </c>
      <c r="E459" s="25">
        <v>42.07</v>
      </c>
      <c r="Q459" s="15">
        <v>44061</v>
      </c>
      <c r="R459" s="25">
        <v>1.1711</v>
      </c>
      <c r="S459" s="25">
        <v>42.47</v>
      </c>
      <c r="T459" s="20">
        <v>44575</v>
      </c>
      <c r="U459" s="43">
        <v>2.3574000000000002</v>
      </c>
      <c r="V459" s="43">
        <v>82.91</v>
      </c>
    </row>
    <row r="460" spans="1:22">
      <c r="A460" s="20">
        <v>44418</v>
      </c>
      <c r="B460" s="25">
        <v>70.13</v>
      </c>
      <c r="C460" s="25">
        <v>2.2747000000000002</v>
      </c>
      <c r="D460" s="25">
        <v>40.18</v>
      </c>
      <c r="E460" s="25">
        <v>41.29</v>
      </c>
      <c r="Q460" s="15">
        <v>44060</v>
      </c>
      <c r="R460" s="25">
        <v>1.1908000000000001</v>
      </c>
      <c r="S460" s="25">
        <v>42.49</v>
      </c>
      <c r="T460" s="20">
        <v>44578</v>
      </c>
      <c r="U460" s="43">
        <v>2.3908</v>
      </c>
      <c r="V460" s="43">
        <v>82.98</v>
      </c>
    </row>
    <row r="461" spans="1:22">
      <c r="A461" s="20">
        <v>44419</v>
      </c>
      <c r="B461" s="25">
        <v>70.42</v>
      </c>
      <c r="C461" s="25">
        <v>2.2707999999999999</v>
      </c>
      <c r="D461" s="25">
        <v>41.49</v>
      </c>
      <c r="E461" s="25">
        <v>39.35</v>
      </c>
      <c r="Q461" s="15">
        <v>44057</v>
      </c>
      <c r="R461" s="25">
        <v>1.2132000000000001</v>
      </c>
      <c r="S461" s="25">
        <v>42.04</v>
      </c>
      <c r="T461" s="20">
        <v>44579</v>
      </c>
      <c r="U461" s="43">
        <v>2.3877000000000002</v>
      </c>
      <c r="V461" s="43">
        <v>79.099999999999994</v>
      </c>
    </row>
    <row r="462" spans="1:22">
      <c r="A462" s="20">
        <v>44420</v>
      </c>
      <c r="B462" s="25">
        <v>68.290000000000006</v>
      </c>
      <c r="C462" s="25">
        <v>2.25</v>
      </c>
      <c r="D462" s="25">
        <v>41.67</v>
      </c>
      <c r="E462" s="25">
        <v>38.96</v>
      </c>
      <c r="Q462" s="15">
        <v>44056</v>
      </c>
      <c r="R462" s="25">
        <v>1.2352000000000001</v>
      </c>
      <c r="S462" s="25">
        <v>42.16</v>
      </c>
      <c r="T462" s="20">
        <v>44580</v>
      </c>
      <c r="U462" s="43">
        <v>2.4237000000000002</v>
      </c>
      <c r="V462" s="43">
        <v>87.93</v>
      </c>
    </row>
    <row r="463" spans="1:22">
      <c r="A463" s="20">
        <v>44421</v>
      </c>
      <c r="B463" s="25">
        <v>69.099999999999994</v>
      </c>
      <c r="C463" s="25">
        <v>2.294</v>
      </c>
      <c r="D463" s="25">
        <v>42.07</v>
      </c>
      <c r="E463" s="25">
        <v>39.369999999999997</v>
      </c>
      <c r="Q463" s="15">
        <v>44055</v>
      </c>
      <c r="R463" s="25">
        <v>1.2446999999999999</v>
      </c>
      <c r="S463" s="25">
        <v>42.43</v>
      </c>
      <c r="T463" s="20">
        <v>44581</v>
      </c>
      <c r="U463" s="43">
        <v>2.4386999999999999</v>
      </c>
      <c r="V463" s="43">
        <v>89.67</v>
      </c>
    </row>
    <row r="464" spans="1:22">
      <c r="A464" s="20">
        <v>44424</v>
      </c>
      <c r="B464" s="25">
        <v>68.489999999999995</v>
      </c>
      <c r="C464" s="25">
        <v>2.2568999999999999</v>
      </c>
      <c r="D464" s="25">
        <v>41.29</v>
      </c>
      <c r="E464" s="25">
        <v>39.83</v>
      </c>
      <c r="Q464" s="15">
        <v>44054</v>
      </c>
      <c r="R464" s="25">
        <v>1.256</v>
      </c>
      <c r="S464" s="25">
        <v>41.71</v>
      </c>
      <c r="T464" s="20">
        <v>44582</v>
      </c>
      <c r="U464" s="43">
        <v>2.4615</v>
      </c>
      <c r="V464" s="43">
        <v>91.36</v>
      </c>
    </row>
    <row r="465" spans="1:22">
      <c r="A465" s="20">
        <v>44425</v>
      </c>
      <c r="B465" s="25">
        <v>67.099999999999994</v>
      </c>
      <c r="C465" s="25">
        <v>2.2347999999999999</v>
      </c>
      <c r="D465" s="25">
        <v>39.35</v>
      </c>
      <c r="E465" s="25">
        <v>39.82</v>
      </c>
      <c r="Q465" s="15">
        <v>44053</v>
      </c>
      <c r="R465" s="25">
        <v>1.2363</v>
      </c>
      <c r="S465" s="25">
        <v>41.94</v>
      </c>
      <c r="T465" s="20">
        <v>44585</v>
      </c>
      <c r="U465" s="43">
        <v>2.4662000000000002</v>
      </c>
      <c r="V465" s="43">
        <v>90.67</v>
      </c>
    </row>
    <row r="466" spans="1:22">
      <c r="A466" s="20">
        <v>44426</v>
      </c>
      <c r="B466" s="25">
        <v>68.400000000000006</v>
      </c>
      <c r="C466" s="25">
        <v>2.2679</v>
      </c>
      <c r="D466" s="25">
        <v>38.96</v>
      </c>
      <c r="E466" s="25">
        <v>40.29</v>
      </c>
      <c r="Q466" s="15">
        <v>44050</v>
      </c>
      <c r="R466" s="25">
        <v>1.2603</v>
      </c>
      <c r="S466" s="25">
        <v>41.4</v>
      </c>
      <c r="T466" s="20">
        <v>44586</v>
      </c>
      <c r="U466" s="43">
        <v>2.4464999999999999</v>
      </c>
      <c r="V466" s="43">
        <v>89.24</v>
      </c>
    </row>
    <row r="467" spans="1:22">
      <c r="A467" s="20">
        <v>44427</v>
      </c>
      <c r="B467" s="25">
        <v>66.08</v>
      </c>
      <c r="C467" s="25">
        <v>2.3022</v>
      </c>
      <c r="D467" s="25">
        <v>39.369999999999997</v>
      </c>
      <c r="E467" s="25">
        <v>41.64</v>
      </c>
      <c r="Q467" s="15">
        <v>44049</v>
      </c>
      <c r="R467" s="25">
        <v>1.2604</v>
      </c>
      <c r="S467" s="25">
        <v>41.99</v>
      </c>
      <c r="T467" s="20">
        <v>44587</v>
      </c>
      <c r="U467" s="43">
        <v>2.4020999999999999</v>
      </c>
      <c r="V467" s="43">
        <v>89.51</v>
      </c>
    </row>
    <row r="468" spans="1:22">
      <c r="A468" s="20">
        <v>44428</v>
      </c>
      <c r="B468" s="25">
        <v>66.13</v>
      </c>
      <c r="C468" s="25">
        <v>2.13</v>
      </c>
      <c r="D468" s="25">
        <v>39.83</v>
      </c>
      <c r="E468" s="25">
        <v>42.47</v>
      </c>
      <c r="Q468" s="15">
        <v>44048</v>
      </c>
      <c r="R468" s="25">
        <v>1.2131000000000001</v>
      </c>
      <c r="S468" s="25">
        <v>42.19</v>
      </c>
      <c r="T468" s="20">
        <v>44588</v>
      </c>
      <c r="U468" s="43">
        <v>2.4626000000000001</v>
      </c>
      <c r="V468" s="43">
        <v>89.61</v>
      </c>
    </row>
    <row r="469" spans="1:22">
      <c r="A469" s="20">
        <v>44431</v>
      </c>
      <c r="B469" s="25">
        <v>67.33</v>
      </c>
      <c r="C469" s="25">
        <v>2.1128999999999998</v>
      </c>
      <c r="D469" s="25">
        <v>39.82</v>
      </c>
      <c r="E469" s="25">
        <v>42.47</v>
      </c>
      <c r="Q469" s="15">
        <v>44047</v>
      </c>
      <c r="R469" s="25">
        <v>1.2061999999999999</v>
      </c>
      <c r="S469" s="25">
        <v>41.74</v>
      </c>
      <c r="T469" s="20">
        <v>44589</v>
      </c>
      <c r="U469" s="43">
        <v>2.5232000000000001</v>
      </c>
      <c r="V469" s="43">
        <v>91.4</v>
      </c>
    </row>
    <row r="470" spans="1:22">
      <c r="A470" s="20">
        <v>44432</v>
      </c>
      <c r="B470" s="25">
        <v>67.94</v>
      </c>
      <c r="C470" s="25">
        <v>2.0668000000000002</v>
      </c>
      <c r="D470" s="25">
        <v>40.29</v>
      </c>
      <c r="E470" s="25">
        <v>42.49</v>
      </c>
      <c r="Q470" s="15">
        <v>44046</v>
      </c>
      <c r="R470" s="25">
        <v>1.2157</v>
      </c>
      <c r="S470" s="25">
        <v>41.11</v>
      </c>
      <c r="T470" s="20">
        <v>44592</v>
      </c>
      <c r="U470" s="43">
        <v>2.5209999999999999</v>
      </c>
      <c r="V470" s="43">
        <v>92.59</v>
      </c>
    </row>
    <row r="471" spans="1:22">
      <c r="A471" s="20">
        <v>44433</v>
      </c>
      <c r="B471" s="25">
        <v>67.59</v>
      </c>
      <c r="C471" s="25">
        <v>2.0396999999999998</v>
      </c>
      <c r="D471" s="25">
        <v>41.64</v>
      </c>
      <c r="E471" s="25">
        <v>42.04</v>
      </c>
      <c r="Q471" s="15">
        <v>44043</v>
      </c>
      <c r="R471" s="25">
        <v>1.2427999999999999</v>
      </c>
      <c r="S471" s="25">
        <v>40.770000000000003</v>
      </c>
      <c r="T471" s="20">
        <v>44593</v>
      </c>
      <c r="U471" s="43">
        <v>2.5379</v>
      </c>
      <c r="V471" s="43">
        <v>91</v>
      </c>
    </row>
    <row r="472" spans="1:22">
      <c r="A472" s="20">
        <v>44434</v>
      </c>
      <c r="B472" s="25">
        <v>67.069999999999993</v>
      </c>
      <c r="C472" s="25">
        <v>2.0162</v>
      </c>
      <c r="D472" s="25">
        <v>42.47</v>
      </c>
      <c r="E472" s="25">
        <v>42.16</v>
      </c>
      <c r="Q472" s="15">
        <v>44042</v>
      </c>
      <c r="R472" s="25">
        <v>1.2262</v>
      </c>
      <c r="S472" s="25">
        <v>40.75</v>
      </c>
      <c r="T472" s="20">
        <v>44594</v>
      </c>
      <c r="U472" s="43">
        <v>2.5543999999999998</v>
      </c>
      <c r="V472" s="43">
        <v>91.68</v>
      </c>
    </row>
    <row r="473" spans="1:22">
      <c r="A473" s="20">
        <v>44435</v>
      </c>
      <c r="B473" s="25">
        <v>66.37</v>
      </c>
      <c r="C473" s="25">
        <v>1.9524999999999999</v>
      </c>
      <c r="D473" s="25">
        <v>42.47</v>
      </c>
      <c r="E473" s="25">
        <v>42.43</v>
      </c>
      <c r="Q473" s="15">
        <v>44041</v>
      </c>
      <c r="R473" s="25">
        <v>1.2471000000000001</v>
      </c>
      <c r="S473" s="25">
        <v>40.869999999999997</v>
      </c>
      <c r="T473" s="20">
        <v>44595</v>
      </c>
      <c r="U473" s="43">
        <v>2.5752000000000002</v>
      </c>
      <c r="V473" s="43">
        <v>91</v>
      </c>
    </row>
    <row r="474" spans="1:22">
      <c r="A474" s="20">
        <v>44438</v>
      </c>
      <c r="B474" s="25">
        <v>65.180000000000007</v>
      </c>
      <c r="C474" s="25">
        <v>1.8902000000000001</v>
      </c>
      <c r="D474" s="25">
        <v>42.49</v>
      </c>
      <c r="E474" s="25">
        <v>41.71</v>
      </c>
      <c r="Q474" s="15">
        <v>44040</v>
      </c>
      <c r="R474" s="25">
        <v>1.2830999999999999</v>
      </c>
      <c r="S474" s="25">
        <v>40.840000000000003</v>
      </c>
      <c r="T474" s="20">
        <v>44596</v>
      </c>
      <c r="U474" s="43">
        <v>2.6070000000000002</v>
      </c>
      <c r="V474" s="43">
        <v>90.96</v>
      </c>
    </row>
    <row r="475" spans="1:22">
      <c r="A475" s="20">
        <v>44439</v>
      </c>
      <c r="B475" s="25">
        <v>66.989999999999995</v>
      </c>
      <c r="C475" s="25">
        <v>1.9865999999999999</v>
      </c>
      <c r="D475" s="25">
        <v>42.04</v>
      </c>
      <c r="E475" s="25">
        <v>41.94</v>
      </c>
      <c r="Q475" s="15">
        <v>44039</v>
      </c>
      <c r="R475" s="25">
        <v>1.2504999999999999</v>
      </c>
      <c r="S475" s="25">
        <v>40.94</v>
      </c>
      <c r="T475" s="20">
        <v>44599</v>
      </c>
      <c r="U475" s="43">
        <v>2.6427</v>
      </c>
      <c r="V475" s="43">
        <v>91.39</v>
      </c>
    </row>
    <row r="476" spans="1:22">
      <c r="A476" s="20">
        <v>44440</v>
      </c>
      <c r="B476" s="25">
        <v>58.02</v>
      </c>
      <c r="C476" s="25">
        <v>2.0575999999999999</v>
      </c>
      <c r="D476" s="25">
        <v>42.16</v>
      </c>
      <c r="E476" s="25">
        <v>41.4</v>
      </c>
      <c r="Q476" s="15">
        <v>44036</v>
      </c>
      <c r="R476" s="25">
        <v>1.2908999999999999</v>
      </c>
      <c r="S476" s="25">
        <v>40.869999999999997</v>
      </c>
      <c r="T476" s="20">
        <v>44600</v>
      </c>
      <c r="U476" s="43">
        <v>2.6785000000000001</v>
      </c>
      <c r="V476" s="43">
        <v>91.43</v>
      </c>
    </row>
    <row r="477" spans="1:22">
      <c r="A477" s="20">
        <v>44441</v>
      </c>
      <c r="B477" s="25">
        <v>67.69</v>
      </c>
      <c r="C477" s="25">
        <v>2.145</v>
      </c>
      <c r="D477" s="25">
        <v>42.43</v>
      </c>
      <c r="E477" s="25">
        <v>41.99</v>
      </c>
      <c r="Q477" s="15">
        <v>44035</v>
      </c>
      <c r="R477" s="25">
        <v>1.2749999999999999</v>
      </c>
      <c r="S477" s="25">
        <v>40.81</v>
      </c>
      <c r="T477" s="20">
        <v>44601</v>
      </c>
      <c r="U477" s="43">
        <v>2.6852999999999998</v>
      </c>
      <c r="V477" s="43">
        <v>91.54</v>
      </c>
    </row>
    <row r="478" spans="1:22">
      <c r="A478" s="20">
        <v>44442</v>
      </c>
      <c r="B478" s="25">
        <v>67.52</v>
      </c>
      <c r="C478" s="25">
        <v>2.0922999999999998</v>
      </c>
      <c r="D478" s="25">
        <v>41.71</v>
      </c>
      <c r="E478" s="25">
        <v>42.19</v>
      </c>
      <c r="Q478" s="15">
        <v>44034</v>
      </c>
      <c r="R478" s="25">
        <v>1.2407999999999999</v>
      </c>
      <c r="S478" s="25">
        <v>41.08</v>
      </c>
      <c r="T478" s="20">
        <v>44602</v>
      </c>
      <c r="U478" s="43">
        <v>2.6251000000000002</v>
      </c>
      <c r="V478" s="43">
        <v>91.41</v>
      </c>
    </row>
    <row r="479" spans="1:22">
      <c r="A479" s="20">
        <v>44445</v>
      </c>
      <c r="B479" s="25">
        <v>67.7</v>
      </c>
      <c r="C479" s="25">
        <v>2.1196000000000002</v>
      </c>
      <c r="D479" s="25">
        <v>41.94</v>
      </c>
      <c r="E479" s="25">
        <v>41.74</v>
      </c>
      <c r="Q479" s="15">
        <v>44033</v>
      </c>
      <c r="R479" s="25">
        <v>1.2592000000000001</v>
      </c>
      <c r="S479" s="25">
        <v>41.08</v>
      </c>
      <c r="T479" s="20">
        <v>44603</v>
      </c>
      <c r="U479" s="43">
        <v>2.6534</v>
      </c>
      <c r="V479" s="43">
        <v>91.63</v>
      </c>
    </row>
    <row r="480" spans="1:22">
      <c r="A480" s="20">
        <v>44446</v>
      </c>
      <c r="B480" s="25">
        <v>67.739999999999995</v>
      </c>
      <c r="C480" s="25">
        <v>2.1537999999999999</v>
      </c>
      <c r="D480" s="25">
        <v>41.4</v>
      </c>
      <c r="E480" s="25">
        <v>41.11</v>
      </c>
      <c r="Q480" s="15">
        <v>44032</v>
      </c>
      <c r="R480" s="25">
        <v>1.2169000000000001</v>
      </c>
      <c r="S480" s="25">
        <v>40.67</v>
      </c>
      <c r="T480" s="20">
        <v>44606</v>
      </c>
      <c r="U480" s="43">
        <v>2.6654</v>
      </c>
      <c r="V480" s="43">
        <v>94.57</v>
      </c>
    </row>
    <row r="481" spans="1:22">
      <c r="A481" s="20">
        <v>44447</v>
      </c>
      <c r="B481" s="25">
        <v>67.709999999999994</v>
      </c>
      <c r="C481" s="25">
        <v>2.1419000000000001</v>
      </c>
      <c r="D481" s="25">
        <v>41.99</v>
      </c>
      <c r="E481" s="25">
        <v>40.770000000000003</v>
      </c>
      <c r="Q481" s="15">
        <v>44029</v>
      </c>
      <c r="R481" s="25">
        <v>1.2015</v>
      </c>
      <c r="S481" s="25">
        <v>40.590000000000003</v>
      </c>
      <c r="T481" s="20">
        <v>44607</v>
      </c>
      <c r="U481" s="43">
        <v>2.7385999999999999</v>
      </c>
      <c r="V481" s="43">
        <v>109.21</v>
      </c>
    </row>
    <row r="482" spans="1:22">
      <c r="A482" s="20">
        <v>44448</v>
      </c>
      <c r="B482" s="25">
        <v>68.5</v>
      </c>
      <c r="C482" s="25">
        <v>2.1109</v>
      </c>
      <c r="D482" s="25">
        <v>42.19</v>
      </c>
      <c r="E482" s="25">
        <v>40.75</v>
      </c>
      <c r="Q482" s="15">
        <v>44028</v>
      </c>
      <c r="R482" s="25">
        <v>1.1878</v>
      </c>
      <c r="S482" s="25">
        <v>40.67</v>
      </c>
      <c r="T482" s="20">
        <v>44608</v>
      </c>
      <c r="U482" s="43">
        <v>2.9068000000000001</v>
      </c>
      <c r="V482" s="43">
        <v>106.68</v>
      </c>
    </row>
    <row r="483" spans="1:22">
      <c r="A483" s="20">
        <v>44449</v>
      </c>
      <c r="B483" s="25">
        <v>69.84</v>
      </c>
      <c r="C483" s="25">
        <v>2.1635</v>
      </c>
      <c r="D483" s="25">
        <v>41.74</v>
      </c>
      <c r="E483" s="25">
        <v>40.869999999999997</v>
      </c>
      <c r="Q483" s="15">
        <v>44027</v>
      </c>
      <c r="R483" s="25">
        <v>1.1569</v>
      </c>
      <c r="S483" s="25">
        <v>40.93</v>
      </c>
      <c r="T483" s="20">
        <v>44609</v>
      </c>
      <c r="U483" s="43">
        <v>2.8094999999999999</v>
      </c>
      <c r="V483" s="43">
        <v>113.49</v>
      </c>
    </row>
    <row r="484" spans="1:22">
      <c r="A484" s="20">
        <v>44452</v>
      </c>
      <c r="B484" s="25">
        <v>69.22</v>
      </c>
      <c r="C484" s="25">
        <v>2.1539999999999999</v>
      </c>
      <c r="D484" s="25">
        <v>41.11</v>
      </c>
      <c r="E484" s="25">
        <v>40.840000000000003</v>
      </c>
      <c r="Q484" s="15">
        <v>44026</v>
      </c>
      <c r="R484" s="25">
        <v>1.1972</v>
      </c>
      <c r="S484" s="25">
        <v>40.409999999999997</v>
      </c>
      <c r="T484" s="20">
        <v>44610</v>
      </c>
      <c r="U484" s="43">
        <v>2.8283</v>
      </c>
      <c r="V484" s="43">
        <v>116.55</v>
      </c>
    </row>
    <row r="485" spans="1:22">
      <c r="A485" s="20">
        <v>44453</v>
      </c>
      <c r="B485" s="25">
        <v>68.41</v>
      </c>
      <c r="C485" s="25">
        <v>2.13</v>
      </c>
      <c r="D485" s="25">
        <v>40.770000000000003</v>
      </c>
      <c r="E485" s="25">
        <v>40.94</v>
      </c>
      <c r="Q485" s="15">
        <v>44025</v>
      </c>
      <c r="R485" s="25">
        <v>1.1992</v>
      </c>
      <c r="S485" s="25">
        <v>40.28</v>
      </c>
      <c r="T485" s="20">
        <v>44613</v>
      </c>
      <c r="U485" s="43">
        <v>2.7959999999999998</v>
      </c>
      <c r="V485" s="43">
        <v>119.78</v>
      </c>
    </row>
    <row r="486" spans="1:22">
      <c r="A486" s="20">
        <v>44454</v>
      </c>
      <c r="B486" s="25">
        <v>69.17</v>
      </c>
      <c r="C486" s="25">
        <v>2.1320999999999999</v>
      </c>
      <c r="D486" s="25">
        <v>40.75</v>
      </c>
      <c r="E486" s="25">
        <v>40.869999999999997</v>
      </c>
      <c r="Q486" s="15">
        <v>44022</v>
      </c>
      <c r="R486" s="25">
        <v>1.2983</v>
      </c>
      <c r="S486" s="25">
        <v>40.58</v>
      </c>
      <c r="T486" s="20">
        <v>44614</v>
      </c>
      <c r="U486" s="43">
        <v>2.8119000000000001</v>
      </c>
      <c r="V486" s="43">
        <v>108.82</v>
      </c>
    </row>
    <row r="487" spans="1:22">
      <c r="A487" s="20">
        <v>44455</v>
      </c>
      <c r="B487" s="25">
        <v>68.3</v>
      </c>
      <c r="C487" s="25">
        <v>2.0996999999999999</v>
      </c>
      <c r="D487" s="25">
        <v>40.869999999999997</v>
      </c>
      <c r="E487" s="25">
        <v>40.81</v>
      </c>
      <c r="Q487" s="15">
        <v>44021</v>
      </c>
      <c r="R487" s="25">
        <v>1.2904</v>
      </c>
      <c r="S487" s="25">
        <v>39.9</v>
      </c>
      <c r="T487" s="20">
        <v>44615</v>
      </c>
      <c r="U487" s="43">
        <v>2.8542999999999998</v>
      </c>
      <c r="V487" s="43">
        <v>107.14</v>
      </c>
    </row>
    <row r="488" spans="1:22">
      <c r="A488" s="20">
        <v>44456</v>
      </c>
      <c r="B488" s="25">
        <v>69.41</v>
      </c>
      <c r="C488" s="25">
        <v>2.1539999999999999</v>
      </c>
      <c r="D488" s="25">
        <v>40.840000000000003</v>
      </c>
      <c r="E488" s="25">
        <v>41.08</v>
      </c>
      <c r="Q488" s="15">
        <v>44020</v>
      </c>
      <c r="R488" s="25">
        <v>1.2709999999999999</v>
      </c>
      <c r="S488" s="25">
        <v>40.869999999999997</v>
      </c>
      <c r="T488" s="20">
        <v>44616</v>
      </c>
      <c r="U488" s="43">
        <v>2.8759999999999999</v>
      </c>
      <c r="V488" s="43">
        <v>109.3</v>
      </c>
    </row>
    <row r="489" spans="1:22">
      <c r="A489" s="20">
        <v>44459</v>
      </c>
      <c r="B489" s="25">
        <v>69.900000000000006</v>
      </c>
      <c r="C489" s="25">
        <v>2.1608999999999998</v>
      </c>
      <c r="D489" s="25">
        <v>40.94</v>
      </c>
      <c r="E489" s="25">
        <v>41.08</v>
      </c>
      <c r="Q489" s="15">
        <v>44019</v>
      </c>
      <c r="R489" s="25">
        <v>1.2575000000000001</v>
      </c>
      <c r="S489" s="25">
        <v>40.61</v>
      </c>
      <c r="T489" s="20">
        <v>44617</v>
      </c>
      <c r="U489" s="43">
        <v>2.9165000000000001</v>
      </c>
      <c r="V489" s="43">
        <v>102.67</v>
      </c>
    </row>
    <row r="490" spans="1:22">
      <c r="A490" s="20">
        <v>44460</v>
      </c>
      <c r="B490" s="25">
        <v>69.91</v>
      </c>
      <c r="C490" s="25">
        <v>2.1118999999999999</v>
      </c>
      <c r="D490" s="25">
        <v>40.869999999999997</v>
      </c>
      <c r="E490" s="25">
        <v>40.67</v>
      </c>
      <c r="Q490" s="15">
        <v>44018</v>
      </c>
      <c r="R490" s="25">
        <v>1.2219</v>
      </c>
      <c r="S490" s="25">
        <v>40.630000000000003</v>
      </c>
      <c r="T490" s="20">
        <v>44620</v>
      </c>
      <c r="U490" s="43">
        <v>2.8740999999999999</v>
      </c>
      <c r="V490" s="43">
        <v>99.91</v>
      </c>
    </row>
    <row r="491" spans="1:22">
      <c r="A491" s="20">
        <v>44461</v>
      </c>
      <c r="B491" s="25">
        <v>71.13</v>
      </c>
      <c r="C491" s="25">
        <v>2.1438000000000001</v>
      </c>
      <c r="D491" s="25">
        <v>40.81</v>
      </c>
      <c r="E491" s="25">
        <v>40.590000000000003</v>
      </c>
      <c r="Q491" s="15">
        <v>44015</v>
      </c>
      <c r="R491" s="25">
        <v>1.2149000000000001</v>
      </c>
      <c r="S491" s="25">
        <v>40.65</v>
      </c>
      <c r="T491" s="20">
        <v>44621</v>
      </c>
      <c r="U491" s="43">
        <v>2.9325000000000001</v>
      </c>
      <c r="V491" s="43">
        <v>98.02</v>
      </c>
    </row>
    <row r="492" spans="1:22">
      <c r="A492" s="20">
        <v>44462</v>
      </c>
      <c r="B492" s="25">
        <v>71.14</v>
      </c>
      <c r="C492" s="25">
        <v>2.1269</v>
      </c>
      <c r="D492" s="25">
        <v>41.08</v>
      </c>
      <c r="E492" s="25">
        <v>40.67</v>
      </c>
      <c r="Q492" s="15">
        <v>44014</v>
      </c>
      <c r="R492" s="25">
        <v>1.1732</v>
      </c>
      <c r="S492" s="25">
        <v>39.86</v>
      </c>
      <c r="T492" s="20">
        <v>44622</v>
      </c>
      <c r="U492" s="43">
        <v>3.0886999999999998</v>
      </c>
      <c r="V492" s="43">
        <v>105.32</v>
      </c>
    </row>
    <row r="493" spans="1:22">
      <c r="A493" s="20">
        <v>44463</v>
      </c>
      <c r="B493" s="25">
        <v>70.86</v>
      </c>
      <c r="C493" s="25">
        <v>2.1156999999999999</v>
      </c>
      <c r="D493" s="25">
        <v>41.08</v>
      </c>
      <c r="E493" s="25">
        <v>40.93</v>
      </c>
      <c r="Q493" s="15">
        <v>44013</v>
      </c>
      <c r="R493" s="25">
        <v>1.1367</v>
      </c>
      <c r="S493" s="25">
        <v>38.31</v>
      </c>
      <c r="T493" s="20">
        <v>44623</v>
      </c>
      <c r="U493" s="43">
        <v>3.3083</v>
      </c>
      <c r="V493" s="43">
        <v>105.99</v>
      </c>
    </row>
    <row r="494" spans="1:22">
      <c r="A494" s="20">
        <v>44466</v>
      </c>
      <c r="B494" s="25">
        <v>70.14</v>
      </c>
      <c r="C494" s="25">
        <v>2.0602999999999998</v>
      </c>
      <c r="D494" s="25">
        <v>40.67</v>
      </c>
      <c r="E494" s="25">
        <v>40.409999999999997</v>
      </c>
      <c r="Q494" s="15">
        <v>44012</v>
      </c>
      <c r="R494" s="25">
        <v>1.1188</v>
      </c>
      <c r="S494" s="25">
        <v>38.33</v>
      </c>
      <c r="T494" s="20">
        <v>44624</v>
      </c>
      <c r="U494" s="43">
        <v>3.2844000000000002</v>
      </c>
      <c r="V494" s="43">
        <v>108.73</v>
      </c>
    </row>
    <row r="495" spans="1:22">
      <c r="A495" s="20">
        <v>44467</v>
      </c>
      <c r="B495" s="25">
        <v>70.27</v>
      </c>
      <c r="C495" s="25">
        <v>2.0598000000000001</v>
      </c>
      <c r="D495" s="25">
        <v>40.590000000000003</v>
      </c>
      <c r="E495" s="25">
        <v>40.28</v>
      </c>
      <c r="Q495" s="15">
        <v>44011</v>
      </c>
      <c r="R495" s="25">
        <v>1.2099</v>
      </c>
      <c r="S495" s="25">
        <v>38.22</v>
      </c>
      <c r="T495" s="20">
        <v>44627</v>
      </c>
      <c r="U495" s="43">
        <v>3.544</v>
      </c>
      <c r="V495" s="43">
        <v>108.5</v>
      </c>
    </row>
    <row r="496" spans="1:22">
      <c r="A496" s="20">
        <v>44468</v>
      </c>
      <c r="B496" s="25">
        <v>70.849999999999994</v>
      </c>
      <c r="C496" s="25">
        <v>2.0836999999999999</v>
      </c>
      <c r="D496" s="25">
        <v>40.67</v>
      </c>
      <c r="E496" s="25">
        <v>40.58</v>
      </c>
      <c r="Q496" s="15">
        <v>44008</v>
      </c>
      <c r="R496" s="25">
        <v>1.2102999999999999</v>
      </c>
      <c r="S496" s="25">
        <v>38.25</v>
      </c>
      <c r="T496" s="20">
        <v>44628</v>
      </c>
      <c r="U496" s="43">
        <v>3.5720999999999998</v>
      </c>
      <c r="V496" s="43">
        <v>110.22</v>
      </c>
    </row>
    <row r="497" spans="1:22">
      <c r="A497" s="20">
        <v>44469</v>
      </c>
      <c r="B497" s="25">
        <v>71.16</v>
      </c>
      <c r="C497" s="25">
        <v>2.1261000000000001</v>
      </c>
      <c r="D497" s="25">
        <v>40.93</v>
      </c>
      <c r="E497" s="25">
        <v>39.9</v>
      </c>
      <c r="Q497" s="15">
        <v>44007</v>
      </c>
      <c r="R497" s="25">
        <v>1.1950000000000001</v>
      </c>
      <c r="S497" s="25">
        <v>38.130000000000003</v>
      </c>
      <c r="T497" s="20">
        <v>44629</v>
      </c>
      <c r="U497" s="43">
        <v>3.6825999999999999</v>
      </c>
      <c r="V497" s="43">
        <v>109.54</v>
      </c>
    </row>
    <row r="498" spans="1:22">
      <c r="A498" s="20">
        <v>44470</v>
      </c>
      <c r="B498" s="25">
        <v>69.3</v>
      </c>
      <c r="C498" s="25">
        <v>2.1377000000000002</v>
      </c>
      <c r="D498" s="25">
        <v>40.409999999999997</v>
      </c>
      <c r="E498" s="25">
        <v>40.869999999999997</v>
      </c>
      <c r="Q498" s="15">
        <v>44006</v>
      </c>
      <c r="R498" s="25">
        <v>1.2136</v>
      </c>
      <c r="S498" s="25">
        <v>38.659999999999997</v>
      </c>
      <c r="T498" s="20">
        <v>44630</v>
      </c>
      <c r="U498" s="43">
        <v>3.2938000000000001</v>
      </c>
      <c r="V498" s="43">
        <v>109.88</v>
      </c>
    </row>
    <row r="499" spans="1:22">
      <c r="A499" s="20">
        <v>44473</v>
      </c>
      <c r="B499" s="25">
        <v>71.599999999999994</v>
      </c>
      <c r="C499" s="25">
        <v>2.17</v>
      </c>
      <c r="D499" s="25">
        <v>40.28</v>
      </c>
      <c r="E499" s="25">
        <v>40.61</v>
      </c>
      <c r="Q499" s="15">
        <v>44005</v>
      </c>
      <c r="R499" s="25">
        <v>1.149</v>
      </c>
      <c r="S499" s="25">
        <v>38.76</v>
      </c>
      <c r="T499" s="20">
        <v>44631</v>
      </c>
      <c r="U499" s="43">
        <v>3.1566999999999998</v>
      </c>
      <c r="V499" s="43">
        <v>108.5</v>
      </c>
    </row>
    <row r="500" spans="1:22">
      <c r="A500" s="20">
        <v>44474</v>
      </c>
      <c r="B500" s="25">
        <v>71.58</v>
      </c>
      <c r="C500" s="25">
        <v>2.1475</v>
      </c>
      <c r="D500" s="25">
        <v>40.58</v>
      </c>
      <c r="E500" s="25">
        <v>40.630000000000003</v>
      </c>
      <c r="Q500" s="15">
        <v>44004</v>
      </c>
      <c r="R500" s="25">
        <v>1.1193</v>
      </c>
      <c r="S500" s="25">
        <v>38.479999999999997</v>
      </c>
      <c r="T500" s="20">
        <v>44634</v>
      </c>
      <c r="U500" s="43">
        <v>3.3121</v>
      </c>
      <c r="V500" s="43">
        <v>108.28</v>
      </c>
    </row>
    <row r="501" spans="1:22">
      <c r="A501" s="20">
        <v>44475</v>
      </c>
      <c r="B501" s="25">
        <v>71.540000000000006</v>
      </c>
      <c r="C501" s="25">
        <v>2.1749999999999998</v>
      </c>
      <c r="D501" s="25">
        <v>39.9</v>
      </c>
      <c r="E501" s="25">
        <v>40.65</v>
      </c>
      <c r="Q501" s="15">
        <v>44001</v>
      </c>
      <c r="R501" s="25">
        <v>1.1183000000000001</v>
      </c>
      <c r="S501" s="25">
        <v>38.19</v>
      </c>
      <c r="T501" s="20">
        <v>44635</v>
      </c>
      <c r="U501" s="43">
        <v>3.1339000000000001</v>
      </c>
      <c r="V501" s="43">
        <v>107.74</v>
      </c>
    </row>
    <row r="502" spans="1:22">
      <c r="A502" s="20">
        <v>44476</v>
      </c>
      <c r="B502" s="25">
        <v>71.13</v>
      </c>
      <c r="C502" s="25">
        <v>2.194</v>
      </c>
      <c r="D502" s="25">
        <v>40.869999999999997</v>
      </c>
      <c r="E502" s="25">
        <v>39.86</v>
      </c>
      <c r="Q502" s="15">
        <v>44000</v>
      </c>
      <c r="R502" s="25">
        <v>1.0667</v>
      </c>
      <c r="S502" s="25">
        <v>37.840000000000003</v>
      </c>
      <c r="T502" s="20">
        <v>44636</v>
      </c>
      <c r="U502" s="43">
        <v>2.9657</v>
      </c>
      <c r="V502" s="43">
        <v>104.93</v>
      </c>
    </row>
    <row r="503" spans="1:22">
      <c r="A503" s="20">
        <v>44477</v>
      </c>
      <c r="B503" s="25">
        <v>75.78</v>
      </c>
      <c r="C503" s="25">
        <v>2.25</v>
      </c>
      <c r="D503" s="25">
        <v>40.61</v>
      </c>
      <c r="E503" s="25">
        <v>38.31</v>
      </c>
      <c r="Q503" s="15">
        <v>43999</v>
      </c>
      <c r="R503" s="25">
        <v>1.0785</v>
      </c>
      <c r="S503" s="25">
        <v>38.03</v>
      </c>
      <c r="T503" s="20">
        <v>44637</v>
      </c>
      <c r="U503" s="43">
        <v>2.952</v>
      </c>
      <c r="V503" s="43">
        <v>89.06</v>
      </c>
    </row>
    <row r="504" spans="1:22">
      <c r="A504" s="20">
        <v>44480</v>
      </c>
      <c r="B504" s="25">
        <v>77.44</v>
      </c>
      <c r="C504" s="25">
        <v>2.3085</v>
      </c>
      <c r="D504" s="25">
        <v>40.630000000000003</v>
      </c>
      <c r="E504" s="25">
        <v>38.33</v>
      </c>
      <c r="Q504" s="15">
        <v>43998</v>
      </c>
      <c r="R504" s="25">
        <v>1.026</v>
      </c>
      <c r="S504" s="25">
        <v>37.42</v>
      </c>
      <c r="T504" s="20">
        <v>44638</v>
      </c>
      <c r="U504" s="43">
        <v>3.1821999999999999</v>
      </c>
      <c r="V504" s="43">
        <v>102.58</v>
      </c>
    </row>
    <row r="505" spans="1:22">
      <c r="A505" s="20">
        <v>44481</v>
      </c>
      <c r="B505" s="25">
        <v>78.599999999999994</v>
      </c>
      <c r="C505" s="25">
        <v>2.3578999999999999</v>
      </c>
      <c r="D505" s="25">
        <v>40.65</v>
      </c>
      <c r="E505" s="25">
        <v>38.22</v>
      </c>
      <c r="Q505" s="15">
        <v>43997</v>
      </c>
      <c r="R505" s="25">
        <v>1.0177</v>
      </c>
      <c r="S505" s="25">
        <v>36.93</v>
      </c>
      <c r="T505" s="20">
        <v>44641</v>
      </c>
      <c r="U505" s="43">
        <v>3.2059000000000002</v>
      </c>
      <c r="V505" s="43">
        <v>101.44</v>
      </c>
    </row>
    <row r="506" spans="1:22">
      <c r="A506" s="20">
        <v>44482</v>
      </c>
      <c r="B506" s="25">
        <v>77.31</v>
      </c>
      <c r="C506" s="25">
        <v>2.3081999999999998</v>
      </c>
      <c r="D506" s="25">
        <v>39.86</v>
      </c>
      <c r="E506" s="25">
        <v>38.25</v>
      </c>
      <c r="Q506" s="15">
        <v>43994</v>
      </c>
      <c r="R506" s="25">
        <v>1.0648</v>
      </c>
      <c r="S506" s="25">
        <v>36.97</v>
      </c>
      <c r="T506" s="20">
        <v>44642</v>
      </c>
      <c r="U506" s="43">
        <v>3.3378999999999999</v>
      </c>
      <c r="V506" s="43">
        <v>96.73</v>
      </c>
    </row>
    <row r="507" spans="1:22">
      <c r="A507" s="20">
        <v>44483</v>
      </c>
      <c r="B507" s="25">
        <v>78.03</v>
      </c>
      <c r="C507" s="25">
        <v>2.3344</v>
      </c>
      <c r="D507" s="25">
        <v>38.31</v>
      </c>
      <c r="E507" s="25">
        <v>38.130000000000003</v>
      </c>
      <c r="Q507" s="15">
        <v>43993</v>
      </c>
      <c r="R507" s="25">
        <v>1.0518000000000001</v>
      </c>
      <c r="S507" s="25">
        <v>37.340000000000003</v>
      </c>
      <c r="T507" s="20">
        <v>44643</v>
      </c>
      <c r="U507" s="43">
        <v>3.3046000000000002</v>
      </c>
      <c r="V507" s="43">
        <v>96.68</v>
      </c>
    </row>
    <row r="508" spans="1:22">
      <c r="A508" s="20">
        <v>44484</v>
      </c>
      <c r="B508" s="25">
        <v>78.739999999999995</v>
      </c>
      <c r="C508" s="25">
        <v>2.3662000000000001</v>
      </c>
      <c r="D508" s="25">
        <v>38.33</v>
      </c>
      <c r="E508" s="25">
        <v>38.659999999999997</v>
      </c>
      <c r="Q508" s="15">
        <v>43992</v>
      </c>
      <c r="R508" s="25">
        <v>1.0618000000000001</v>
      </c>
      <c r="S508" s="25">
        <v>37.99</v>
      </c>
      <c r="T508" s="20">
        <v>44644</v>
      </c>
      <c r="U508" s="43">
        <v>3.4195000000000002</v>
      </c>
      <c r="V508" s="43">
        <v>98.35</v>
      </c>
    </row>
    <row r="509" spans="1:22">
      <c r="A509" s="20">
        <v>44487</v>
      </c>
      <c r="B509" s="25">
        <v>79.58</v>
      </c>
      <c r="C509" s="25">
        <v>2.3778999999999999</v>
      </c>
      <c r="D509" s="25">
        <v>38.22</v>
      </c>
      <c r="E509" s="25">
        <v>38.76</v>
      </c>
      <c r="Q509" s="15">
        <v>43991</v>
      </c>
      <c r="R509" s="25">
        <v>1.0438000000000001</v>
      </c>
      <c r="S509" s="25">
        <v>37.18</v>
      </c>
      <c r="T509" s="20">
        <v>44645</v>
      </c>
      <c r="U509" s="43">
        <v>3.3689</v>
      </c>
      <c r="V509" s="43">
        <v>95.63</v>
      </c>
    </row>
    <row r="510" spans="1:22">
      <c r="A510" s="20">
        <v>44488</v>
      </c>
      <c r="B510" s="25">
        <v>79.62</v>
      </c>
      <c r="C510" s="25">
        <v>2.3828999999999998</v>
      </c>
      <c r="D510" s="25">
        <v>38.25</v>
      </c>
      <c r="E510" s="25">
        <v>38.479999999999997</v>
      </c>
      <c r="Q510" s="15">
        <v>43990</v>
      </c>
      <c r="R510" s="25">
        <v>1.0549999999999999</v>
      </c>
      <c r="S510" s="25">
        <v>38.17</v>
      </c>
      <c r="T510" s="20">
        <v>44648</v>
      </c>
      <c r="U510" s="43">
        <v>3.4363000000000001</v>
      </c>
      <c r="V510" s="43">
        <v>99.7</v>
      </c>
    </row>
    <row r="511" spans="1:22">
      <c r="A511" s="20">
        <v>44489</v>
      </c>
      <c r="B511" s="25">
        <v>79.53</v>
      </c>
      <c r="C511" s="25">
        <v>2.4055</v>
      </c>
      <c r="D511" s="25">
        <v>38.130000000000003</v>
      </c>
      <c r="E511" s="25">
        <v>38.19</v>
      </c>
      <c r="Q511" s="15">
        <v>43987</v>
      </c>
      <c r="R511" s="25">
        <v>1.0426</v>
      </c>
      <c r="S511" s="25">
        <v>37.369999999999997</v>
      </c>
      <c r="T511" s="20">
        <v>44649</v>
      </c>
      <c r="U511" s="43">
        <v>3.1962000000000002</v>
      </c>
      <c r="V511" s="43">
        <v>101.89</v>
      </c>
    </row>
    <row r="512" spans="1:22">
      <c r="A512" s="20">
        <v>44490</v>
      </c>
      <c r="B512" s="25">
        <v>80.05</v>
      </c>
      <c r="C512" s="25">
        <v>2.3824000000000001</v>
      </c>
      <c r="D512" s="25">
        <v>38.659999999999997</v>
      </c>
      <c r="E512" s="25">
        <v>37.840000000000003</v>
      </c>
      <c r="Q512" s="15">
        <v>43986</v>
      </c>
      <c r="R512" s="25">
        <v>0.98380000000000001</v>
      </c>
      <c r="S512" s="25">
        <v>37.270000000000003</v>
      </c>
      <c r="T512" s="20">
        <v>44650</v>
      </c>
      <c r="U512" s="43">
        <v>3.1766999999999999</v>
      </c>
      <c r="V512" s="43">
        <v>103.33</v>
      </c>
    </row>
    <row r="513" spans="1:22">
      <c r="A513" s="20">
        <v>44491</v>
      </c>
      <c r="B513" s="25">
        <v>80.55</v>
      </c>
      <c r="C513" s="25">
        <v>2.4251</v>
      </c>
      <c r="D513" s="25">
        <v>38.76</v>
      </c>
      <c r="E513" s="25">
        <v>38.03</v>
      </c>
      <c r="Q513" s="15">
        <v>43985</v>
      </c>
      <c r="R513" s="25">
        <v>0.93689999999999996</v>
      </c>
      <c r="S513" s="25">
        <v>36.82</v>
      </c>
      <c r="T513" s="20">
        <v>44651</v>
      </c>
      <c r="U513" s="43">
        <v>3.2864</v>
      </c>
      <c r="V513" s="43">
        <v>103.95</v>
      </c>
    </row>
    <row r="514" spans="1:22">
      <c r="A514" s="20">
        <v>44494</v>
      </c>
      <c r="B514" s="25">
        <v>80.56</v>
      </c>
      <c r="C514" s="25">
        <v>2.4222999999999999</v>
      </c>
      <c r="D514" s="25">
        <v>38.479999999999997</v>
      </c>
      <c r="E514" s="25">
        <v>37.42</v>
      </c>
      <c r="Q514" s="15">
        <v>43984</v>
      </c>
      <c r="R514" s="25">
        <v>0.88180000000000003</v>
      </c>
      <c r="S514" s="25">
        <v>35.54</v>
      </c>
      <c r="T514" s="20">
        <v>44652</v>
      </c>
      <c r="U514" s="43">
        <v>3.1509</v>
      </c>
      <c r="V514" s="43">
        <v>101.44</v>
      </c>
    </row>
    <row r="515" spans="1:22">
      <c r="A515" s="20">
        <v>44495</v>
      </c>
      <c r="B515" s="25">
        <v>80.86</v>
      </c>
      <c r="C515" s="25">
        <v>2.4176000000000002</v>
      </c>
      <c r="D515" s="25">
        <v>38.19</v>
      </c>
      <c r="E515" s="25">
        <v>36.93</v>
      </c>
      <c r="Q515" s="15">
        <v>43983</v>
      </c>
      <c r="R515" s="25">
        <v>0.93630000000000002</v>
      </c>
      <c r="S515" s="25">
        <v>28.53</v>
      </c>
      <c r="T515" s="20">
        <v>44655</v>
      </c>
      <c r="U515" s="43">
        <v>3.1535000000000002</v>
      </c>
      <c r="V515" s="43">
        <v>101.5</v>
      </c>
    </row>
    <row r="516" spans="1:22">
      <c r="A516" s="20">
        <v>44496</v>
      </c>
      <c r="B516" s="25">
        <v>81.23</v>
      </c>
      <c r="C516" s="25">
        <v>2.4468999999999999</v>
      </c>
      <c r="D516" s="25">
        <v>37.840000000000003</v>
      </c>
      <c r="E516" s="25">
        <v>36.97</v>
      </c>
      <c r="Q516" s="15">
        <v>43980</v>
      </c>
      <c r="R516" s="25">
        <v>0.92420000000000002</v>
      </c>
      <c r="S516" s="25">
        <v>28.44</v>
      </c>
      <c r="T516" s="20">
        <v>44656</v>
      </c>
      <c r="U516" s="43">
        <v>3.1981000000000002</v>
      </c>
      <c r="V516" s="43">
        <v>102.06</v>
      </c>
    </row>
    <row r="517" spans="1:22">
      <c r="A517" s="20">
        <v>44497</v>
      </c>
      <c r="B517" s="25">
        <v>80.930000000000007</v>
      </c>
      <c r="C517" s="25">
        <v>2.419</v>
      </c>
      <c r="D517" s="25">
        <v>38.03</v>
      </c>
      <c r="E517" s="25">
        <v>37.340000000000003</v>
      </c>
      <c r="Q517" s="15">
        <v>43979</v>
      </c>
      <c r="R517" s="25">
        <v>0.95220000000000005</v>
      </c>
      <c r="S517" s="25">
        <v>28.35</v>
      </c>
      <c r="T517" s="20">
        <v>44657</v>
      </c>
      <c r="U517" s="43">
        <v>3.1648999999999998</v>
      </c>
      <c r="V517" s="43">
        <v>101.54</v>
      </c>
    </row>
    <row r="518" spans="1:22">
      <c r="A518" s="20">
        <v>44498</v>
      </c>
      <c r="B518" s="25">
        <v>81.290000000000006</v>
      </c>
      <c r="C518" s="25">
        <v>2.4156</v>
      </c>
      <c r="D518" s="25">
        <v>37.42</v>
      </c>
      <c r="E518" s="25">
        <v>37.99</v>
      </c>
      <c r="Q518" s="15">
        <v>43978</v>
      </c>
      <c r="R518" s="25">
        <v>0.93140000000000001</v>
      </c>
      <c r="S518" s="25">
        <v>28.58</v>
      </c>
      <c r="T518" s="20">
        <v>44658</v>
      </c>
      <c r="U518" s="43">
        <v>3.0461999999999998</v>
      </c>
      <c r="V518" s="43">
        <v>100.66</v>
      </c>
    </row>
    <row r="519" spans="1:22">
      <c r="A519" s="20">
        <v>44501</v>
      </c>
      <c r="B519" s="25">
        <v>65.25</v>
      </c>
      <c r="C519" s="25">
        <v>2.4426999999999999</v>
      </c>
      <c r="D519" s="25">
        <v>36.93</v>
      </c>
      <c r="E519" s="25">
        <v>37.18</v>
      </c>
      <c r="Q519" s="15">
        <v>43977</v>
      </c>
      <c r="R519" s="25">
        <v>0.87690000000000001</v>
      </c>
      <c r="S519" s="25">
        <v>28.36</v>
      </c>
      <c r="T519" s="20">
        <v>44659</v>
      </c>
      <c r="U519" s="43">
        <v>3.0398000000000001</v>
      </c>
      <c r="V519" s="43">
        <v>101.29</v>
      </c>
    </row>
    <row r="520" spans="1:22">
      <c r="A520" s="20">
        <v>44502</v>
      </c>
      <c r="B520" s="25">
        <v>81.459999999999994</v>
      </c>
      <c r="C520" s="25">
        <v>2.4472</v>
      </c>
      <c r="D520" s="25">
        <v>36.97</v>
      </c>
      <c r="E520" s="25">
        <v>38.17</v>
      </c>
      <c r="Q520" s="15">
        <v>43973</v>
      </c>
      <c r="R520" s="25">
        <v>0.90129999999999999</v>
      </c>
      <c r="S520" s="25">
        <v>28.53</v>
      </c>
      <c r="T520" s="20">
        <v>44662</v>
      </c>
      <c r="U520" s="43">
        <v>3.1316000000000002</v>
      </c>
      <c r="V520" s="43">
        <v>101.34</v>
      </c>
    </row>
    <row r="521" spans="1:22">
      <c r="A521" s="20">
        <v>44503</v>
      </c>
      <c r="B521" s="25">
        <v>81.17</v>
      </c>
      <c r="C521" s="25">
        <v>2.3792</v>
      </c>
      <c r="D521" s="25">
        <v>37.340000000000003</v>
      </c>
      <c r="E521" s="25">
        <v>37.369999999999997</v>
      </c>
      <c r="Q521" s="15">
        <v>43972</v>
      </c>
      <c r="R521" s="25">
        <v>0.82150000000000001</v>
      </c>
      <c r="S521" s="25">
        <v>28.4</v>
      </c>
      <c r="T521" s="20">
        <v>44663</v>
      </c>
      <c r="U521" s="43">
        <v>3.0030999999999999</v>
      </c>
      <c r="V521" s="43">
        <v>101.67</v>
      </c>
    </row>
    <row r="522" spans="1:22">
      <c r="A522" s="20">
        <v>44504</v>
      </c>
      <c r="B522" s="25">
        <v>81.19</v>
      </c>
      <c r="C522" s="25">
        <v>2.3589000000000002</v>
      </c>
      <c r="D522" s="25">
        <v>37.99</v>
      </c>
      <c r="E522" s="25">
        <v>37.270000000000003</v>
      </c>
      <c r="Q522" s="15">
        <v>43971</v>
      </c>
      <c r="R522" s="25">
        <v>0.76629999999999998</v>
      </c>
      <c r="S522" s="25">
        <v>27.86</v>
      </c>
      <c r="T522" s="20">
        <v>44664</v>
      </c>
      <c r="U522" s="43">
        <v>3.1537999999999999</v>
      </c>
      <c r="V522" s="43">
        <v>101.64</v>
      </c>
    </row>
    <row r="523" spans="1:22">
      <c r="A523" s="20">
        <v>44505</v>
      </c>
      <c r="B523" s="25">
        <v>80.16</v>
      </c>
      <c r="C523" s="25">
        <v>2.3696999999999999</v>
      </c>
      <c r="D523" s="25">
        <v>37.18</v>
      </c>
      <c r="E523" s="25">
        <v>36.82</v>
      </c>
      <c r="Q523" s="15">
        <v>43970</v>
      </c>
      <c r="R523" s="25">
        <v>0.78369999999999995</v>
      </c>
      <c r="S523" s="25">
        <v>27.72</v>
      </c>
      <c r="T523" s="20">
        <v>44665</v>
      </c>
      <c r="U523" s="43">
        <v>3.2913000000000001</v>
      </c>
      <c r="V523" s="43">
        <v>104.67</v>
      </c>
    </row>
    <row r="524" spans="1:22">
      <c r="A524" s="20">
        <v>44508</v>
      </c>
      <c r="B524" s="25">
        <v>82.39</v>
      </c>
      <c r="C524" s="25">
        <v>2.4093</v>
      </c>
      <c r="D524" s="25">
        <v>38.17</v>
      </c>
      <c r="E524" s="25">
        <v>35.54</v>
      </c>
      <c r="Q524" s="15">
        <v>43969</v>
      </c>
      <c r="R524" s="25">
        <v>0.72719999999999996</v>
      </c>
      <c r="S524" s="25">
        <v>26.74</v>
      </c>
      <c r="T524" s="20">
        <v>44669</v>
      </c>
      <c r="U524" s="43">
        <v>3.3814000000000002</v>
      </c>
      <c r="V524" s="43">
        <v>102.11</v>
      </c>
    </row>
    <row r="525" spans="1:22">
      <c r="A525" s="20">
        <v>44509</v>
      </c>
      <c r="B525" s="25">
        <v>82.7</v>
      </c>
      <c r="C525" s="25">
        <v>2.4500999999999999</v>
      </c>
      <c r="D525" s="25">
        <v>37.369999999999997</v>
      </c>
      <c r="E525" s="25">
        <v>28.53</v>
      </c>
      <c r="Q525" s="15">
        <v>43966</v>
      </c>
      <c r="R525" s="25">
        <v>0.70399999999999996</v>
      </c>
      <c r="S525" s="25">
        <v>25.88</v>
      </c>
      <c r="T525" s="20">
        <v>44670</v>
      </c>
      <c r="U525" s="43">
        <v>3.3580000000000001</v>
      </c>
      <c r="V525" s="43">
        <v>106.97</v>
      </c>
    </row>
    <row r="526" spans="1:22">
      <c r="A526" s="20">
        <v>44510</v>
      </c>
      <c r="B526" s="25">
        <v>80.790000000000006</v>
      </c>
      <c r="C526" s="25">
        <v>2.3384999999999998</v>
      </c>
      <c r="D526" s="25">
        <v>37.270000000000003</v>
      </c>
      <c r="E526" s="25">
        <v>28.44</v>
      </c>
      <c r="Q526" s="15">
        <v>43965</v>
      </c>
      <c r="R526" s="25">
        <v>0.68489999999999995</v>
      </c>
      <c r="S526" s="25">
        <v>24.66</v>
      </c>
      <c r="T526" s="20">
        <v>44671</v>
      </c>
      <c r="U526" s="43">
        <v>3.2288999999999999</v>
      </c>
      <c r="V526" s="43">
        <v>107.38</v>
      </c>
    </row>
    <row r="527" spans="1:22">
      <c r="A527" s="20">
        <v>44511</v>
      </c>
      <c r="B527" s="25">
        <v>79.08</v>
      </c>
      <c r="C527" s="25">
        <v>2.2926000000000002</v>
      </c>
      <c r="D527" s="25">
        <v>36.82</v>
      </c>
      <c r="E527" s="25">
        <v>28.35</v>
      </c>
      <c r="Q527" s="15">
        <v>43964</v>
      </c>
      <c r="R527" s="25">
        <v>0.70009999999999994</v>
      </c>
      <c r="S527" s="25">
        <v>25.01</v>
      </c>
      <c r="T527" s="20">
        <v>44672</v>
      </c>
      <c r="U527" s="43">
        <v>3.2618</v>
      </c>
      <c r="V527" s="43">
        <v>108.62</v>
      </c>
    </row>
    <row r="528" spans="1:22">
      <c r="A528" s="20">
        <v>44512</v>
      </c>
      <c r="B528" s="25">
        <v>81.069999999999993</v>
      </c>
      <c r="C528" s="25">
        <v>2.3209</v>
      </c>
      <c r="D528" s="25">
        <v>35.54</v>
      </c>
      <c r="E528" s="25">
        <v>28.58</v>
      </c>
      <c r="Q528" s="15">
        <v>43963</v>
      </c>
      <c r="R528" s="25">
        <v>0.68210000000000004</v>
      </c>
      <c r="S528" s="25">
        <v>24.08</v>
      </c>
      <c r="T528" s="20">
        <v>44673</v>
      </c>
      <c r="U528" s="43">
        <v>3.3174999999999999</v>
      </c>
      <c r="V528" s="43">
        <v>103.57</v>
      </c>
    </row>
    <row r="529" spans="1:22">
      <c r="A529" s="20">
        <v>44515</v>
      </c>
      <c r="B529" s="25">
        <v>80.900000000000006</v>
      </c>
      <c r="C529" s="25">
        <v>2.3222</v>
      </c>
      <c r="D529" s="25">
        <v>28.53</v>
      </c>
      <c r="E529" s="25">
        <v>28.36</v>
      </c>
      <c r="Q529" s="15">
        <v>43962</v>
      </c>
      <c r="R529" s="25">
        <v>0.6875</v>
      </c>
      <c r="S529" s="25">
        <v>24.67</v>
      </c>
      <c r="T529" s="20">
        <v>44676</v>
      </c>
      <c r="U529" s="43">
        <v>3.286</v>
      </c>
      <c r="V529" s="43">
        <v>101.19</v>
      </c>
    </row>
    <row r="530" spans="1:22">
      <c r="A530" s="20">
        <v>44516</v>
      </c>
      <c r="B530" s="25">
        <v>82.01</v>
      </c>
      <c r="C530" s="25">
        <v>2.3752</v>
      </c>
      <c r="D530" s="25">
        <v>28.44</v>
      </c>
      <c r="E530" s="25">
        <v>28.53</v>
      </c>
      <c r="Q530" s="15">
        <v>43959</v>
      </c>
      <c r="R530" s="25">
        <v>0.62529999999999997</v>
      </c>
      <c r="S530" s="25">
        <v>23.72</v>
      </c>
      <c r="T530" s="20">
        <v>44677</v>
      </c>
      <c r="U530" s="43">
        <v>3.2206000000000001</v>
      </c>
      <c r="V530" s="43">
        <v>105.05</v>
      </c>
    </row>
    <row r="531" spans="1:22">
      <c r="A531" s="20">
        <v>44517</v>
      </c>
      <c r="B531" s="25">
        <v>81.099999999999994</v>
      </c>
      <c r="C531" s="25">
        <v>2.2646000000000002</v>
      </c>
      <c r="D531" s="25">
        <v>28.35</v>
      </c>
      <c r="E531" s="25">
        <v>28.4</v>
      </c>
      <c r="Q531" s="15">
        <v>43958</v>
      </c>
      <c r="R531" s="25">
        <v>0.72550000000000003</v>
      </c>
      <c r="S531" s="25">
        <v>24.2</v>
      </c>
      <c r="T531" s="20">
        <v>44678</v>
      </c>
      <c r="U531" s="43">
        <v>3.3109999999999999</v>
      </c>
      <c r="V531" s="43">
        <v>105.3</v>
      </c>
    </row>
    <row r="532" spans="1:22">
      <c r="A532" s="20">
        <v>44518</v>
      </c>
      <c r="B532" s="25">
        <v>79.37</v>
      </c>
      <c r="C532" s="25">
        <v>2.2806000000000002</v>
      </c>
      <c r="D532" s="25">
        <v>28.58</v>
      </c>
      <c r="E532" s="25">
        <v>27.86</v>
      </c>
      <c r="Q532" s="15">
        <v>43957</v>
      </c>
      <c r="R532" s="25">
        <v>0.76459999999999995</v>
      </c>
      <c r="S532" s="25">
        <v>24.79</v>
      </c>
      <c r="T532" s="20">
        <v>44679</v>
      </c>
      <c r="U532" s="43">
        <v>3.4135</v>
      </c>
      <c r="V532" s="43">
        <v>107.75</v>
      </c>
    </row>
    <row r="533" spans="1:22">
      <c r="A533" s="20">
        <v>44519</v>
      </c>
      <c r="B533" s="25">
        <v>80.319999999999993</v>
      </c>
      <c r="C533" s="25">
        <v>2.2685</v>
      </c>
      <c r="D533" s="25">
        <v>28.36</v>
      </c>
      <c r="E533" s="25">
        <v>27.72</v>
      </c>
      <c r="Q533" s="15">
        <v>43956</v>
      </c>
      <c r="R533" s="25">
        <v>0.75690000000000002</v>
      </c>
      <c r="S533" s="25">
        <v>21.2</v>
      </c>
      <c r="T533" s="20">
        <v>44680</v>
      </c>
      <c r="U533" s="43">
        <v>3.4759000000000002</v>
      </c>
      <c r="V533" s="43">
        <v>109.55</v>
      </c>
    </row>
    <row r="534" spans="1:22">
      <c r="A534" s="20">
        <v>44522</v>
      </c>
      <c r="B534" s="25">
        <v>78.900000000000006</v>
      </c>
      <c r="C534" s="25">
        <v>2.2761999999999998</v>
      </c>
      <c r="D534" s="25">
        <v>28.53</v>
      </c>
      <c r="E534" s="25">
        <v>26.74</v>
      </c>
      <c r="Q534" s="15">
        <v>43955</v>
      </c>
      <c r="R534" s="25">
        <v>0.72040000000000004</v>
      </c>
      <c r="S534" s="25">
        <v>20.66</v>
      </c>
      <c r="T534" s="20">
        <v>44683</v>
      </c>
      <c r="U534" s="43">
        <v>3.4424000000000001</v>
      </c>
      <c r="V534" s="43">
        <v>108.58</v>
      </c>
    </row>
    <row r="535" spans="1:22">
      <c r="A535" s="20">
        <v>44523</v>
      </c>
      <c r="B535" s="25">
        <v>79.400000000000006</v>
      </c>
      <c r="C535" s="25">
        <v>2.2936000000000001</v>
      </c>
      <c r="D535" s="25">
        <v>28.4</v>
      </c>
      <c r="E535" s="25">
        <v>25.88</v>
      </c>
      <c r="Q535" s="15">
        <v>43952</v>
      </c>
      <c r="R535" s="25">
        <v>0.72</v>
      </c>
      <c r="S535" s="25">
        <v>16.7</v>
      </c>
      <c r="T535" s="20">
        <v>44684</v>
      </c>
      <c r="U535" s="43">
        <v>3.5101</v>
      </c>
      <c r="V535" s="43">
        <v>107.44</v>
      </c>
    </row>
    <row r="536" spans="1:22">
      <c r="A536" s="20">
        <v>44524</v>
      </c>
      <c r="B536" s="25">
        <v>80.03</v>
      </c>
      <c r="C536" s="25">
        <v>2.2305000000000001</v>
      </c>
      <c r="D536" s="25">
        <v>27.86</v>
      </c>
      <c r="E536" s="25">
        <v>24.66</v>
      </c>
      <c r="Q536" s="15">
        <v>43951</v>
      </c>
      <c r="R536" s="25">
        <v>0.70330000000000004</v>
      </c>
      <c r="S536" s="25">
        <v>16.52</v>
      </c>
      <c r="T536" s="20">
        <v>44685</v>
      </c>
      <c r="U536" s="43">
        <v>3.5011999999999999</v>
      </c>
      <c r="V536" s="43">
        <v>108.5</v>
      </c>
    </row>
    <row r="537" spans="1:22">
      <c r="A537" s="20">
        <v>44525</v>
      </c>
      <c r="B537" s="25">
        <v>80.34</v>
      </c>
      <c r="C537" s="25">
        <v>2.2427000000000001</v>
      </c>
      <c r="D537" s="25">
        <v>27.72</v>
      </c>
      <c r="E537" s="25">
        <v>25.01</v>
      </c>
      <c r="Q537" s="15">
        <v>43950</v>
      </c>
      <c r="R537" s="25">
        <v>0.67730000000000001</v>
      </c>
      <c r="S537" s="25">
        <v>16.260000000000002</v>
      </c>
      <c r="T537" s="20">
        <v>44686</v>
      </c>
      <c r="U537" s="43">
        <v>3.6522999999999999</v>
      </c>
      <c r="V537" s="43">
        <v>108.66</v>
      </c>
    </row>
    <row r="538" spans="1:22">
      <c r="A538" s="20">
        <v>44526</v>
      </c>
      <c r="B538" s="25">
        <v>76.09</v>
      </c>
      <c r="C538" s="25">
        <v>2.1568999999999998</v>
      </c>
      <c r="D538" s="25">
        <v>26.74</v>
      </c>
      <c r="E538" s="25">
        <v>24.08</v>
      </c>
      <c r="Q538" s="15">
        <v>43949</v>
      </c>
      <c r="R538" s="25">
        <v>0.67800000000000005</v>
      </c>
      <c r="S538" s="25">
        <v>16.32</v>
      </c>
      <c r="T538" s="20">
        <v>44687</v>
      </c>
      <c r="U538" s="43">
        <v>3.6587000000000001</v>
      </c>
      <c r="V538" s="43">
        <v>108.67</v>
      </c>
    </row>
    <row r="539" spans="1:22">
      <c r="A539" s="20">
        <v>44529</v>
      </c>
      <c r="B539" s="25">
        <v>74.2</v>
      </c>
      <c r="C539" s="25">
        <v>2.2033</v>
      </c>
      <c r="D539" s="25">
        <v>25.88</v>
      </c>
      <c r="E539" s="25">
        <v>24.67</v>
      </c>
      <c r="Q539" s="15">
        <v>43948</v>
      </c>
      <c r="R539" s="25">
        <v>0.6482</v>
      </c>
      <c r="S539" s="25">
        <v>17.12</v>
      </c>
      <c r="T539" s="20">
        <v>44690</v>
      </c>
      <c r="U539" s="43">
        <v>3.7589999999999999</v>
      </c>
      <c r="V539" s="43">
        <v>108.54</v>
      </c>
    </row>
    <row r="540" spans="1:22">
      <c r="A540" s="20">
        <v>44530</v>
      </c>
      <c r="B540" s="25">
        <v>71.010000000000005</v>
      </c>
      <c r="C540" s="25">
        <v>2.2783000000000002</v>
      </c>
      <c r="D540" s="25">
        <v>24.66</v>
      </c>
      <c r="E540" s="25">
        <v>23.72</v>
      </c>
      <c r="Q540" s="15">
        <v>43945</v>
      </c>
      <c r="R540" s="25">
        <v>0.7016</v>
      </c>
      <c r="S540" s="25">
        <v>17.010000000000002</v>
      </c>
      <c r="T540" s="20">
        <v>44691</v>
      </c>
      <c r="U540" s="43">
        <v>3.6419000000000001</v>
      </c>
      <c r="V540" s="43">
        <v>108.65</v>
      </c>
    </row>
    <row r="541" spans="1:22">
      <c r="A541" s="20">
        <v>44531</v>
      </c>
      <c r="B541" s="25">
        <v>53.1</v>
      </c>
      <c r="C541" s="25">
        <v>2.2658999999999998</v>
      </c>
      <c r="D541" s="25">
        <v>25.01</v>
      </c>
      <c r="E541" s="25">
        <v>24.2</v>
      </c>
      <c r="Q541" s="15">
        <v>43944</v>
      </c>
      <c r="R541" s="25">
        <v>0.69159999999999999</v>
      </c>
      <c r="S541" s="25">
        <v>16.23</v>
      </c>
      <c r="T541" s="20">
        <v>44692</v>
      </c>
      <c r="U541" s="43">
        <v>3.5415000000000001</v>
      </c>
      <c r="V541" s="43">
        <v>109.19</v>
      </c>
    </row>
    <row r="542" spans="1:22">
      <c r="A542" s="20">
        <v>44532</v>
      </c>
      <c r="B542" s="25">
        <v>70.069999999999993</v>
      </c>
      <c r="C542" s="25">
        <v>1.9811000000000001</v>
      </c>
      <c r="D542" s="25">
        <v>24.08</v>
      </c>
      <c r="E542" s="25">
        <v>24.79</v>
      </c>
      <c r="Q542" s="15">
        <v>43943</v>
      </c>
      <c r="R542" s="25">
        <v>0.66279999999999994</v>
      </c>
      <c r="S542" s="25">
        <v>15.5</v>
      </c>
      <c r="T542" s="20">
        <v>44693</v>
      </c>
      <c r="U542" s="43">
        <v>3.6855000000000002</v>
      </c>
      <c r="V542" s="43">
        <v>109.28</v>
      </c>
    </row>
    <row r="543" spans="1:22">
      <c r="A543" s="20">
        <v>44533</v>
      </c>
      <c r="B543" s="25">
        <v>71.650000000000006</v>
      </c>
      <c r="C543" s="25">
        <v>2.0329999999999999</v>
      </c>
      <c r="D543" s="25">
        <v>24.67</v>
      </c>
      <c r="E543" s="25">
        <v>21.2</v>
      </c>
      <c r="Q543" s="15">
        <v>43942</v>
      </c>
      <c r="R543" s="25">
        <v>0.54649999999999999</v>
      </c>
      <c r="S543" s="25">
        <v>16.18</v>
      </c>
      <c r="T543" s="20">
        <v>44694</v>
      </c>
      <c r="U543" s="43">
        <v>3.7917000000000001</v>
      </c>
      <c r="V543" s="43">
        <v>109.26</v>
      </c>
    </row>
    <row r="544" spans="1:22">
      <c r="A544" s="20">
        <v>44536</v>
      </c>
      <c r="B544" s="25">
        <v>70.569999999999993</v>
      </c>
      <c r="C544" s="25">
        <v>1.9400999999999999</v>
      </c>
      <c r="D544" s="25">
        <v>23.72</v>
      </c>
      <c r="E544" s="25">
        <v>20.66</v>
      </c>
      <c r="Q544" s="15">
        <v>43941</v>
      </c>
      <c r="R544" s="25">
        <v>0.5927</v>
      </c>
      <c r="S544" s="25">
        <v>22.4</v>
      </c>
      <c r="T544" s="20">
        <v>44697</v>
      </c>
      <c r="U544" s="43">
        <v>3.9578000000000002</v>
      </c>
      <c r="V544" s="43">
        <v>114.41</v>
      </c>
    </row>
    <row r="545" spans="1:22">
      <c r="A545" s="20">
        <v>44537</v>
      </c>
      <c r="B545" s="25">
        <v>65.5</v>
      </c>
      <c r="C545" s="25">
        <v>1.9511000000000001</v>
      </c>
      <c r="D545" s="25">
        <v>24.2</v>
      </c>
      <c r="E545" s="25">
        <v>16.7</v>
      </c>
      <c r="Q545" s="15">
        <v>43938</v>
      </c>
      <c r="R545" s="25">
        <v>0.61680000000000001</v>
      </c>
      <c r="S545" s="25">
        <v>21.43</v>
      </c>
      <c r="T545" s="20">
        <v>44698</v>
      </c>
      <c r="U545" s="43">
        <v>3.8405</v>
      </c>
      <c r="V545" s="43">
        <v>114.62</v>
      </c>
    </row>
    <row r="546" spans="1:22">
      <c r="A546" s="20">
        <v>44538</v>
      </c>
      <c r="B546" s="25">
        <v>66.37</v>
      </c>
      <c r="C546" s="25">
        <v>1.9677</v>
      </c>
      <c r="D546" s="25">
        <v>24.79</v>
      </c>
      <c r="E546" s="25">
        <v>16.52</v>
      </c>
      <c r="Q546" s="15">
        <v>43937</v>
      </c>
      <c r="R546" s="25">
        <v>0.61360000000000003</v>
      </c>
      <c r="S546" s="25">
        <v>18.36</v>
      </c>
      <c r="T546" s="20">
        <v>44699</v>
      </c>
      <c r="U546" s="43">
        <v>3.7763</v>
      </c>
      <c r="V546" s="43">
        <v>117.15</v>
      </c>
    </row>
    <row r="547" spans="1:22">
      <c r="A547" s="20">
        <v>44539</v>
      </c>
      <c r="B547" s="25">
        <v>66.180000000000007</v>
      </c>
      <c r="C547" s="25">
        <v>1.9529000000000001</v>
      </c>
      <c r="D547" s="25">
        <v>21.2</v>
      </c>
      <c r="E547" s="25">
        <v>16.260000000000002</v>
      </c>
      <c r="Q547" s="15">
        <v>43936</v>
      </c>
      <c r="R547" s="25">
        <v>0.59799999999999998</v>
      </c>
      <c r="S547" s="25">
        <v>16.52</v>
      </c>
      <c r="T547" s="20">
        <v>44700</v>
      </c>
      <c r="U547" s="43">
        <v>3.5912999999999999</v>
      </c>
      <c r="V547" s="43">
        <v>117.47</v>
      </c>
    </row>
    <row r="548" spans="1:22">
      <c r="A548" s="20">
        <v>44540</v>
      </c>
      <c r="B548" s="25">
        <v>68.959999999999994</v>
      </c>
      <c r="C548" s="25">
        <v>2.0432999999999999</v>
      </c>
      <c r="D548" s="25">
        <v>20.66</v>
      </c>
      <c r="E548" s="25">
        <v>16.32</v>
      </c>
      <c r="Q548" s="15">
        <v>43935</v>
      </c>
      <c r="R548" s="25">
        <v>0.60540000000000005</v>
      </c>
      <c r="S548" s="25">
        <v>18.05</v>
      </c>
      <c r="T548" s="20">
        <v>44701</v>
      </c>
      <c r="U548" s="43">
        <v>3.6776</v>
      </c>
      <c r="V548" s="43">
        <v>118.25</v>
      </c>
    </row>
    <row r="549" spans="1:22">
      <c r="A549" s="20">
        <v>44543</v>
      </c>
      <c r="B549" s="25">
        <v>71.05</v>
      </c>
      <c r="C549" s="25">
        <v>2.1</v>
      </c>
      <c r="D549" s="25">
        <v>16.7</v>
      </c>
      <c r="E549" s="25">
        <v>17.12</v>
      </c>
      <c r="Q549" s="15">
        <v>43934</v>
      </c>
      <c r="R549" s="25">
        <v>0.51049999999999995</v>
      </c>
      <c r="S549" s="25">
        <v>14.36</v>
      </c>
      <c r="T549" s="20">
        <v>44704</v>
      </c>
      <c r="U549" s="43">
        <v>3.6897000000000002</v>
      </c>
      <c r="V549" s="43">
        <v>120.3</v>
      </c>
    </row>
    <row r="550" spans="1:22">
      <c r="A550" s="20">
        <v>44544</v>
      </c>
      <c r="B550" s="25">
        <v>71.3</v>
      </c>
      <c r="C550" s="25">
        <v>2.1484999999999999</v>
      </c>
      <c r="D550" s="25">
        <v>16.52</v>
      </c>
      <c r="E550" s="25">
        <v>17.010000000000002</v>
      </c>
      <c r="Q550" s="15">
        <v>43930</v>
      </c>
      <c r="R550" s="25">
        <v>0.49469999999999997</v>
      </c>
      <c r="S550" s="25">
        <v>12.41</v>
      </c>
      <c r="T550" s="20">
        <v>44705</v>
      </c>
      <c r="U550" s="43">
        <v>3.6802000000000001</v>
      </c>
      <c r="V550" s="43">
        <v>119.84</v>
      </c>
    </row>
    <row r="551" spans="1:22">
      <c r="A551" s="20">
        <v>44545</v>
      </c>
      <c r="B551" s="25">
        <v>70.28</v>
      </c>
      <c r="C551" s="25">
        <v>2.1284000000000001</v>
      </c>
      <c r="D551" s="25">
        <v>16.260000000000002</v>
      </c>
      <c r="E551" s="25">
        <v>16.23</v>
      </c>
      <c r="T551" s="20">
        <v>44706</v>
      </c>
      <c r="U551" s="43">
        <v>3.6897000000000002</v>
      </c>
      <c r="V551" s="43">
        <v>119.24</v>
      </c>
    </row>
    <row r="552" spans="1:22">
      <c r="A552" s="20">
        <v>44546</v>
      </c>
      <c r="B552" s="25">
        <v>70.760000000000005</v>
      </c>
      <c r="C552" s="25">
        <v>2.1372</v>
      </c>
      <c r="D552" s="25">
        <v>16.32</v>
      </c>
      <c r="E552" s="25">
        <v>15.5</v>
      </c>
      <c r="T552" s="20" t="s">
        <v>2</v>
      </c>
      <c r="U552" s="2">
        <v>1048.4439999999991</v>
      </c>
      <c r="V552" s="2">
        <v>34711.43</v>
      </c>
    </row>
    <row r="553" spans="1:22">
      <c r="A553" s="20">
        <v>44547</v>
      </c>
      <c r="B553" s="25">
        <v>70.5</v>
      </c>
      <c r="C553" s="25">
        <v>2.1164999999999998</v>
      </c>
      <c r="D553" s="25">
        <v>17.12</v>
      </c>
      <c r="E553" s="25">
        <v>16.18</v>
      </c>
    </row>
    <row r="554" spans="1:22">
      <c r="A554" s="20">
        <v>44550</v>
      </c>
      <c r="B554" s="25">
        <v>70.180000000000007</v>
      </c>
      <c r="C554" s="25">
        <v>2.1107999999999998</v>
      </c>
      <c r="D554" s="25">
        <v>17.010000000000002</v>
      </c>
      <c r="E554" s="25">
        <v>22.4</v>
      </c>
    </row>
    <row r="555" spans="1:22">
      <c r="A555" s="20">
        <v>44551</v>
      </c>
      <c r="B555" s="25">
        <v>70.260000000000005</v>
      </c>
      <c r="C555" s="25">
        <v>2.1122999999999998</v>
      </c>
      <c r="D555" s="25">
        <v>16.23</v>
      </c>
      <c r="E555" s="25">
        <v>21.43</v>
      </c>
    </row>
    <row r="556" spans="1:22">
      <c r="A556" s="20">
        <v>44552</v>
      </c>
      <c r="B556" s="25">
        <v>71</v>
      </c>
      <c r="C556" s="25">
        <v>2.1644000000000001</v>
      </c>
      <c r="D556" s="25">
        <v>15.5</v>
      </c>
      <c r="E556" s="25">
        <v>18.36</v>
      </c>
    </row>
    <row r="557" spans="1:22">
      <c r="A557" s="20">
        <v>44553</v>
      </c>
      <c r="B557" s="25">
        <v>70.349999999999994</v>
      </c>
      <c r="C557" s="25">
        <v>2.1126</v>
      </c>
      <c r="D557" s="25">
        <v>16.18</v>
      </c>
      <c r="E557" s="25">
        <v>16.52</v>
      </c>
    </row>
    <row r="558" spans="1:22">
      <c r="A558" s="20">
        <v>44554</v>
      </c>
      <c r="B558" s="25">
        <v>69.459999999999994</v>
      </c>
      <c r="C558" s="25">
        <v>2.0785999999999998</v>
      </c>
      <c r="D558" s="25">
        <v>22.4</v>
      </c>
      <c r="E558" s="25">
        <v>18.05</v>
      </c>
    </row>
    <row r="559" spans="1:22">
      <c r="A559" s="20">
        <v>44557</v>
      </c>
      <c r="B559" s="25">
        <v>70.37</v>
      </c>
      <c r="C559" s="25">
        <v>2.1448</v>
      </c>
      <c r="D559" s="25">
        <v>21.43</v>
      </c>
      <c r="E559" s="25">
        <v>14.36</v>
      </c>
    </row>
    <row r="560" spans="1:22">
      <c r="A560" s="20">
        <v>44558</v>
      </c>
      <c r="B560" s="25">
        <v>70.89</v>
      </c>
      <c r="C560" s="25">
        <v>2.165</v>
      </c>
      <c r="D560" s="25">
        <v>18.36</v>
      </c>
      <c r="E560" s="25">
        <v>12.41</v>
      </c>
    </row>
    <row r="561" spans="1:5">
      <c r="A561" s="20">
        <v>44559</v>
      </c>
      <c r="B561" s="25">
        <v>71.17</v>
      </c>
      <c r="C561" s="25">
        <v>2.2033</v>
      </c>
      <c r="D561" s="25">
        <v>16.52</v>
      </c>
      <c r="E561" s="25">
        <v>13.3</v>
      </c>
    </row>
    <row r="562" spans="1:5">
      <c r="A562" s="20">
        <v>44560</v>
      </c>
      <c r="B562" s="25">
        <v>71.58</v>
      </c>
      <c r="C562" s="25">
        <v>2.2303999999999999</v>
      </c>
      <c r="D562" s="25">
        <v>18.05</v>
      </c>
      <c r="E562" s="25">
        <v>14.31</v>
      </c>
    </row>
    <row r="563" spans="1:5">
      <c r="A563" s="20">
        <v>44561</v>
      </c>
      <c r="B563" s="25">
        <v>71.650000000000006</v>
      </c>
      <c r="C563" s="25">
        <v>2.246</v>
      </c>
      <c r="D563" s="25">
        <v>14.36</v>
      </c>
      <c r="E563" s="25">
        <v>15.23</v>
      </c>
    </row>
    <row r="564" spans="1:5">
      <c r="A564" s="20">
        <v>44564</v>
      </c>
      <c r="B564" s="25">
        <v>65.25</v>
      </c>
      <c r="C564" s="25">
        <v>2.2665999999999999</v>
      </c>
      <c r="D564" s="25">
        <v>12.41</v>
      </c>
      <c r="E564" s="25">
        <v>12.22</v>
      </c>
    </row>
    <row r="565" spans="1:5">
      <c r="A565" s="20">
        <v>44565</v>
      </c>
      <c r="B565" s="25">
        <v>71.77</v>
      </c>
      <c r="C565" s="25">
        <v>2.2913999999999999</v>
      </c>
    </row>
    <row r="566" spans="1:5">
      <c r="A566" s="20">
        <v>44566</v>
      </c>
      <c r="B566" s="25">
        <v>71.69</v>
      </c>
      <c r="C566" s="25">
        <v>2.2246000000000001</v>
      </c>
    </row>
    <row r="567" spans="1:5">
      <c r="A567" s="20">
        <v>44567</v>
      </c>
      <c r="B567" s="25">
        <v>76</v>
      </c>
      <c r="C567" s="25">
        <v>2.2565</v>
      </c>
    </row>
    <row r="568" spans="1:5">
      <c r="A568" s="20">
        <v>44568</v>
      </c>
      <c r="B568" s="25">
        <v>76.86</v>
      </c>
      <c r="C568" s="25">
        <v>2.2763</v>
      </c>
    </row>
    <row r="569" spans="1:5">
      <c r="A569" s="20">
        <v>44571</v>
      </c>
      <c r="B569" s="25">
        <v>77.59</v>
      </c>
      <c r="C569" s="25">
        <v>2.2921</v>
      </c>
    </row>
    <row r="570" spans="1:5">
      <c r="A570" s="20">
        <v>44572</v>
      </c>
      <c r="B570" s="25">
        <v>78.88</v>
      </c>
      <c r="C570" s="25">
        <v>2.3043</v>
      </c>
    </row>
    <row r="571" spans="1:5">
      <c r="A571" s="20">
        <v>44573</v>
      </c>
      <c r="B571" s="25">
        <v>78.48</v>
      </c>
      <c r="C571" s="25">
        <v>2.2989000000000002</v>
      </c>
    </row>
    <row r="572" spans="1:5">
      <c r="A572" s="20">
        <v>44574</v>
      </c>
      <c r="B572" s="25">
        <v>77.95</v>
      </c>
      <c r="C572" s="25">
        <v>2.2753999999999999</v>
      </c>
    </row>
    <row r="573" spans="1:5">
      <c r="A573" s="20">
        <v>44575</v>
      </c>
      <c r="B573" s="25">
        <v>80.040000000000006</v>
      </c>
      <c r="C573" s="25">
        <v>2.3574000000000002</v>
      </c>
    </row>
    <row r="574" spans="1:5">
      <c r="A574" s="20">
        <v>44578</v>
      </c>
      <c r="B574" s="25">
        <v>80.94</v>
      </c>
      <c r="C574" s="25">
        <v>2.3908</v>
      </c>
    </row>
    <row r="575" spans="1:5">
      <c r="A575" s="20">
        <v>44579</v>
      </c>
      <c r="B575" s="25">
        <v>80.67</v>
      </c>
      <c r="C575" s="25">
        <v>2.3877000000000002</v>
      </c>
    </row>
    <row r="576" spans="1:5">
      <c r="A576" s="20">
        <v>44580</v>
      </c>
      <c r="B576" s="25">
        <v>81.59</v>
      </c>
      <c r="C576" s="25">
        <v>2.4237000000000002</v>
      </c>
    </row>
    <row r="577" spans="1:3">
      <c r="A577" s="20">
        <v>44581</v>
      </c>
      <c r="B577" s="25">
        <v>82.37</v>
      </c>
      <c r="C577" s="25">
        <v>2.4386999999999999</v>
      </c>
    </row>
    <row r="578" spans="1:3">
      <c r="A578" s="20">
        <v>44582</v>
      </c>
      <c r="B578" s="25">
        <v>82.86</v>
      </c>
      <c r="C578" s="25">
        <v>2.4615</v>
      </c>
    </row>
    <row r="579" spans="1:3">
      <c r="A579" s="20">
        <v>44585</v>
      </c>
      <c r="B579" s="25">
        <v>82.77</v>
      </c>
      <c r="C579" s="25">
        <v>2.4662000000000002</v>
      </c>
    </row>
    <row r="580" spans="1:3">
      <c r="A580" s="20">
        <v>44586</v>
      </c>
      <c r="B580" s="25">
        <v>82.63</v>
      </c>
      <c r="C580" s="25">
        <v>2.4464999999999999</v>
      </c>
    </row>
    <row r="581" spans="1:3">
      <c r="A581" s="20">
        <v>44587</v>
      </c>
      <c r="B581" s="25">
        <v>82.08</v>
      </c>
      <c r="C581" s="25">
        <v>2.4020999999999999</v>
      </c>
    </row>
    <row r="582" spans="1:3">
      <c r="A582" s="20">
        <v>44588</v>
      </c>
      <c r="B582" s="25">
        <v>82.65</v>
      </c>
      <c r="C582" s="25">
        <v>2.4626000000000001</v>
      </c>
    </row>
    <row r="583" spans="1:3">
      <c r="A583" s="20">
        <v>44589</v>
      </c>
      <c r="B583" s="25">
        <v>83</v>
      </c>
      <c r="C583" s="25">
        <v>2.5232000000000001</v>
      </c>
    </row>
    <row r="584" spans="1:3">
      <c r="A584" s="20">
        <v>44592</v>
      </c>
      <c r="B584" s="25">
        <v>82.89</v>
      </c>
      <c r="C584" s="25">
        <v>2.5209999999999999</v>
      </c>
    </row>
    <row r="585" spans="1:3">
      <c r="A585" s="20">
        <v>44593</v>
      </c>
      <c r="B585" s="25">
        <v>82.91</v>
      </c>
      <c r="C585" s="25">
        <v>2.5379</v>
      </c>
    </row>
    <row r="586" spans="1:3">
      <c r="A586" s="20">
        <v>44594</v>
      </c>
      <c r="B586" s="25">
        <v>82.98</v>
      </c>
      <c r="C586" s="25">
        <v>2.5543999999999998</v>
      </c>
    </row>
    <row r="587" spans="1:3">
      <c r="A587" s="20">
        <v>44595</v>
      </c>
      <c r="B587" s="25">
        <v>79.099999999999994</v>
      </c>
      <c r="C587" s="25">
        <v>2.5752000000000002</v>
      </c>
    </row>
    <row r="588" spans="1:3">
      <c r="A588" s="20">
        <v>44596</v>
      </c>
      <c r="B588" s="25">
        <v>87.93</v>
      </c>
      <c r="C588" s="25">
        <v>2.6070000000000002</v>
      </c>
    </row>
    <row r="589" spans="1:3">
      <c r="A589" s="20">
        <v>44599</v>
      </c>
      <c r="B589" s="25">
        <v>89.67</v>
      </c>
      <c r="C589" s="25">
        <v>2.6427</v>
      </c>
    </row>
    <row r="590" spans="1:3">
      <c r="A590" s="20">
        <v>44600</v>
      </c>
      <c r="B590" s="25">
        <v>91.36</v>
      </c>
      <c r="C590" s="25">
        <v>2.6785000000000001</v>
      </c>
    </row>
    <row r="591" spans="1:3">
      <c r="A591" s="20">
        <v>44601</v>
      </c>
      <c r="B591" s="25">
        <v>90.67</v>
      </c>
      <c r="C591" s="25">
        <v>2.6852999999999998</v>
      </c>
    </row>
    <row r="592" spans="1:3">
      <c r="A592" s="20">
        <v>44602</v>
      </c>
      <c r="B592" s="25">
        <v>89.24</v>
      </c>
      <c r="C592" s="25">
        <v>2.6251000000000002</v>
      </c>
    </row>
    <row r="593" spans="1:3">
      <c r="A593" s="20">
        <v>44603</v>
      </c>
      <c r="B593" s="25">
        <v>89.51</v>
      </c>
      <c r="C593" s="25">
        <v>2.6534</v>
      </c>
    </row>
    <row r="594" spans="1:3">
      <c r="A594" s="20">
        <v>44606</v>
      </c>
      <c r="B594" s="25">
        <v>89.61</v>
      </c>
      <c r="C594" s="25">
        <v>2.6654</v>
      </c>
    </row>
    <row r="595" spans="1:3">
      <c r="A595" s="20">
        <v>44607</v>
      </c>
      <c r="B595" s="25">
        <v>91.4</v>
      </c>
      <c r="C595" s="25">
        <v>2.7385999999999999</v>
      </c>
    </row>
    <row r="596" spans="1:3">
      <c r="A596" s="20">
        <v>44608</v>
      </c>
      <c r="B596" s="25">
        <v>92.59</v>
      </c>
      <c r="C596" s="25">
        <v>2.9068000000000001</v>
      </c>
    </row>
    <row r="597" spans="1:3">
      <c r="A597" s="20">
        <v>44609</v>
      </c>
      <c r="B597" s="25">
        <v>91</v>
      </c>
      <c r="C597" s="25">
        <v>2.8094999999999999</v>
      </c>
    </row>
    <row r="598" spans="1:3">
      <c r="A598" s="20">
        <v>44610</v>
      </c>
      <c r="B598" s="25">
        <v>91.68</v>
      </c>
      <c r="C598" s="25">
        <v>2.8283</v>
      </c>
    </row>
    <row r="599" spans="1:3">
      <c r="A599" s="20">
        <v>44613</v>
      </c>
      <c r="B599" s="25">
        <v>91</v>
      </c>
      <c r="C599" s="25">
        <v>2.7959999999999998</v>
      </c>
    </row>
    <row r="600" spans="1:3">
      <c r="A600" s="20">
        <v>44614</v>
      </c>
      <c r="B600" s="25">
        <v>90.96</v>
      </c>
      <c r="C600" s="25">
        <v>2.8119000000000001</v>
      </c>
    </row>
    <row r="601" spans="1:3">
      <c r="A601" s="20">
        <v>44615</v>
      </c>
      <c r="B601" s="25">
        <v>91.39</v>
      </c>
      <c r="C601" s="25">
        <v>2.8542999999999998</v>
      </c>
    </row>
    <row r="602" spans="1:3">
      <c r="A602" s="20">
        <v>44616</v>
      </c>
      <c r="B602" s="25">
        <v>91.43</v>
      </c>
      <c r="C602" s="25">
        <v>2.8759999999999999</v>
      </c>
    </row>
    <row r="603" spans="1:3">
      <c r="A603" s="20">
        <v>44617</v>
      </c>
      <c r="B603" s="25">
        <v>91.54</v>
      </c>
      <c r="C603" s="25">
        <v>2.9165000000000001</v>
      </c>
    </row>
    <row r="604" spans="1:3">
      <c r="A604" s="20">
        <v>44620</v>
      </c>
      <c r="B604" s="25">
        <v>91.41</v>
      </c>
      <c r="C604" s="25">
        <v>2.8740999999999999</v>
      </c>
    </row>
    <row r="605" spans="1:3">
      <c r="A605" s="20">
        <v>44621</v>
      </c>
      <c r="B605" s="25">
        <v>91.63</v>
      </c>
      <c r="C605" s="25">
        <v>2.9325000000000001</v>
      </c>
    </row>
    <row r="606" spans="1:3">
      <c r="A606" s="20">
        <v>44622</v>
      </c>
      <c r="B606" s="25">
        <v>94.57</v>
      </c>
      <c r="C606" s="25">
        <v>3.0886999999999998</v>
      </c>
    </row>
    <row r="607" spans="1:3">
      <c r="A607" s="20">
        <v>44623</v>
      </c>
      <c r="B607" s="25">
        <v>109.21</v>
      </c>
      <c r="C607" s="25">
        <v>3.3083</v>
      </c>
    </row>
    <row r="608" spans="1:3">
      <c r="A608" s="20">
        <v>44624</v>
      </c>
      <c r="B608" s="25">
        <v>106.68</v>
      </c>
      <c r="C608" s="25">
        <v>3.2844000000000002</v>
      </c>
    </row>
    <row r="609" spans="1:3">
      <c r="A609" s="20">
        <v>44627</v>
      </c>
      <c r="B609" s="25">
        <v>113.49</v>
      </c>
      <c r="C609" s="25">
        <v>3.544</v>
      </c>
    </row>
    <row r="610" spans="1:3">
      <c r="A610" s="20">
        <v>44628</v>
      </c>
      <c r="B610" s="25">
        <v>116.55</v>
      </c>
      <c r="C610" s="25">
        <v>3.5720999999999998</v>
      </c>
    </row>
    <row r="611" spans="1:3">
      <c r="A611" s="20">
        <v>44629</v>
      </c>
      <c r="B611" s="25">
        <v>119.78</v>
      </c>
      <c r="C611" s="25">
        <v>3.6825999999999999</v>
      </c>
    </row>
    <row r="612" spans="1:3">
      <c r="A612" s="20">
        <v>44630</v>
      </c>
      <c r="B612" s="25">
        <v>108.82</v>
      </c>
      <c r="C612" s="25">
        <v>3.2938000000000001</v>
      </c>
    </row>
    <row r="613" spans="1:3">
      <c r="A613" s="20">
        <v>44631</v>
      </c>
      <c r="B613" s="25">
        <v>107.14</v>
      </c>
      <c r="C613" s="25">
        <v>3.1566999999999998</v>
      </c>
    </row>
    <row r="614" spans="1:3">
      <c r="A614" s="20">
        <v>44634</v>
      </c>
      <c r="B614" s="25">
        <v>109.3</v>
      </c>
      <c r="C614" s="25">
        <v>3.3121</v>
      </c>
    </row>
    <row r="615" spans="1:3">
      <c r="A615" s="20">
        <v>44635</v>
      </c>
      <c r="B615" s="25">
        <v>102.67</v>
      </c>
      <c r="C615" s="25">
        <v>3.1339000000000001</v>
      </c>
    </row>
    <row r="616" spans="1:3">
      <c r="A616" s="20">
        <v>44636</v>
      </c>
      <c r="B616" s="25">
        <v>99.91</v>
      </c>
      <c r="C616" s="25">
        <v>2.9657</v>
      </c>
    </row>
    <row r="617" spans="1:3">
      <c r="A617" s="20">
        <v>44637</v>
      </c>
      <c r="B617" s="25">
        <v>98.02</v>
      </c>
      <c r="C617" s="25">
        <v>2.952</v>
      </c>
    </row>
    <row r="618" spans="1:3">
      <c r="A618" s="20">
        <v>44638</v>
      </c>
      <c r="B618" s="25">
        <v>105.32</v>
      </c>
      <c r="C618" s="25">
        <v>3.1821999999999999</v>
      </c>
    </row>
    <row r="619" spans="1:3">
      <c r="A619" s="20">
        <v>44641</v>
      </c>
      <c r="B619" s="25">
        <v>105.99</v>
      </c>
      <c r="C619" s="25">
        <v>3.2059000000000002</v>
      </c>
    </row>
    <row r="620" spans="1:3">
      <c r="A620" s="20">
        <v>44642</v>
      </c>
      <c r="B620" s="25">
        <v>108.73</v>
      </c>
      <c r="C620" s="25">
        <v>3.3378999999999999</v>
      </c>
    </row>
    <row r="621" spans="1:3">
      <c r="A621" s="20">
        <v>44643</v>
      </c>
      <c r="B621" s="25">
        <v>108.5</v>
      </c>
      <c r="C621" s="25">
        <v>3.3046000000000002</v>
      </c>
    </row>
    <row r="622" spans="1:3">
      <c r="A622" s="20">
        <v>44644</v>
      </c>
      <c r="B622" s="25">
        <v>110.22</v>
      </c>
      <c r="C622" s="25">
        <v>3.4195000000000002</v>
      </c>
    </row>
    <row r="623" spans="1:3">
      <c r="A623" s="20">
        <v>44645</v>
      </c>
      <c r="B623" s="25">
        <v>109.54</v>
      </c>
      <c r="C623" s="25">
        <v>3.3689</v>
      </c>
    </row>
    <row r="624" spans="1:3">
      <c r="A624" s="20">
        <v>44648</v>
      </c>
      <c r="B624" s="25">
        <v>109.88</v>
      </c>
      <c r="C624" s="25">
        <v>3.4363000000000001</v>
      </c>
    </row>
    <row r="625" spans="1:3">
      <c r="A625" s="20">
        <v>44649</v>
      </c>
      <c r="B625" s="25">
        <v>108.5</v>
      </c>
      <c r="C625" s="25">
        <v>3.1962000000000002</v>
      </c>
    </row>
    <row r="626" spans="1:3">
      <c r="A626" s="20">
        <v>44650</v>
      </c>
      <c r="B626" s="25">
        <v>108.28</v>
      </c>
      <c r="C626" s="25">
        <v>3.1766999999999999</v>
      </c>
    </row>
    <row r="627" spans="1:3">
      <c r="A627" s="20">
        <v>44651</v>
      </c>
      <c r="B627" s="25">
        <v>107.74</v>
      </c>
      <c r="C627" s="25">
        <v>3.2864</v>
      </c>
    </row>
    <row r="628" spans="1:3">
      <c r="A628" s="20">
        <v>44652</v>
      </c>
      <c r="B628" s="25">
        <v>104.93</v>
      </c>
      <c r="C628" s="25">
        <v>3.1509</v>
      </c>
    </row>
    <row r="629" spans="1:3">
      <c r="A629" s="20">
        <v>44655</v>
      </c>
      <c r="B629" s="25">
        <v>89.06</v>
      </c>
      <c r="C629" s="25">
        <v>3.1535000000000002</v>
      </c>
    </row>
    <row r="630" spans="1:3">
      <c r="A630" s="20">
        <v>44656</v>
      </c>
      <c r="B630" s="25">
        <v>102.58</v>
      </c>
      <c r="C630" s="25">
        <v>3.1981000000000002</v>
      </c>
    </row>
    <row r="631" spans="1:3">
      <c r="A631" s="20">
        <v>44657</v>
      </c>
      <c r="B631" s="25">
        <v>101.44</v>
      </c>
      <c r="C631" s="25">
        <v>3.1648999999999998</v>
      </c>
    </row>
    <row r="632" spans="1:3">
      <c r="A632" s="20">
        <v>44658</v>
      </c>
      <c r="B632" s="25">
        <v>96.73</v>
      </c>
      <c r="C632" s="25">
        <v>3.0461999999999998</v>
      </c>
    </row>
    <row r="633" spans="1:3">
      <c r="A633" s="20">
        <v>44659</v>
      </c>
      <c r="B633" s="25">
        <v>96.68</v>
      </c>
      <c r="C633" s="25">
        <v>3.0398000000000001</v>
      </c>
    </row>
    <row r="634" spans="1:3">
      <c r="A634" s="20">
        <v>44662</v>
      </c>
      <c r="B634" s="25">
        <v>98.35</v>
      </c>
      <c r="C634" s="25">
        <v>3.1316000000000002</v>
      </c>
    </row>
    <row r="635" spans="1:3">
      <c r="A635" s="20">
        <v>44663</v>
      </c>
      <c r="B635" s="25">
        <v>95.63</v>
      </c>
      <c r="C635" s="25">
        <v>3.0030999999999999</v>
      </c>
    </row>
    <row r="636" spans="1:3">
      <c r="A636" s="20">
        <v>44664</v>
      </c>
      <c r="B636" s="25">
        <v>99.7</v>
      </c>
      <c r="C636" s="25">
        <v>3.1537999999999999</v>
      </c>
    </row>
    <row r="637" spans="1:3">
      <c r="A637" s="20">
        <v>44665</v>
      </c>
      <c r="B637" s="25">
        <v>101.89</v>
      </c>
      <c r="C637" s="25">
        <v>3.2913000000000001</v>
      </c>
    </row>
    <row r="638" spans="1:3">
      <c r="A638" s="20">
        <v>44669</v>
      </c>
      <c r="B638" s="25">
        <v>103.33</v>
      </c>
      <c r="C638" s="25">
        <v>3.3814000000000002</v>
      </c>
    </row>
    <row r="639" spans="1:3">
      <c r="A639" s="20">
        <v>44670</v>
      </c>
      <c r="B639" s="25">
        <v>103.95</v>
      </c>
      <c r="C639" s="25">
        <v>3.3580000000000001</v>
      </c>
    </row>
    <row r="640" spans="1:3">
      <c r="A640" s="20">
        <v>44671</v>
      </c>
      <c r="B640" s="25">
        <v>101.44</v>
      </c>
      <c r="C640" s="25">
        <v>3.2288999999999999</v>
      </c>
    </row>
    <row r="641" spans="1:3">
      <c r="A641" s="20">
        <v>44672</v>
      </c>
      <c r="B641" s="25">
        <v>101.5</v>
      </c>
      <c r="C641" s="25">
        <v>3.2618</v>
      </c>
    </row>
    <row r="642" spans="1:3">
      <c r="A642" s="20">
        <v>44673</v>
      </c>
      <c r="B642" s="25">
        <v>102.06</v>
      </c>
      <c r="C642" s="25">
        <v>3.3174999999999999</v>
      </c>
    </row>
    <row r="643" spans="1:3">
      <c r="A643" s="20">
        <v>44676</v>
      </c>
      <c r="B643" s="25">
        <v>101.54</v>
      </c>
      <c r="C643" s="25">
        <v>3.286</v>
      </c>
    </row>
    <row r="644" spans="1:3">
      <c r="A644" s="20">
        <v>44677</v>
      </c>
      <c r="B644" s="25">
        <v>100.66</v>
      </c>
      <c r="C644" s="25">
        <v>3.2206000000000001</v>
      </c>
    </row>
    <row r="645" spans="1:3">
      <c r="A645" s="20">
        <v>44678</v>
      </c>
      <c r="B645" s="25">
        <v>101.29</v>
      </c>
      <c r="C645" s="25">
        <v>3.3109999999999999</v>
      </c>
    </row>
    <row r="646" spans="1:3">
      <c r="A646" s="20">
        <v>44679</v>
      </c>
      <c r="B646" s="25">
        <v>101.34</v>
      </c>
      <c r="C646" s="25">
        <v>3.4135</v>
      </c>
    </row>
    <row r="647" spans="1:3">
      <c r="A647" s="20">
        <v>44680</v>
      </c>
      <c r="B647" s="25">
        <v>101.67</v>
      </c>
      <c r="C647" s="25">
        <v>3.4759000000000002</v>
      </c>
    </row>
    <row r="648" spans="1:3">
      <c r="A648" s="20">
        <v>44683</v>
      </c>
      <c r="B648" s="25">
        <v>101.64</v>
      </c>
      <c r="C648" s="25">
        <v>3.4424000000000001</v>
      </c>
    </row>
    <row r="649" spans="1:3">
      <c r="A649" s="20">
        <v>44684</v>
      </c>
      <c r="B649" s="25">
        <v>104.67</v>
      </c>
      <c r="C649" s="25">
        <v>3.5101</v>
      </c>
    </row>
    <row r="650" spans="1:3">
      <c r="A650" s="20">
        <v>44685</v>
      </c>
      <c r="B650" s="25">
        <v>102.11</v>
      </c>
      <c r="C650" s="25">
        <v>3.5011999999999999</v>
      </c>
    </row>
    <row r="651" spans="1:3">
      <c r="A651" s="20">
        <v>44686</v>
      </c>
      <c r="B651" s="25">
        <v>106.97</v>
      </c>
      <c r="C651" s="25">
        <v>3.6522999999999999</v>
      </c>
    </row>
    <row r="652" spans="1:3">
      <c r="A652" s="20">
        <v>44687</v>
      </c>
      <c r="B652" s="25">
        <v>107.38</v>
      </c>
      <c r="C652" s="25">
        <v>3.6587000000000001</v>
      </c>
    </row>
    <row r="653" spans="1:3">
      <c r="A653" s="20">
        <v>44690</v>
      </c>
      <c r="B653" s="25">
        <v>108.62</v>
      </c>
      <c r="C653" s="25">
        <v>3.7589999999999999</v>
      </c>
    </row>
    <row r="654" spans="1:3">
      <c r="A654" s="20">
        <v>44691</v>
      </c>
      <c r="B654" s="25">
        <v>103.57</v>
      </c>
      <c r="C654" s="25">
        <v>3.6419000000000001</v>
      </c>
    </row>
    <row r="655" spans="1:3">
      <c r="A655" s="20">
        <v>44692</v>
      </c>
      <c r="B655" s="25">
        <v>101.19</v>
      </c>
      <c r="C655" s="25">
        <v>3.5415000000000001</v>
      </c>
    </row>
    <row r="656" spans="1:3">
      <c r="A656" s="20">
        <v>44693</v>
      </c>
      <c r="B656" s="25">
        <v>105.05</v>
      </c>
      <c r="C656" s="25">
        <v>3.6855000000000002</v>
      </c>
    </row>
    <row r="657" spans="1:3">
      <c r="A657" s="20">
        <v>44694</v>
      </c>
      <c r="B657" s="25">
        <v>105.3</v>
      </c>
      <c r="C657" s="25">
        <v>3.7917000000000001</v>
      </c>
    </row>
    <row r="658" spans="1:3">
      <c r="A658" s="20">
        <v>44697</v>
      </c>
      <c r="B658" s="25">
        <v>107.75</v>
      </c>
      <c r="C658" s="25">
        <v>3.9578000000000002</v>
      </c>
    </row>
    <row r="659" spans="1:3">
      <c r="A659" s="20">
        <v>44698</v>
      </c>
      <c r="B659" s="25">
        <v>109.55</v>
      </c>
      <c r="C659" s="25">
        <v>3.8405</v>
      </c>
    </row>
    <row r="660" spans="1:3">
      <c r="A660" s="20">
        <v>44699</v>
      </c>
      <c r="B660" s="25">
        <v>108.58</v>
      </c>
      <c r="C660" s="25">
        <v>3.7763</v>
      </c>
    </row>
    <row r="661" spans="1:3">
      <c r="A661" s="20">
        <v>44700</v>
      </c>
      <c r="B661" s="25">
        <v>107.44</v>
      </c>
      <c r="C661" s="25">
        <v>3.5912999999999999</v>
      </c>
    </row>
    <row r="662" spans="1:3">
      <c r="A662" s="20">
        <v>44701</v>
      </c>
      <c r="B662" s="25">
        <v>108.5</v>
      </c>
      <c r="C662" s="25">
        <v>3.6776</v>
      </c>
    </row>
    <row r="663" spans="1:3">
      <c r="A663" s="20">
        <v>44704</v>
      </c>
      <c r="B663" s="25">
        <v>108.66</v>
      </c>
      <c r="C663" s="25">
        <v>3.6897000000000002</v>
      </c>
    </row>
    <row r="664" spans="1:3">
      <c r="A664" s="20">
        <v>44705</v>
      </c>
      <c r="B664" s="25">
        <v>108.67</v>
      </c>
      <c r="C664" s="25">
        <v>3.6802000000000001</v>
      </c>
    </row>
    <row r="665" spans="1:3">
      <c r="A665" s="20">
        <v>44706</v>
      </c>
      <c r="B665" s="25">
        <v>108.54</v>
      </c>
      <c r="C665" s="25">
        <v>3.6897000000000002</v>
      </c>
    </row>
    <row r="666" spans="1:3">
      <c r="A666" s="20">
        <v>44707</v>
      </c>
      <c r="B666" s="25">
        <v>108.65</v>
      </c>
      <c r="C666" s="25">
        <v>3.7252999999999998</v>
      </c>
    </row>
    <row r="667" spans="1:3">
      <c r="A667" s="20">
        <v>44708</v>
      </c>
      <c r="B667" s="25">
        <v>109.19</v>
      </c>
      <c r="C667" s="25">
        <v>3.7924000000000002</v>
      </c>
    </row>
    <row r="668" spans="1:3">
      <c r="A668" s="20">
        <v>44711</v>
      </c>
      <c r="B668" s="25">
        <v>100.97</v>
      </c>
      <c r="C668" s="25">
        <v>3.9119000000000002</v>
      </c>
    </row>
    <row r="669" spans="1:3">
      <c r="A669" s="20">
        <v>44712</v>
      </c>
      <c r="B669" s="25">
        <v>100.57</v>
      </c>
      <c r="C669" s="25">
        <v>3.9161999999999999</v>
      </c>
    </row>
    <row r="670" spans="1:3">
      <c r="A670" s="20">
        <v>44713</v>
      </c>
      <c r="B670" s="25">
        <v>101.16</v>
      </c>
      <c r="C670" s="25">
        <v>4.0716000000000001</v>
      </c>
    </row>
    <row r="671" spans="1:3">
      <c r="A671" s="20">
        <v>44714</v>
      </c>
      <c r="B671" s="25">
        <v>102.77</v>
      </c>
      <c r="C671" s="25">
        <v>4.1909000000000001</v>
      </c>
    </row>
    <row r="672" spans="1:3">
      <c r="A672" s="20">
        <v>44715</v>
      </c>
      <c r="B672" s="25">
        <v>104.77</v>
      </c>
      <c r="C672" s="25">
        <v>4.2522000000000002</v>
      </c>
    </row>
    <row r="673" spans="1:3">
      <c r="A673" s="20">
        <v>44718</v>
      </c>
      <c r="B673" s="25">
        <v>104.4</v>
      </c>
      <c r="C673" s="25">
        <v>4.1929999999999996</v>
      </c>
    </row>
    <row r="674" spans="1:3">
      <c r="A674" s="20">
        <v>44719</v>
      </c>
      <c r="B674" s="25">
        <v>105.31</v>
      </c>
      <c r="C674" s="25">
        <v>4.1577000000000002</v>
      </c>
    </row>
    <row r="675" spans="1:3">
      <c r="A675" s="20">
        <v>44720</v>
      </c>
      <c r="B675" s="25">
        <v>108.01</v>
      </c>
      <c r="C675" s="25">
        <v>4.2218999999999998</v>
      </c>
    </row>
    <row r="676" spans="1:3">
      <c r="A676" s="20">
        <v>44721</v>
      </c>
      <c r="B676" s="25">
        <v>107.41</v>
      </c>
      <c r="C676" s="25">
        <v>4.2762000000000002</v>
      </c>
    </row>
    <row r="677" spans="1:3">
      <c r="A677" s="20">
        <v>44722</v>
      </c>
      <c r="B677" s="25">
        <v>106.57</v>
      </c>
      <c r="C677" s="25">
        <v>4.1722000000000001</v>
      </c>
    </row>
    <row r="678" spans="1:3">
      <c r="A678" s="20">
        <v>44725</v>
      </c>
      <c r="B678" s="25">
        <v>106.83</v>
      </c>
      <c r="C678" s="25">
        <v>4.0353000000000003</v>
      </c>
    </row>
    <row r="679" spans="1:3">
      <c r="A679" s="20">
        <v>44726</v>
      </c>
      <c r="B679" s="25">
        <v>104.83</v>
      </c>
      <c r="C679" s="25">
        <v>3.9937999999999998</v>
      </c>
    </row>
    <row r="680" spans="1:3">
      <c r="A680" s="20">
        <v>44727</v>
      </c>
      <c r="B680" s="25">
        <v>101.21</v>
      </c>
      <c r="C680" s="25">
        <v>3.8942000000000001</v>
      </c>
    </row>
    <row r="681" spans="1:3">
      <c r="A681" s="20">
        <v>44728</v>
      </c>
      <c r="B681" s="25">
        <v>97.66</v>
      </c>
      <c r="C681" s="25">
        <v>3.9558</v>
      </c>
    </row>
    <row r="682" spans="1:3">
      <c r="A682" s="20">
        <v>44729</v>
      </c>
      <c r="B682" s="25">
        <v>96</v>
      </c>
      <c r="C682" s="25">
        <v>3.7930000000000001</v>
      </c>
    </row>
    <row r="683" spans="1:3">
      <c r="A683" s="20">
        <v>44733</v>
      </c>
      <c r="B683" s="25">
        <v>95.42</v>
      </c>
      <c r="C683" s="25">
        <v>3.69</v>
      </c>
    </row>
    <row r="684" spans="1:3">
      <c r="A684" s="20">
        <v>44734</v>
      </c>
      <c r="B684" s="25">
        <v>92.09</v>
      </c>
      <c r="C684" s="25">
        <v>3.7298</v>
      </c>
    </row>
    <row r="685" spans="1:3">
      <c r="A685" s="20">
        <v>44735</v>
      </c>
      <c r="B685" s="25">
        <v>90.17</v>
      </c>
      <c r="C685" s="25">
        <v>3.661</v>
      </c>
    </row>
    <row r="686" spans="1:3">
      <c r="A686" s="20">
        <v>44736</v>
      </c>
      <c r="B686" s="25">
        <v>93.52</v>
      </c>
      <c r="C686" s="25">
        <v>3.72</v>
      </c>
    </row>
    <row r="687" spans="1:3">
      <c r="A687" s="20">
        <v>44739</v>
      </c>
      <c r="B687" s="25">
        <v>97.66</v>
      </c>
      <c r="C687" s="25">
        <v>3.73</v>
      </c>
    </row>
    <row r="688" spans="1:3">
      <c r="A688" s="15" t="s">
        <v>2</v>
      </c>
      <c r="B688" s="25">
        <v>41433.080000000016</v>
      </c>
      <c r="C688" s="25">
        <v>1311.1398999999994</v>
      </c>
    </row>
  </sheetData>
  <pageMargins left="0.7" right="0.7" top="0.75" bottom="0.75" header="0.3" footer="0.3"/>
  <drawing r:id="rId3"/>
  <tableParts count="1">
    <tablePart r:id="rId4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181494-5C21-4E91-93BC-303C4649547B}">
  <sheetPr codeName="Sheet6"/>
  <dimension ref="A1:T1272"/>
  <sheetViews>
    <sheetView topLeftCell="A318" zoomScale="98" zoomScaleNormal="98" workbookViewId="0">
      <selection activeCell="J325" sqref="J325"/>
    </sheetView>
  </sheetViews>
  <sheetFormatPr defaultRowHeight="15.75"/>
  <cols>
    <col min="1" max="1" width="10.375" style="4" bestFit="1" customWidth="1"/>
    <col min="2" max="2" width="10.875" style="4" customWidth="1"/>
    <col min="3" max="3" width="12.25" style="4" customWidth="1"/>
    <col min="4" max="4" width="14.375" style="4" bestFit="1" customWidth="1"/>
    <col min="5" max="5" width="8.625" style="4" bestFit="1" customWidth="1"/>
    <col min="6" max="6" width="21.5" style="4" bestFit="1" customWidth="1"/>
    <col min="7" max="7" width="18.375" style="4" customWidth="1"/>
    <col min="8" max="8" width="10" style="4" bestFit="1" customWidth="1"/>
    <col min="9" max="9" width="12.25" style="4" bestFit="1" customWidth="1"/>
    <col min="10" max="10" width="12.375" customWidth="1"/>
    <col min="11" max="11" width="16.75" customWidth="1"/>
    <col min="12" max="12" width="11.125" customWidth="1"/>
    <col min="13" max="13" width="12.625" customWidth="1"/>
    <col min="14" max="14" width="6.25" customWidth="1"/>
    <col min="16" max="16" width="5.375" customWidth="1"/>
  </cols>
  <sheetData>
    <row r="1" spans="1:20">
      <c r="A1" s="4" t="s">
        <v>33</v>
      </c>
      <c r="B1" s="19" t="s">
        <v>32</v>
      </c>
      <c r="C1" s="18" t="s">
        <v>31</v>
      </c>
      <c r="D1" s="17" t="s">
        <v>30</v>
      </c>
      <c r="E1" s="16" t="s">
        <v>29</v>
      </c>
      <c r="F1" s="16" t="s">
        <v>57</v>
      </c>
      <c r="G1" s="22" t="s">
        <v>28</v>
      </c>
      <c r="H1" s="23" t="s">
        <v>27</v>
      </c>
      <c r="I1" s="4" t="s">
        <v>26</v>
      </c>
      <c r="J1" s="4" t="s">
        <v>68</v>
      </c>
      <c r="K1" s="4" t="s">
        <v>70</v>
      </c>
      <c r="L1" s="4"/>
      <c r="M1" t="s">
        <v>25</v>
      </c>
    </row>
    <row r="2" spans="1:20">
      <c r="A2" s="90">
        <v>44739</v>
      </c>
      <c r="B2" s="91">
        <v>114.41</v>
      </c>
      <c r="C2" s="89">
        <v>114.88</v>
      </c>
      <c r="D2" s="92">
        <v>115.09</v>
      </c>
      <c r="E2" s="93">
        <v>97.66</v>
      </c>
      <c r="F2" s="93">
        <f t="shared" ref="F2:F65" si="0">IF(MIN(B2:E2)=B2,1,IF(MIN(B2:E2)=C2,2,IF(MIN(B2:E2)=D2,3,IF(MIN(B2:E2)=E2,4,))))</f>
        <v>4</v>
      </c>
      <c r="G2" s="84" t="str">
        <f t="shared" ref="G2:G65" si="1">IF(MIN(B2:E2)=B2,$B$1,IF(MIN(B2:E2)=C2,$C$1,IF(MIN(B2:E2)=D2,$D$1,IF(MIN(B2:E2)=E2,$E$1,))))</f>
        <v>WCS</v>
      </c>
      <c r="H2" s="38">
        <f t="shared" ref="H2:H65" si="2">IF(MIN(B2:E2)=B2,B2,IF(MIN(B2:E2)=C2,C2,IF(MIN(B2:E2)=D2,D2,IF(MIN(B2:E2)=E2,E2,))))</f>
        <v>97.66</v>
      </c>
      <c r="I2" s="94">
        <v>3.73</v>
      </c>
      <c r="J2" s="95">
        <v>4.5199999999999996</v>
      </c>
      <c r="K2" s="106">
        <f>Table1[[#This Row],[GasP]]-Table1[[#This Row],[Gasoline]]</f>
        <v>0.78999999999999959</v>
      </c>
      <c r="L2" s="4"/>
      <c r="M2">
        <f>CORREL(H2:H685,I2:I685)</f>
        <v>0.96202602006332882</v>
      </c>
      <c r="N2" s="10" t="s">
        <v>24</v>
      </c>
      <c r="R2" t="s">
        <v>23</v>
      </c>
      <c r="T2">
        <f>CORREL(H12:H590,I12:I590)</f>
        <v>0.9709767318227458</v>
      </c>
    </row>
    <row r="3" spans="1:20">
      <c r="A3" s="96">
        <v>44736</v>
      </c>
      <c r="B3" s="97">
        <v>114.03</v>
      </c>
      <c r="C3" s="98">
        <v>111</v>
      </c>
      <c r="D3" s="99">
        <v>113.12</v>
      </c>
      <c r="E3" s="100">
        <v>93.52</v>
      </c>
      <c r="F3" s="100">
        <f t="shared" si="0"/>
        <v>4</v>
      </c>
      <c r="G3" s="85" t="str">
        <f t="shared" si="1"/>
        <v>WCS</v>
      </c>
      <c r="H3" s="39">
        <f t="shared" si="2"/>
        <v>93.52</v>
      </c>
      <c r="I3" s="94">
        <v>3.72</v>
      </c>
      <c r="J3" s="101">
        <v>4.54</v>
      </c>
      <c r="K3" s="106">
        <f>Table1[[#This Row],[GasP]]-Table1[[#This Row],[Gasoline]]</f>
        <v>0.81999999999999984</v>
      </c>
      <c r="L3" s="4" t="s">
        <v>22</v>
      </c>
      <c r="M3">
        <f>255-1</f>
        <v>254</v>
      </c>
      <c r="N3" s="10" t="s">
        <v>21</v>
      </c>
    </row>
    <row r="4" spans="1:20">
      <c r="A4" s="90">
        <v>44735</v>
      </c>
      <c r="B4" s="91">
        <v>113.24</v>
      </c>
      <c r="C4" s="89">
        <v>115.07</v>
      </c>
      <c r="D4" s="92">
        <v>110.05</v>
      </c>
      <c r="E4" s="93">
        <v>90.17</v>
      </c>
      <c r="F4" s="93">
        <f t="shared" si="0"/>
        <v>4</v>
      </c>
      <c r="G4" s="84" t="str">
        <f t="shared" si="1"/>
        <v>WCS</v>
      </c>
      <c r="H4" s="38">
        <f t="shared" si="2"/>
        <v>90.17</v>
      </c>
      <c r="I4" s="94">
        <v>3.661</v>
      </c>
      <c r="J4" s="95">
        <v>4.54</v>
      </c>
      <c r="K4" s="106">
        <f>Table1[[#This Row],[GasP]]-Table1[[#This Row],[Gasoline]]</f>
        <v>0.879</v>
      </c>
      <c r="L4" s="4" t="s">
        <v>19</v>
      </c>
      <c r="M4" s="5">
        <f>(M2*SQRT(M3-2))/(1-M2^2)</f>
        <v>204.97278868299242</v>
      </c>
      <c r="N4" s="10" t="s">
        <v>20</v>
      </c>
      <c r="S4">
        <f>_xlfn.T.DIST.2T(T2,2)</f>
        <v>0.43398393475201347</v>
      </c>
    </row>
    <row r="5" spans="1:20">
      <c r="A5" s="96">
        <v>44734</v>
      </c>
      <c r="B5" s="97">
        <v>113.79</v>
      </c>
      <c r="C5" s="98">
        <v>113.39</v>
      </c>
      <c r="D5" s="99">
        <v>111.74</v>
      </c>
      <c r="E5" s="100">
        <v>92.09</v>
      </c>
      <c r="F5" s="100">
        <f t="shared" si="0"/>
        <v>4</v>
      </c>
      <c r="G5" s="85" t="str">
        <f t="shared" si="1"/>
        <v>WCS</v>
      </c>
      <c r="H5" s="39">
        <f t="shared" si="2"/>
        <v>92.09</v>
      </c>
      <c r="I5" s="94">
        <v>3.7298</v>
      </c>
      <c r="J5" s="101">
        <v>4.5599999999999996</v>
      </c>
      <c r="K5" s="106">
        <f>Table1[[#This Row],[GasP]]-Table1[[#This Row],[Gasoline]]</f>
        <v>0.8301999999999996</v>
      </c>
      <c r="L5" s="4" t="s">
        <v>19</v>
      </c>
      <c r="M5" s="5"/>
      <c r="N5" s="10"/>
    </row>
    <row r="6" spans="1:20">
      <c r="A6" s="90">
        <v>44733</v>
      </c>
      <c r="B6" s="91">
        <v>114.9</v>
      </c>
      <c r="C6" s="89">
        <v>115.97</v>
      </c>
      <c r="D6" s="92">
        <v>114.65</v>
      </c>
      <c r="E6" s="93">
        <v>95.42</v>
      </c>
      <c r="F6" s="93">
        <f t="shared" si="0"/>
        <v>4</v>
      </c>
      <c r="G6" s="84" t="str">
        <f t="shared" si="1"/>
        <v>WCS</v>
      </c>
      <c r="H6" s="38">
        <f t="shared" si="2"/>
        <v>95.42</v>
      </c>
      <c r="I6" s="94">
        <v>3.69</v>
      </c>
      <c r="J6" s="95">
        <v>4.59</v>
      </c>
      <c r="K6" s="106">
        <f>Table1[[#This Row],[GasP]]-Table1[[#This Row],[Gasoline]]</f>
        <v>0.89999999999999991</v>
      </c>
      <c r="L6" s="4" t="s">
        <v>18</v>
      </c>
      <c r="M6" s="14">
        <f>IF(M4&gt;0,1-_xlfn.T.DIST(M4,M3-2,1),_xlfn.T.DIST(M4,M3-2,1))</f>
        <v>0</v>
      </c>
      <c r="N6" s="10"/>
    </row>
    <row r="7" spans="1:20">
      <c r="A7" s="102">
        <v>44729</v>
      </c>
      <c r="B7" s="94">
        <v>114.33</v>
      </c>
      <c r="C7" s="89">
        <v>118.97</v>
      </c>
      <c r="D7" s="94">
        <v>113.12</v>
      </c>
      <c r="E7" s="103">
        <v>96</v>
      </c>
      <c r="F7" s="103">
        <f t="shared" si="0"/>
        <v>4</v>
      </c>
      <c r="G7" s="31" t="str">
        <f t="shared" si="1"/>
        <v>WCS</v>
      </c>
      <c r="H7" s="38">
        <f t="shared" si="2"/>
        <v>96</v>
      </c>
      <c r="I7" s="94">
        <v>3.7930000000000001</v>
      </c>
      <c r="J7" s="95">
        <v>4.63</v>
      </c>
      <c r="K7" s="106">
        <f>Table1[[#This Row],[GasP]]-Table1[[#This Row],[Gasoline]]</f>
        <v>0.83699999999999974</v>
      </c>
      <c r="L7" s="4"/>
      <c r="M7" t="str">
        <f>IF(M6&lt;=0.05,"Statistically Significant","not statistically significant")</f>
        <v>Statistically Significant</v>
      </c>
    </row>
    <row r="8" spans="1:20">
      <c r="A8" s="15">
        <v>44728</v>
      </c>
      <c r="B8" s="25">
        <v>117.52</v>
      </c>
      <c r="C8" s="35">
        <v>119.24</v>
      </c>
      <c r="D8" s="25">
        <v>119.81</v>
      </c>
      <c r="E8" s="4">
        <v>97.66</v>
      </c>
      <c r="F8" s="4">
        <f t="shared" si="0"/>
        <v>4</v>
      </c>
      <c r="G8" s="32" t="str">
        <f t="shared" si="1"/>
        <v>WCS</v>
      </c>
      <c r="H8" s="39">
        <f t="shared" si="2"/>
        <v>97.66</v>
      </c>
      <c r="I8" s="25">
        <v>3.9558</v>
      </c>
      <c r="J8" s="88">
        <v>4.63</v>
      </c>
      <c r="K8" s="106">
        <f>Table1[[#This Row],[GasP]]-Table1[[#This Row],[Gasoline]]</f>
        <v>0.67419999999999991</v>
      </c>
      <c r="L8" s="4"/>
      <c r="Q8">
        <f>AVERAGE(H12:H685)</f>
        <v>60.026246290801254</v>
      </c>
    </row>
    <row r="9" spans="1:20">
      <c r="A9" s="15">
        <v>44727</v>
      </c>
      <c r="B9" s="25">
        <v>116.47</v>
      </c>
      <c r="C9" s="34">
        <v>121.07</v>
      </c>
      <c r="D9" s="25">
        <v>118.51</v>
      </c>
      <c r="E9" s="4">
        <v>101.21</v>
      </c>
      <c r="F9" s="4">
        <f t="shared" si="0"/>
        <v>4</v>
      </c>
      <c r="G9" s="31" t="str">
        <f t="shared" si="1"/>
        <v>WCS</v>
      </c>
      <c r="H9" s="38">
        <f t="shared" si="2"/>
        <v>101.21</v>
      </c>
      <c r="I9" s="25">
        <v>3.8942000000000001</v>
      </c>
      <c r="J9" s="87">
        <v>4.6399999999999997</v>
      </c>
      <c r="K9" s="106">
        <f>Table1[[#This Row],[GasP]]-Table1[[#This Row],[Gasoline]]</f>
        <v>0.74579999999999957</v>
      </c>
      <c r="L9" s="4" t="s">
        <v>17</v>
      </c>
      <c r="M9" s="5">
        <f>AVERAGE(H12:H265)</f>
        <v>83.389291338582765</v>
      </c>
      <c r="N9" s="13" t="s">
        <v>12</v>
      </c>
      <c r="O9" s="5">
        <f>_xlfn.STDEV.S(H12:H265)</f>
        <v>15.234718472181374</v>
      </c>
      <c r="P9" s="13" t="s">
        <v>13</v>
      </c>
    </row>
    <row r="10" spans="1:20">
      <c r="A10" s="15">
        <v>44726</v>
      </c>
      <c r="B10" s="25">
        <v>118.22</v>
      </c>
      <c r="C10" s="35">
        <v>123.73</v>
      </c>
      <c r="D10" s="25">
        <v>121.17</v>
      </c>
      <c r="E10" s="4">
        <v>104.83</v>
      </c>
      <c r="F10" s="4">
        <f t="shared" si="0"/>
        <v>4</v>
      </c>
      <c r="G10" s="32" t="str">
        <f t="shared" si="1"/>
        <v>WCS</v>
      </c>
      <c r="H10" s="39">
        <f t="shared" si="2"/>
        <v>104.83</v>
      </c>
      <c r="I10" s="40">
        <v>3.9937999999999998</v>
      </c>
      <c r="J10" s="88">
        <v>4.66</v>
      </c>
      <c r="K10" s="106">
        <f>Table1[[#This Row],[GasP]]-Table1[[#This Row],[Gasoline]]</f>
        <v>0.66620000000000035</v>
      </c>
      <c r="L10" s="4" t="s">
        <v>16</v>
      </c>
      <c r="M10" s="5">
        <f>AVERAGE(I12:I265)</f>
        <v>2.632688188976378</v>
      </c>
      <c r="N10" s="13" t="s">
        <v>12</v>
      </c>
    </row>
    <row r="11" spans="1:20">
      <c r="A11" s="15">
        <v>44725</v>
      </c>
      <c r="B11" s="25">
        <v>119.36</v>
      </c>
      <c r="C11" s="34">
        <v>120.66</v>
      </c>
      <c r="D11" s="25">
        <v>122.27</v>
      </c>
      <c r="E11" s="4">
        <v>106.83</v>
      </c>
      <c r="F11" s="4">
        <f t="shared" si="0"/>
        <v>4</v>
      </c>
      <c r="G11" s="31" t="str">
        <f t="shared" si="1"/>
        <v>WCS</v>
      </c>
      <c r="H11" s="38">
        <f t="shared" si="2"/>
        <v>106.83</v>
      </c>
      <c r="I11" s="25">
        <v>4.0353000000000003</v>
      </c>
      <c r="J11" s="87">
        <v>4.67</v>
      </c>
      <c r="K11" s="106">
        <f>Table1[[#This Row],[GasP]]-Table1[[#This Row],[Gasoline]]</f>
        <v>0.6346999999999996</v>
      </c>
      <c r="L11" s="4"/>
    </row>
    <row r="12" spans="1:20">
      <c r="A12" s="15">
        <v>44722</v>
      </c>
      <c r="B12" s="25">
        <v>119.24</v>
      </c>
      <c r="C12" s="25">
        <v>123.19</v>
      </c>
      <c r="D12" s="25">
        <v>122.01</v>
      </c>
      <c r="E12" s="4">
        <v>106.57</v>
      </c>
      <c r="F12" s="4">
        <f t="shared" si="0"/>
        <v>4</v>
      </c>
      <c r="G12" s="4" t="str">
        <f t="shared" si="1"/>
        <v>WCS</v>
      </c>
      <c r="H12" s="25">
        <f t="shared" si="2"/>
        <v>106.57</v>
      </c>
      <c r="I12" s="25">
        <v>4.1722000000000001</v>
      </c>
      <c r="J12" s="88">
        <v>4.67</v>
      </c>
      <c r="K12" s="106">
        <f>Table1[[#This Row],[GasP]]-Table1[[#This Row],[Gasoline]]</f>
        <v>0.4977999999999998</v>
      </c>
      <c r="L12" s="4" t="s">
        <v>15</v>
      </c>
      <c r="M12" s="5">
        <f>(M9-Q8)/(O9/SQRT(M3))</f>
        <v>24.440600461350712</v>
      </c>
    </row>
    <row r="13" spans="1:20">
      <c r="A13" s="15">
        <v>44721</v>
      </c>
      <c r="B13" s="25">
        <v>119.84</v>
      </c>
      <c r="C13" s="25">
        <v>123.21</v>
      </c>
      <c r="D13" s="25">
        <v>123.07</v>
      </c>
      <c r="E13" s="4">
        <v>107.41</v>
      </c>
      <c r="F13" s="4">
        <f t="shared" si="0"/>
        <v>4</v>
      </c>
      <c r="G13" s="4" t="str">
        <f t="shared" si="1"/>
        <v>WCS</v>
      </c>
      <c r="H13" s="25">
        <f t="shared" si="2"/>
        <v>107.41</v>
      </c>
      <c r="I13" s="25">
        <v>4.2762000000000002</v>
      </c>
      <c r="J13" s="87">
        <v>4.6500000000000004</v>
      </c>
      <c r="K13" s="106">
        <f>Table1[[#This Row],[GasP]]-Table1[[#This Row],[Gasoline]]</f>
        <v>0.37380000000000013</v>
      </c>
      <c r="L13" s="4"/>
    </row>
    <row r="14" spans="1:20">
      <c r="A14" s="15">
        <v>44720</v>
      </c>
      <c r="B14" s="25">
        <v>120.3</v>
      </c>
      <c r="C14" s="25">
        <v>121.54</v>
      </c>
      <c r="D14" s="25">
        <v>123.58</v>
      </c>
      <c r="E14" s="4">
        <v>108.01</v>
      </c>
      <c r="F14" s="4">
        <f t="shared" si="0"/>
        <v>4</v>
      </c>
      <c r="G14" s="4" t="str">
        <f t="shared" si="1"/>
        <v>WCS</v>
      </c>
      <c r="H14" s="25">
        <f t="shared" si="2"/>
        <v>108.01</v>
      </c>
      <c r="I14" s="25">
        <v>4.2218999999999998</v>
      </c>
      <c r="J14" s="88">
        <v>4.67</v>
      </c>
      <c r="K14" s="106">
        <f>Table1[[#This Row],[GasP]]-Table1[[#This Row],[Gasoline]]</f>
        <v>0.44810000000000016</v>
      </c>
      <c r="L14" s="4"/>
    </row>
    <row r="15" spans="1:20">
      <c r="A15" s="15">
        <v>44719</v>
      </c>
      <c r="B15" s="25">
        <v>118.25</v>
      </c>
      <c r="C15" s="25">
        <v>120.16</v>
      </c>
      <c r="D15" s="25">
        <v>120.57</v>
      </c>
      <c r="E15" s="4">
        <v>105.31</v>
      </c>
      <c r="F15" s="4">
        <f t="shared" si="0"/>
        <v>4</v>
      </c>
      <c r="G15" s="4" t="str">
        <f t="shared" si="1"/>
        <v>WCS</v>
      </c>
      <c r="H15" s="25">
        <f t="shared" si="2"/>
        <v>105.31</v>
      </c>
      <c r="I15" s="25">
        <v>4.1577000000000002</v>
      </c>
      <c r="J15" s="87">
        <v>4.68</v>
      </c>
      <c r="K15" s="106">
        <f>Table1[[#This Row],[GasP]]-Table1[[#This Row],[Gasoline]]</f>
        <v>0.52229999999999954</v>
      </c>
      <c r="L15" s="4"/>
    </row>
    <row r="16" spans="1:20">
      <c r="A16" s="15">
        <v>44718</v>
      </c>
      <c r="B16" s="25">
        <v>117.47</v>
      </c>
      <c r="C16" s="25">
        <v>119.85</v>
      </c>
      <c r="D16" s="25">
        <v>119.51</v>
      </c>
      <c r="E16" s="4">
        <v>104.4</v>
      </c>
      <c r="F16" s="4">
        <f t="shared" si="0"/>
        <v>4</v>
      </c>
      <c r="G16" s="4" t="str">
        <f t="shared" si="1"/>
        <v>WCS</v>
      </c>
      <c r="H16" s="25">
        <f t="shared" si="2"/>
        <v>104.4</v>
      </c>
      <c r="I16" s="25">
        <v>4.1929999999999996</v>
      </c>
      <c r="J16" s="88">
        <v>4.6900000000000004</v>
      </c>
      <c r="K16" s="106">
        <f>Table1[[#This Row],[GasP]]-Table1[[#This Row],[Gasoline]]</f>
        <v>0.49700000000000077</v>
      </c>
      <c r="L16" s="12" t="s">
        <v>14</v>
      </c>
      <c r="M16">
        <f>280</f>
        <v>280</v>
      </c>
    </row>
    <row r="17" spans="1:14">
      <c r="A17" s="15">
        <v>44715</v>
      </c>
      <c r="B17" s="25">
        <v>117.72</v>
      </c>
      <c r="C17" s="25">
        <v>117.15</v>
      </c>
      <c r="D17" s="25">
        <v>119.72</v>
      </c>
      <c r="E17" s="4">
        <v>104.77</v>
      </c>
      <c r="F17" s="4">
        <f t="shared" si="0"/>
        <v>4</v>
      </c>
      <c r="G17" s="4" t="str">
        <f t="shared" si="1"/>
        <v>WCS</v>
      </c>
      <c r="H17" s="25">
        <f t="shared" si="2"/>
        <v>104.77</v>
      </c>
      <c r="I17" s="25">
        <v>4.2522000000000002</v>
      </c>
      <c r="J17" s="87">
        <v>4.68</v>
      </c>
      <c r="K17" s="106">
        <f>Table1[[#This Row],[GasP]]-Table1[[#This Row],[Gasoline]]</f>
        <v>0.42779999999999951</v>
      </c>
      <c r="L17" s="12" t="s">
        <v>13</v>
      </c>
      <c r="M17">
        <v>300</v>
      </c>
    </row>
    <row r="18" spans="1:14">
      <c r="A18" s="15">
        <v>44714</v>
      </c>
      <c r="B18" s="25">
        <v>115.94</v>
      </c>
      <c r="C18" s="25">
        <v>114.62</v>
      </c>
      <c r="D18" s="25">
        <v>117.61</v>
      </c>
      <c r="E18" s="4">
        <v>102.77</v>
      </c>
      <c r="F18" s="4">
        <f t="shared" si="0"/>
        <v>4</v>
      </c>
      <c r="G18" s="4" t="str">
        <f t="shared" si="1"/>
        <v>WCS</v>
      </c>
      <c r="H18" s="25">
        <f t="shared" si="2"/>
        <v>102.77</v>
      </c>
      <c r="I18" s="25">
        <v>4.1909000000000001</v>
      </c>
      <c r="J18" s="88">
        <v>4.68</v>
      </c>
      <c r="K18" s="106">
        <f>Table1[[#This Row],[GasP]]-Table1[[#This Row],[Gasoline]]</f>
        <v>0.48909999999999965</v>
      </c>
      <c r="L18" s="11" t="s">
        <v>12</v>
      </c>
      <c r="M18">
        <v>50</v>
      </c>
    </row>
    <row r="19" spans="1:14">
      <c r="A19" s="15">
        <v>44713</v>
      </c>
      <c r="B19" s="25">
        <v>114.41</v>
      </c>
      <c r="C19" s="25">
        <v>117.07</v>
      </c>
      <c r="D19" s="25">
        <v>116.29</v>
      </c>
      <c r="E19" s="4">
        <v>101.16</v>
      </c>
      <c r="F19" s="4">
        <f t="shared" si="0"/>
        <v>4</v>
      </c>
      <c r="G19" s="4" t="str">
        <f t="shared" si="1"/>
        <v>WCS</v>
      </c>
      <c r="H19" s="25">
        <f t="shared" si="2"/>
        <v>101.16</v>
      </c>
      <c r="I19" s="25">
        <v>4.0716000000000001</v>
      </c>
      <c r="J19" s="87">
        <v>4.6500000000000004</v>
      </c>
      <c r="K19" s="106">
        <f>Table1[[#This Row],[GasP]]-Table1[[#This Row],[Gasoline]]</f>
        <v>0.57840000000000025</v>
      </c>
      <c r="L19" s="11" t="s">
        <v>11</v>
      </c>
      <c r="M19">
        <v>15</v>
      </c>
    </row>
    <row r="20" spans="1:14">
      <c r="A20" s="15">
        <v>44712</v>
      </c>
      <c r="B20" s="25">
        <v>109.26</v>
      </c>
      <c r="C20" s="25">
        <v>122.94</v>
      </c>
      <c r="D20" s="25">
        <v>122.84</v>
      </c>
      <c r="E20" s="4">
        <v>100.57</v>
      </c>
      <c r="F20" s="4">
        <f t="shared" si="0"/>
        <v>4</v>
      </c>
      <c r="G20" s="4" t="str">
        <f t="shared" si="1"/>
        <v>WCS</v>
      </c>
      <c r="H20" s="25">
        <f t="shared" si="2"/>
        <v>100.57</v>
      </c>
      <c r="I20" s="25">
        <v>3.9161999999999999</v>
      </c>
      <c r="J20" s="88">
        <v>4.57</v>
      </c>
      <c r="K20" s="106">
        <f>Table1[[#This Row],[GasP]]-Table1[[#This Row],[Gasoline]]</f>
        <v>0.65380000000000038</v>
      </c>
      <c r="L20" s="4"/>
      <c r="M20">
        <f>(M16-M17)/(M18/SQRT(M19))</f>
        <v>-1.5491933384829668</v>
      </c>
      <c r="N20" s="10" t="s">
        <v>10</v>
      </c>
    </row>
    <row r="21" spans="1:14">
      <c r="A21" s="15">
        <v>44711</v>
      </c>
      <c r="B21" s="25">
        <v>109.28</v>
      </c>
      <c r="C21" s="25">
        <v>120.01</v>
      </c>
      <c r="D21" s="25">
        <v>119.43</v>
      </c>
      <c r="E21" s="4">
        <v>100.97</v>
      </c>
      <c r="F21" s="4">
        <f t="shared" si="0"/>
        <v>4</v>
      </c>
      <c r="G21" s="4" t="str">
        <f t="shared" si="1"/>
        <v>WCS</v>
      </c>
      <c r="H21" s="25">
        <f t="shared" si="2"/>
        <v>100.97</v>
      </c>
      <c r="I21" s="25">
        <v>3.9119000000000002</v>
      </c>
      <c r="J21" s="87">
        <v>4.5199999999999996</v>
      </c>
      <c r="K21" s="106">
        <f>Table1[[#This Row],[GasP]]-Table1[[#This Row],[Gasoline]]</f>
        <v>0.60809999999999942</v>
      </c>
      <c r="L21" s="4"/>
    </row>
    <row r="22" spans="1:14">
      <c r="A22" s="15">
        <v>44708</v>
      </c>
      <c r="B22" s="25">
        <v>109.19</v>
      </c>
      <c r="C22" s="25">
        <v>118.84</v>
      </c>
      <c r="D22" s="25">
        <v>117.4</v>
      </c>
      <c r="E22" s="4" t="s">
        <v>8</v>
      </c>
      <c r="F22" s="4">
        <f t="shared" si="0"/>
        <v>1</v>
      </c>
      <c r="G22" s="4" t="str">
        <f t="shared" si="1"/>
        <v>WTI Crude</v>
      </c>
      <c r="H22" s="25">
        <f t="shared" si="2"/>
        <v>109.19</v>
      </c>
      <c r="I22" s="25">
        <v>3.7924000000000002</v>
      </c>
      <c r="J22" s="88">
        <v>4.5199999999999996</v>
      </c>
      <c r="K22" s="106">
        <f>Table1[[#This Row],[GasP]]-Table1[[#This Row],[Gasoline]]</f>
        <v>0.72759999999999936</v>
      </c>
      <c r="L22" s="4"/>
    </row>
    <row r="23" spans="1:14">
      <c r="A23" s="15">
        <v>44707</v>
      </c>
      <c r="B23" s="25">
        <v>108.65</v>
      </c>
      <c r="C23" s="25">
        <v>116.5</v>
      </c>
      <c r="D23" s="25">
        <v>114.03</v>
      </c>
      <c r="E23" s="4" t="s">
        <v>8</v>
      </c>
      <c r="F23" s="4">
        <f t="shared" si="0"/>
        <v>1</v>
      </c>
      <c r="G23" s="4" t="str">
        <f t="shared" si="1"/>
        <v>WTI Crude</v>
      </c>
      <c r="H23" s="25">
        <f t="shared" si="2"/>
        <v>108.65</v>
      </c>
      <c r="I23" s="25">
        <v>3.7252999999999998</v>
      </c>
      <c r="J23" s="87">
        <v>4.51</v>
      </c>
      <c r="K23" s="106">
        <f>Table1[[#This Row],[GasP]]-Table1[[#This Row],[Gasoline]]</f>
        <v>0.78469999999999995</v>
      </c>
      <c r="L23" s="4"/>
    </row>
    <row r="24" spans="1:14">
      <c r="A24" s="15">
        <v>44706</v>
      </c>
      <c r="B24" s="25">
        <v>108.54</v>
      </c>
      <c r="C24" s="25">
        <v>115.83</v>
      </c>
      <c r="D24" s="25">
        <v>113.56</v>
      </c>
      <c r="E24" s="4" t="s">
        <v>8</v>
      </c>
      <c r="F24" s="4">
        <f t="shared" si="0"/>
        <v>1</v>
      </c>
      <c r="G24" s="4" t="str">
        <f t="shared" si="1"/>
        <v>WTI Crude</v>
      </c>
      <c r="H24" s="25">
        <f t="shared" si="2"/>
        <v>108.54</v>
      </c>
      <c r="I24" s="25">
        <v>3.6897000000000002</v>
      </c>
      <c r="J24" s="88">
        <v>4.4400000000000004</v>
      </c>
      <c r="K24" s="106">
        <f>Table1[[#This Row],[GasP]]-Table1[[#This Row],[Gasoline]]</f>
        <v>0.75030000000000019</v>
      </c>
      <c r="L24" s="4"/>
    </row>
    <row r="25" spans="1:14">
      <c r="A25" s="15">
        <v>44705</v>
      </c>
      <c r="B25" s="25">
        <v>108.67</v>
      </c>
      <c r="C25" s="25">
        <v>114.96</v>
      </c>
      <c r="D25" s="25">
        <v>113.42</v>
      </c>
      <c r="E25" s="4" t="s">
        <v>8</v>
      </c>
      <c r="F25" s="4">
        <f t="shared" si="0"/>
        <v>1</v>
      </c>
      <c r="G25" s="4" t="str">
        <f t="shared" si="1"/>
        <v>WTI Crude</v>
      </c>
      <c r="H25" s="25">
        <f t="shared" si="2"/>
        <v>108.67</v>
      </c>
      <c r="I25" s="25">
        <v>3.6802000000000001</v>
      </c>
      <c r="J25" s="87">
        <v>4.3899999999999997</v>
      </c>
      <c r="K25" s="106">
        <f>Table1[[#This Row],[GasP]]-Table1[[#This Row],[Gasoline]]</f>
        <v>0.70979999999999954</v>
      </c>
      <c r="L25" s="4"/>
    </row>
    <row r="26" spans="1:14">
      <c r="A26" s="15">
        <v>44704</v>
      </c>
      <c r="B26" s="25">
        <v>108.66</v>
      </c>
      <c r="C26" s="25">
        <v>115.95</v>
      </c>
      <c r="D26" s="25">
        <v>112.55</v>
      </c>
      <c r="E26" s="4" t="s">
        <v>8</v>
      </c>
      <c r="F26" s="4">
        <f t="shared" si="0"/>
        <v>1</v>
      </c>
      <c r="G26" s="4" t="str">
        <f t="shared" si="1"/>
        <v>WTI Crude</v>
      </c>
      <c r="H26" s="25">
        <f t="shared" si="2"/>
        <v>108.66</v>
      </c>
      <c r="I26" s="25">
        <v>3.6897000000000002</v>
      </c>
      <c r="J26" s="88">
        <v>4.3600000000000003</v>
      </c>
      <c r="K26" s="106">
        <f>Table1[[#This Row],[GasP]]-Table1[[#This Row],[Gasoline]]</f>
        <v>0.67030000000000012</v>
      </c>
      <c r="L26" s="4"/>
    </row>
    <row r="27" spans="1:14">
      <c r="A27" s="15">
        <v>44701</v>
      </c>
      <c r="B27" s="25">
        <v>108.5</v>
      </c>
      <c r="C27" s="25">
        <v>114.69</v>
      </c>
      <c r="D27" s="25">
        <v>112.04</v>
      </c>
      <c r="E27" s="4" t="s">
        <v>8</v>
      </c>
      <c r="F27" s="4">
        <f t="shared" si="0"/>
        <v>1</v>
      </c>
      <c r="G27" s="4" t="str">
        <f t="shared" si="1"/>
        <v>WTI Crude</v>
      </c>
      <c r="H27" s="25">
        <f t="shared" si="2"/>
        <v>108.5</v>
      </c>
      <c r="I27" s="25">
        <v>3.6776</v>
      </c>
      <c r="J27" s="87"/>
      <c r="K27" s="106">
        <f>Table1[[#This Row],[GasP]]-Table1[[#This Row],[Gasoline]]</f>
        <v>-3.6776</v>
      </c>
      <c r="L27" s="4"/>
    </row>
    <row r="28" spans="1:14">
      <c r="A28" s="15">
        <v>44700</v>
      </c>
      <c r="B28" s="25">
        <v>107.44</v>
      </c>
      <c r="C28" s="25">
        <v>111.94</v>
      </c>
      <c r="D28" s="25">
        <v>109.11</v>
      </c>
      <c r="E28" s="4" t="s">
        <v>8</v>
      </c>
      <c r="F28" s="4">
        <f t="shared" si="0"/>
        <v>1</v>
      </c>
      <c r="G28" s="4" t="str">
        <f t="shared" si="1"/>
        <v>WTI Crude</v>
      </c>
      <c r="H28" s="25">
        <f t="shared" si="2"/>
        <v>107.44</v>
      </c>
      <c r="I28" s="25">
        <v>3.5912999999999999</v>
      </c>
      <c r="J28" s="88">
        <v>4.3499999999999996</v>
      </c>
      <c r="K28" s="106">
        <f>Table1[[#This Row],[GasP]]-Table1[[#This Row],[Gasoline]]</f>
        <v>0.75869999999999971</v>
      </c>
      <c r="L28" s="4"/>
    </row>
    <row r="29" spans="1:14">
      <c r="A29" s="15">
        <v>44699</v>
      </c>
      <c r="B29" s="25">
        <v>108.58</v>
      </c>
      <c r="C29" s="25">
        <v>114.84</v>
      </c>
      <c r="D29" s="25">
        <v>111.93</v>
      </c>
      <c r="E29" s="4" t="s">
        <v>8</v>
      </c>
      <c r="F29" s="4">
        <f t="shared" si="0"/>
        <v>1</v>
      </c>
      <c r="G29" s="4" t="str">
        <f t="shared" si="1"/>
        <v>WTI Crude</v>
      </c>
      <c r="H29" s="25">
        <f t="shared" si="2"/>
        <v>108.58</v>
      </c>
      <c r="I29" s="25">
        <v>3.7763</v>
      </c>
      <c r="J29" s="87"/>
      <c r="K29" s="106">
        <f>Table1[[#This Row],[GasP]]-Table1[[#This Row],[Gasoline]]</f>
        <v>-3.7763</v>
      </c>
      <c r="L29" s="4"/>
    </row>
    <row r="30" spans="1:14">
      <c r="A30" s="15">
        <v>44698</v>
      </c>
      <c r="B30" s="25">
        <v>109.55</v>
      </c>
      <c r="C30" s="25">
        <v>117.1</v>
      </c>
      <c r="D30" s="25">
        <v>114.24</v>
      </c>
      <c r="E30" s="4" t="s">
        <v>8</v>
      </c>
      <c r="F30" s="4">
        <f t="shared" si="0"/>
        <v>1</v>
      </c>
      <c r="G30" s="4" t="str">
        <f t="shared" si="1"/>
        <v>WTI Crude</v>
      </c>
      <c r="H30" s="25">
        <f t="shared" si="2"/>
        <v>109.55</v>
      </c>
      <c r="I30" s="25">
        <v>3.8405</v>
      </c>
      <c r="J30" s="88"/>
      <c r="K30" s="106">
        <f>Table1[[#This Row],[GasP]]-Table1[[#This Row],[Gasoline]]</f>
        <v>-3.8405</v>
      </c>
      <c r="L30" s="4"/>
    </row>
    <row r="31" spans="1:14">
      <c r="A31" s="15">
        <v>44697</v>
      </c>
      <c r="B31" s="25">
        <v>107.75</v>
      </c>
      <c r="C31" s="25">
        <v>112.98</v>
      </c>
      <c r="D31" s="25">
        <v>111.55</v>
      </c>
      <c r="E31" s="4" t="s">
        <v>8</v>
      </c>
      <c r="F31" s="4">
        <f t="shared" si="0"/>
        <v>1</v>
      </c>
      <c r="G31" s="4" t="str">
        <f t="shared" si="1"/>
        <v>WTI Crude</v>
      </c>
      <c r="H31" s="25">
        <f t="shared" si="2"/>
        <v>107.75</v>
      </c>
      <c r="I31" s="25">
        <v>3.9578000000000002</v>
      </c>
      <c r="J31" s="87">
        <v>4.37</v>
      </c>
      <c r="K31" s="106">
        <f>Table1[[#This Row],[GasP]]-Table1[[#This Row],[Gasoline]]</f>
        <v>0.4121999999999999</v>
      </c>
      <c r="L31" s="4"/>
    </row>
    <row r="32" spans="1:14">
      <c r="A32" s="15">
        <v>44694</v>
      </c>
      <c r="B32" s="25">
        <v>105.3</v>
      </c>
      <c r="C32" s="25">
        <v>112.27</v>
      </c>
      <c r="D32" s="25">
        <v>107.45</v>
      </c>
      <c r="E32" s="4" t="s">
        <v>8</v>
      </c>
      <c r="F32" s="4">
        <f t="shared" si="0"/>
        <v>1</v>
      </c>
      <c r="G32" s="4" t="str">
        <f t="shared" si="1"/>
        <v>WTI Crude</v>
      </c>
      <c r="H32" s="25">
        <f t="shared" si="2"/>
        <v>105.3</v>
      </c>
      <c r="I32" s="25">
        <v>3.7917000000000001</v>
      </c>
      <c r="J32" s="88"/>
      <c r="K32" s="106">
        <f>Table1[[#This Row],[GasP]]-Table1[[#This Row],[Gasoline]]</f>
        <v>-3.7917000000000001</v>
      </c>
      <c r="L32" s="4"/>
    </row>
    <row r="33" spans="1:12">
      <c r="A33" s="15">
        <v>44693</v>
      </c>
      <c r="B33" s="25">
        <v>105.05</v>
      </c>
      <c r="C33" s="25">
        <v>109.2</v>
      </c>
      <c r="D33" s="25">
        <v>107.51</v>
      </c>
      <c r="E33" s="4" t="s">
        <v>8</v>
      </c>
      <c r="F33" s="4">
        <f t="shared" si="0"/>
        <v>1</v>
      </c>
      <c r="G33" s="4" t="str">
        <f t="shared" si="1"/>
        <v>WTI Crude</v>
      </c>
      <c r="H33" s="25">
        <f t="shared" si="2"/>
        <v>105.05</v>
      </c>
      <c r="I33" s="25">
        <v>3.6855000000000002</v>
      </c>
      <c r="J33" s="87"/>
      <c r="K33" s="106">
        <f>Table1[[#This Row],[GasP]]-Table1[[#This Row],[Gasoline]]</f>
        <v>-3.6855000000000002</v>
      </c>
      <c r="L33" s="4"/>
    </row>
    <row r="34" spans="1:12">
      <c r="A34" s="15">
        <v>44692</v>
      </c>
      <c r="B34" s="25">
        <v>101.19</v>
      </c>
      <c r="C34" s="25">
        <v>108.92</v>
      </c>
      <c r="D34" s="25">
        <v>102.46</v>
      </c>
      <c r="E34" s="4" t="s">
        <v>8</v>
      </c>
      <c r="F34" s="4">
        <f t="shared" si="0"/>
        <v>1</v>
      </c>
      <c r="G34" s="4" t="str">
        <f t="shared" si="1"/>
        <v>WTI Crude</v>
      </c>
      <c r="H34" s="25">
        <f t="shared" si="2"/>
        <v>101.19</v>
      </c>
      <c r="I34" s="25">
        <v>3.5415000000000001</v>
      </c>
      <c r="J34" s="88"/>
      <c r="K34" s="106">
        <f>Table1[[#This Row],[GasP]]-Table1[[#This Row],[Gasoline]]</f>
        <v>-3.5415000000000001</v>
      </c>
      <c r="L34" s="4"/>
    </row>
    <row r="35" spans="1:12">
      <c r="A35" s="15">
        <v>44691</v>
      </c>
      <c r="B35" s="25">
        <v>103.57</v>
      </c>
      <c r="C35" s="25">
        <v>108.08</v>
      </c>
      <c r="D35" s="25">
        <v>105.94</v>
      </c>
      <c r="E35" s="4" t="s">
        <v>8</v>
      </c>
      <c r="F35" s="4">
        <f t="shared" si="0"/>
        <v>1</v>
      </c>
      <c r="G35" s="4" t="str">
        <f t="shared" si="1"/>
        <v>WTI Crude</v>
      </c>
      <c r="H35" s="25">
        <f t="shared" si="2"/>
        <v>103.57</v>
      </c>
      <c r="I35" s="25">
        <v>3.6419000000000001</v>
      </c>
      <c r="J35" s="87">
        <v>4.37</v>
      </c>
      <c r="K35" s="106">
        <f>Table1[[#This Row],[GasP]]-Table1[[#This Row],[Gasoline]]</f>
        <v>0.72809999999999997</v>
      </c>
      <c r="L35" s="4"/>
    </row>
    <row r="36" spans="1:12">
      <c r="A36" s="15">
        <v>44690</v>
      </c>
      <c r="B36" s="25">
        <v>108.62</v>
      </c>
      <c r="C36" s="25">
        <v>112.38</v>
      </c>
      <c r="D36" s="25">
        <v>112.39</v>
      </c>
      <c r="E36" s="4" t="s">
        <v>8</v>
      </c>
      <c r="F36" s="4">
        <f t="shared" si="0"/>
        <v>1</v>
      </c>
      <c r="G36" s="4" t="str">
        <f t="shared" si="1"/>
        <v>WTI Crude</v>
      </c>
      <c r="H36" s="25">
        <f t="shared" si="2"/>
        <v>108.62</v>
      </c>
      <c r="I36" s="25">
        <v>3.7589999999999999</v>
      </c>
      <c r="J36" s="88"/>
      <c r="K36" s="106">
        <f>Table1[[#This Row],[GasP]]-Table1[[#This Row],[Gasoline]]</f>
        <v>-3.7589999999999999</v>
      </c>
      <c r="L36" s="4"/>
    </row>
    <row r="37" spans="1:12">
      <c r="A37" s="15">
        <v>44687</v>
      </c>
      <c r="B37" s="25">
        <v>107.38</v>
      </c>
      <c r="C37" s="25">
        <v>114.27</v>
      </c>
      <c r="D37" s="25">
        <v>110.9</v>
      </c>
      <c r="E37" s="4" t="s">
        <v>8</v>
      </c>
      <c r="F37" s="4">
        <f t="shared" si="0"/>
        <v>1</v>
      </c>
      <c r="G37" s="4" t="str">
        <f t="shared" si="1"/>
        <v>WTI Crude</v>
      </c>
      <c r="H37" s="25">
        <f t="shared" si="2"/>
        <v>107.38</v>
      </c>
      <c r="I37" s="25">
        <v>3.6587000000000001</v>
      </c>
      <c r="J37" s="87"/>
      <c r="K37" s="106">
        <f>Table1[[#This Row],[GasP]]-Table1[[#This Row],[Gasoline]]</f>
        <v>-3.6587000000000001</v>
      </c>
      <c r="L37" s="4"/>
    </row>
    <row r="38" spans="1:12">
      <c r="A38" s="15">
        <v>44686</v>
      </c>
      <c r="B38" s="25">
        <v>106.97</v>
      </c>
      <c r="C38" s="25">
        <v>112.94</v>
      </c>
      <c r="D38" s="25">
        <v>110.14</v>
      </c>
      <c r="E38" s="4" t="s">
        <v>8</v>
      </c>
      <c r="F38" s="4">
        <f t="shared" si="0"/>
        <v>1</v>
      </c>
      <c r="G38" s="4" t="str">
        <f t="shared" si="1"/>
        <v>WTI Crude</v>
      </c>
      <c r="H38" s="25">
        <f t="shared" si="2"/>
        <v>106.97</v>
      </c>
      <c r="I38" s="25">
        <v>3.6522999999999999</v>
      </c>
      <c r="J38" s="88"/>
      <c r="K38" s="106">
        <f>Table1[[#This Row],[GasP]]-Table1[[#This Row],[Gasoline]]</f>
        <v>-3.6522999999999999</v>
      </c>
      <c r="L38" s="4"/>
    </row>
    <row r="39" spans="1:12">
      <c r="A39" s="15">
        <v>44685</v>
      </c>
      <c r="B39" s="25">
        <v>102.11</v>
      </c>
      <c r="C39" s="25">
        <v>110.73</v>
      </c>
      <c r="D39" s="25">
        <v>104.97</v>
      </c>
      <c r="E39" s="4" t="s">
        <v>8</v>
      </c>
      <c r="F39" s="4">
        <f t="shared" si="0"/>
        <v>1</v>
      </c>
      <c r="G39" s="4" t="str">
        <f t="shared" si="1"/>
        <v>WTI Crude</v>
      </c>
      <c r="H39" s="25">
        <f t="shared" si="2"/>
        <v>102.11</v>
      </c>
      <c r="I39" s="25">
        <v>3.5011999999999999</v>
      </c>
      <c r="J39" s="87">
        <v>4.25</v>
      </c>
      <c r="K39" s="106">
        <f>Table1[[#This Row],[GasP]]-Table1[[#This Row],[Gasoline]]</f>
        <v>0.74880000000000013</v>
      </c>
      <c r="L39" s="4"/>
    </row>
    <row r="40" spans="1:12">
      <c r="A40" s="15">
        <v>44684</v>
      </c>
      <c r="B40" s="25">
        <v>104.67</v>
      </c>
      <c r="C40" s="25">
        <v>109.7</v>
      </c>
      <c r="D40" s="25">
        <v>107.58</v>
      </c>
      <c r="E40" s="4" t="s">
        <v>8</v>
      </c>
      <c r="F40" s="4">
        <f t="shared" si="0"/>
        <v>1</v>
      </c>
      <c r="G40" s="4" t="str">
        <f t="shared" si="1"/>
        <v>WTI Crude</v>
      </c>
      <c r="H40" s="25">
        <f t="shared" si="2"/>
        <v>104.67</v>
      </c>
      <c r="I40" s="25">
        <v>3.5101</v>
      </c>
      <c r="J40" s="88"/>
      <c r="K40" s="106">
        <f>Table1[[#This Row],[GasP]]-Table1[[#This Row],[Gasoline]]</f>
        <v>-3.5101</v>
      </c>
      <c r="L40" s="4"/>
    </row>
    <row r="41" spans="1:12">
      <c r="A41" s="15">
        <v>44683</v>
      </c>
      <c r="B41" s="25">
        <v>101.64</v>
      </c>
      <c r="C41" s="25">
        <v>110.09</v>
      </c>
      <c r="D41" s="25">
        <v>109.34</v>
      </c>
      <c r="E41" s="4" t="s">
        <v>8</v>
      </c>
      <c r="F41" s="4">
        <f t="shared" si="0"/>
        <v>1</v>
      </c>
      <c r="G41" s="4" t="str">
        <f t="shared" si="1"/>
        <v>WTI Crude</v>
      </c>
      <c r="H41" s="25">
        <f t="shared" si="2"/>
        <v>101.64</v>
      </c>
      <c r="I41" s="25">
        <v>3.4424000000000001</v>
      </c>
      <c r="J41" s="87">
        <v>4.24</v>
      </c>
      <c r="K41" s="106">
        <f>Table1[[#This Row],[GasP]]-Table1[[#This Row],[Gasoline]]</f>
        <v>0.79760000000000009</v>
      </c>
      <c r="L41" s="4"/>
    </row>
    <row r="42" spans="1:12">
      <c r="A42" s="15">
        <v>44680</v>
      </c>
      <c r="B42" s="25">
        <v>101.67</v>
      </c>
      <c r="C42" s="25">
        <v>107.99</v>
      </c>
      <c r="D42" s="25">
        <v>107.59</v>
      </c>
      <c r="E42" s="4" t="s">
        <v>8</v>
      </c>
      <c r="F42" s="4">
        <f t="shared" si="0"/>
        <v>1</v>
      </c>
      <c r="G42" s="4" t="str">
        <f t="shared" si="1"/>
        <v>WTI Crude</v>
      </c>
      <c r="H42" s="25">
        <f t="shared" si="2"/>
        <v>101.67</v>
      </c>
      <c r="I42" s="25">
        <v>3.4759000000000002</v>
      </c>
      <c r="J42" s="88">
        <v>3.99</v>
      </c>
      <c r="K42" s="106">
        <f>Table1[[#This Row],[GasP]]-Table1[[#This Row],[Gasoline]]</f>
        <v>0.5141</v>
      </c>
      <c r="L42" s="4"/>
    </row>
    <row r="43" spans="1:12">
      <c r="A43" s="15">
        <v>44679</v>
      </c>
      <c r="B43" s="25">
        <v>101.34</v>
      </c>
      <c r="C43" s="25">
        <v>105.3</v>
      </c>
      <c r="D43" s="25">
        <v>105.32</v>
      </c>
      <c r="E43" s="4" t="s">
        <v>8</v>
      </c>
      <c r="F43" s="4">
        <f t="shared" si="0"/>
        <v>1</v>
      </c>
      <c r="G43" s="4" t="str">
        <f t="shared" si="1"/>
        <v>WTI Crude</v>
      </c>
      <c r="H43" s="25">
        <f t="shared" si="2"/>
        <v>101.34</v>
      </c>
      <c r="I43" s="25">
        <v>3.4135</v>
      </c>
      <c r="J43" s="87"/>
      <c r="K43" s="106">
        <f>Table1[[#This Row],[GasP]]-Table1[[#This Row],[Gasoline]]</f>
        <v>-3.4135</v>
      </c>
      <c r="L43" s="4"/>
    </row>
    <row r="44" spans="1:12">
      <c r="A44" s="15">
        <v>44678</v>
      </c>
      <c r="B44" s="25">
        <v>101.29</v>
      </c>
      <c r="C44" s="25">
        <v>105.33</v>
      </c>
      <c r="D44" s="25">
        <v>104.99</v>
      </c>
      <c r="E44" s="4" t="s">
        <v>8</v>
      </c>
      <c r="F44" s="4">
        <f t="shared" si="0"/>
        <v>1</v>
      </c>
      <c r="G44" s="4" t="str">
        <f t="shared" si="1"/>
        <v>WTI Crude</v>
      </c>
      <c r="H44" s="25">
        <f t="shared" si="2"/>
        <v>101.29</v>
      </c>
      <c r="I44" s="25">
        <v>3.3109999999999999</v>
      </c>
      <c r="J44" s="88">
        <v>4.2300000000000004</v>
      </c>
      <c r="K44" s="106">
        <f>Table1[[#This Row],[GasP]]-Table1[[#This Row],[Gasoline]]</f>
        <v>0.91900000000000048</v>
      </c>
      <c r="L44" s="4"/>
    </row>
    <row r="45" spans="1:12">
      <c r="A45" s="15">
        <v>44677</v>
      </c>
      <c r="B45" s="25">
        <v>100.66</v>
      </c>
      <c r="C45" s="25">
        <v>102.94</v>
      </c>
      <c r="D45" s="25">
        <v>102.32</v>
      </c>
      <c r="E45" s="4" t="s">
        <v>8</v>
      </c>
      <c r="F45" s="4">
        <f t="shared" si="0"/>
        <v>1</v>
      </c>
      <c r="G45" s="4" t="str">
        <f t="shared" si="1"/>
        <v>WTI Crude</v>
      </c>
      <c r="H45" s="25">
        <f t="shared" si="2"/>
        <v>100.66</v>
      </c>
      <c r="I45" s="25">
        <v>3.2206000000000001</v>
      </c>
      <c r="J45" s="87"/>
      <c r="K45" s="106">
        <f>Table1[[#This Row],[GasP]]-Table1[[#This Row],[Gasoline]]</f>
        <v>-3.2206000000000001</v>
      </c>
      <c r="L45" s="4"/>
    </row>
    <row r="46" spans="1:12">
      <c r="A46" s="15">
        <v>44676</v>
      </c>
      <c r="B46" s="25">
        <v>101.54</v>
      </c>
      <c r="C46" s="25">
        <v>101.93</v>
      </c>
      <c r="D46" s="25">
        <v>106.65</v>
      </c>
      <c r="E46" s="4" t="s">
        <v>8</v>
      </c>
      <c r="F46" s="4">
        <f t="shared" si="0"/>
        <v>1</v>
      </c>
      <c r="G46" s="4" t="str">
        <f t="shared" si="1"/>
        <v>WTI Crude</v>
      </c>
      <c r="H46" s="25">
        <f t="shared" si="2"/>
        <v>101.54</v>
      </c>
      <c r="I46" s="25">
        <v>3.286</v>
      </c>
      <c r="J46" s="88"/>
      <c r="K46" s="106">
        <f>Table1[[#This Row],[GasP]]-Table1[[#This Row],[Gasoline]]</f>
        <v>-3.286</v>
      </c>
      <c r="L46" s="4"/>
    </row>
    <row r="47" spans="1:12">
      <c r="A47" s="15">
        <v>44673</v>
      </c>
      <c r="B47" s="25">
        <v>102.06</v>
      </c>
      <c r="C47" s="25">
        <v>107.66</v>
      </c>
      <c r="D47" s="25">
        <v>108.33</v>
      </c>
      <c r="E47" s="4" t="s">
        <v>8</v>
      </c>
      <c r="F47" s="4">
        <f t="shared" si="0"/>
        <v>1</v>
      </c>
      <c r="G47" s="4" t="str">
        <f t="shared" si="1"/>
        <v>WTI Crude</v>
      </c>
      <c r="H47" s="25">
        <f t="shared" si="2"/>
        <v>102.06</v>
      </c>
      <c r="I47" s="25">
        <v>3.3174999999999999</v>
      </c>
      <c r="J47" s="87">
        <v>4.17</v>
      </c>
      <c r="K47" s="106">
        <f>Table1[[#This Row],[GasP]]-Table1[[#This Row],[Gasoline]]</f>
        <v>0.85250000000000004</v>
      </c>
      <c r="L47" s="4"/>
    </row>
    <row r="48" spans="1:12">
      <c r="A48" s="15">
        <v>44672</v>
      </c>
      <c r="B48" s="25">
        <v>101.5</v>
      </c>
      <c r="C48" s="25">
        <v>108.81</v>
      </c>
      <c r="D48" s="25">
        <v>106.8</v>
      </c>
      <c r="E48" s="4" t="s">
        <v>8</v>
      </c>
      <c r="F48" s="4">
        <f t="shared" si="0"/>
        <v>1</v>
      </c>
      <c r="G48" s="4" t="str">
        <f t="shared" si="1"/>
        <v>WTI Crude</v>
      </c>
      <c r="H48" s="25">
        <f t="shared" si="2"/>
        <v>101.5</v>
      </c>
      <c r="I48" s="25">
        <v>3.2618</v>
      </c>
      <c r="J48" s="88"/>
      <c r="K48" s="106">
        <f>Table1[[#This Row],[GasP]]-Table1[[#This Row],[Gasoline]]</f>
        <v>-3.2618</v>
      </c>
      <c r="L48" s="4"/>
    </row>
    <row r="49" spans="1:12">
      <c r="A49" s="15">
        <v>44671</v>
      </c>
      <c r="B49" s="25">
        <v>101.44</v>
      </c>
      <c r="C49" s="25">
        <v>107.97</v>
      </c>
      <c r="D49" s="25">
        <v>107.25</v>
      </c>
      <c r="E49" s="4" t="s">
        <v>8</v>
      </c>
      <c r="F49" s="4">
        <f t="shared" si="0"/>
        <v>1</v>
      </c>
      <c r="G49" s="4" t="str">
        <f t="shared" si="1"/>
        <v>WTI Crude</v>
      </c>
      <c r="H49" s="25">
        <f t="shared" si="2"/>
        <v>101.44</v>
      </c>
      <c r="I49" s="25">
        <v>3.2288999999999999</v>
      </c>
      <c r="J49" s="87"/>
      <c r="K49" s="106">
        <f>Table1[[#This Row],[GasP]]-Table1[[#This Row],[Gasoline]]</f>
        <v>-3.2288999999999999</v>
      </c>
      <c r="L49" s="4"/>
    </row>
    <row r="50" spans="1:12">
      <c r="A50" s="15">
        <v>44670</v>
      </c>
      <c r="B50" s="25">
        <v>103.95</v>
      </c>
      <c r="C50" s="25">
        <v>110.52</v>
      </c>
      <c r="D50" s="25">
        <v>113.16</v>
      </c>
      <c r="E50" s="4" t="s">
        <v>8</v>
      </c>
      <c r="F50" s="4">
        <f t="shared" si="0"/>
        <v>1</v>
      </c>
      <c r="G50" s="4" t="str">
        <f t="shared" si="1"/>
        <v>WTI Crude</v>
      </c>
      <c r="H50" s="25">
        <f t="shared" si="2"/>
        <v>103.95</v>
      </c>
      <c r="I50" s="25">
        <v>3.3580000000000001</v>
      </c>
      <c r="J50" s="88">
        <v>4.05</v>
      </c>
      <c r="K50" s="106">
        <f>Table1[[#This Row],[GasP]]-Table1[[#This Row],[Gasoline]]</f>
        <v>0.69199999999999973</v>
      </c>
      <c r="L50" s="4"/>
    </row>
    <row r="51" spans="1:12">
      <c r="A51" s="15">
        <v>44669</v>
      </c>
      <c r="B51" s="25">
        <v>103.33</v>
      </c>
      <c r="C51" s="25">
        <v>110.54</v>
      </c>
      <c r="D51" s="25">
        <v>111.7</v>
      </c>
      <c r="E51" s="4" t="s">
        <v>8</v>
      </c>
      <c r="F51" s="4">
        <f t="shared" si="0"/>
        <v>1</v>
      </c>
      <c r="G51" s="4" t="str">
        <f t="shared" si="1"/>
        <v>WTI Crude</v>
      </c>
      <c r="H51" s="25">
        <f t="shared" si="2"/>
        <v>103.33</v>
      </c>
      <c r="I51" s="25">
        <v>3.3814000000000002</v>
      </c>
      <c r="J51" s="87"/>
      <c r="K51" s="106">
        <f>Table1[[#This Row],[GasP]]-Table1[[#This Row],[Gasoline]]</f>
        <v>-3.3814000000000002</v>
      </c>
      <c r="L51" s="4"/>
    </row>
    <row r="52" spans="1:12">
      <c r="A52" s="15">
        <v>44665</v>
      </c>
      <c r="B52" s="25">
        <v>101.89</v>
      </c>
      <c r="C52" s="25">
        <v>108.52</v>
      </c>
      <c r="D52" s="25">
        <v>108.78</v>
      </c>
      <c r="E52" s="4" t="s">
        <v>8</v>
      </c>
      <c r="F52" s="4">
        <f t="shared" si="0"/>
        <v>1</v>
      </c>
      <c r="G52" s="4" t="str">
        <f t="shared" si="1"/>
        <v>WTI Crude</v>
      </c>
      <c r="H52" s="25">
        <f t="shared" si="2"/>
        <v>101.89</v>
      </c>
      <c r="I52" s="25">
        <v>3.2913000000000001</v>
      </c>
      <c r="J52" s="88"/>
      <c r="K52" s="106">
        <f>Table1[[#This Row],[GasP]]-Table1[[#This Row],[Gasoline]]</f>
        <v>-3.2913000000000001</v>
      </c>
      <c r="L52" s="4"/>
    </row>
    <row r="53" spans="1:12">
      <c r="A53" s="15">
        <v>44664</v>
      </c>
      <c r="B53" s="25">
        <v>99.7</v>
      </c>
      <c r="C53" s="25">
        <v>106.07</v>
      </c>
      <c r="D53" s="25">
        <v>104.64</v>
      </c>
      <c r="E53" s="4" t="s">
        <v>8</v>
      </c>
      <c r="F53" s="4">
        <f t="shared" si="0"/>
        <v>1</v>
      </c>
      <c r="G53" s="4" t="str">
        <f t="shared" si="1"/>
        <v>WTI Crude</v>
      </c>
      <c r="H53" s="25">
        <f t="shared" si="2"/>
        <v>99.7</v>
      </c>
      <c r="I53" s="25">
        <v>3.1537999999999999</v>
      </c>
      <c r="J53" s="87"/>
      <c r="K53" s="106">
        <f>Table1[[#This Row],[GasP]]-Table1[[#This Row],[Gasoline]]</f>
        <v>-3.1537999999999999</v>
      </c>
      <c r="L53" s="4"/>
    </row>
    <row r="54" spans="1:12">
      <c r="A54" s="15">
        <v>44663</v>
      </c>
      <c r="B54" s="25">
        <v>95.63</v>
      </c>
      <c r="C54" s="25">
        <v>102.41</v>
      </c>
      <c r="D54" s="25">
        <v>98.48</v>
      </c>
      <c r="E54" s="4" t="s">
        <v>8</v>
      </c>
      <c r="F54" s="4">
        <f t="shared" si="0"/>
        <v>1</v>
      </c>
      <c r="G54" s="4" t="str">
        <f t="shared" si="1"/>
        <v>WTI Crude</v>
      </c>
      <c r="H54" s="25">
        <f t="shared" si="2"/>
        <v>95.63</v>
      </c>
      <c r="I54" s="25">
        <v>3.0030999999999999</v>
      </c>
      <c r="J54" s="88">
        <v>3.96</v>
      </c>
      <c r="K54" s="106">
        <f>Table1[[#This Row],[GasP]]-Table1[[#This Row],[Gasoline]]</f>
        <v>0.95690000000000008</v>
      </c>
      <c r="L54" s="4"/>
    </row>
    <row r="55" spans="1:12">
      <c r="A55" s="15">
        <v>44662</v>
      </c>
      <c r="B55" s="25">
        <v>98.35</v>
      </c>
      <c r="C55" s="25">
        <v>100.08</v>
      </c>
      <c r="D55" s="25">
        <v>102.78</v>
      </c>
      <c r="E55" s="4" t="s">
        <v>8</v>
      </c>
      <c r="F55" s="4">
        <f t="shared" si="0"/>
        <v>1</v>
      </c>
      <c r="G55" s="4" t="str">
        <f t="shared" si="1"/>
        <v>WTI Crude</v>
      </c>
      <c r="H55" s="25">
        <f t="shared" si="2"/>
        <v>98.35</v>
      </c>
      <c r="I55" s="25">
        <v>3.1316000000000002</v>
      </c>
      <c r="J55" s="87"/>
      <c r="K55" s="106">
        <f>Table1[[#This Row],[GasP]]-Table1[[#This Row],[Gasoline]]</f>
        <v>-3.1316000000000002</v>
      </c>
      <c r="L55" s="4"/>
    </row>
    <row r="56" spans="1:12">
      <c r="A56" s="15">
        <v>44659</v>
      </c>
      <c r="B56" s="25">
        <v>96.68</v>
      </c>
      <c r="C56" s="25">
        <v>101.06</v>
      </c>
      <c r="D56" s="25">
        <v>100.58</v>
      </c>
      <c r="E56" s="4" t="s">
        <v>8</v>
      </c>
      <c r="F56" s="4">
        <f t="shared" si="0"/>
        <v>1</v>
      </c>
      <c r="G56" s="4" t="str">
        <f t="shared" si="1"/>
        <v>WTI Crude</v>
      </c>
      <c r="H56" s="25">
        <f t="shared" si="2"/>
        <v>96.68</v>
      </c>
      <c r="I56" s="25">
        <v>3.0398000000000001</v>
      </c>
      <c r="J56" s="88"/>
      <c r="K56" s="106">
        <f>Table1[[#This Row],[GasP]]-Table1[[#This Row],[Gasoline]]</f>
        <v>-3.0398000000000001</v>
      </c>
      <c r="L56" s="4"/>
    </row>
    <row r="57" spans="1:12">
      <c r="A57" s="15">
        <v>44658</v>
      </c>
      <c r="B57" s="25">
        <v>96.73</v>
      </c>
      <c r="C57" s="25">
        <v>100.16</v>
      </c>
      <c r="D57" s="25">
        <v>101.07</v>
      </c>
      <c r="E57" s="4" t="s">
        <v>8</v>
      </c>
      <c r="F57" s="4">
        <f t="shared" si="0"/>
        <v>1</v>
      </c>
      <c r="G57" s="4" t="str">
        <f t="shared" si="1"/>
        <v>WTI Crude</v>
      </c>
      <c r="H57" s="25">
        <f t="shared" si="2"/>
        <v>96.73</v>
      </c>
      <c r="I57" s="25">
        <v>3.0461999999999998</v>
      </c>
      <c r="J57" s="87">
        <v>3.92</v>
      </c>
      <c r="K57" s="106">
        <f>Table1[[#This Row],[GasP]]-Table1[[#This Row],[Gasoline]]</f>
        <v>0.87380000000000013</v>
      </c>
      <c r="L57" s="4"/>
    </row>
    <row r="58" spans="1:12">
      <c r="A58" s="15">
        <v>44657</v>
      </c>
      <c r="B58" s="25">
        <v>101.44</v>
      </c>
      <c r="C58" s="25">
        <v>106.17</v>
      </c>
      <c r="D58" s="25">
        <v>106.64</v>
      </c>
      <c r="E58" s="4" t="s">
        <v>8</v>
      </c>
      <c r="F58" s="4">
        <f t="shared" si="0"/>
        <v>1</v>
      </c>
      <c r="G58" s="4" t="str">
        <f t="shared" si="1"/>
        <v>WTI Crude</v>
      </c>
      <c r="H58" s="25">
        <f t="shared" si="2"/>
        <v>101.44</v>
      </c>
      <c r="I58" s="25">
        <v>3.1648999999999998</v>
      </c>
      <c r="J58" s="88"/>
      <c r="K58" s="106">
        <f>Table1[[#This Row],[GasP]]-Table1[[#This Row],[Gasoline]]</f>
        <v>-3.1648999999999998</v>
      </c>
      <c r="L58" s="4"/>
    </row>
    <row r="59" spans="1:12">
      <c r="A59" s="15">
        <v>44656</v>
      </c>
      <c r="B59" s="25">
        <v>102.58</v>
      </c>
      <c r="C59" s="25">
        <v>108.08</v>
      </c>
      <c r="D59" s="25">
        <v>107.53</v>
      </c>
      <c r="E59" s="4" t="s">
        <v>8</v>
      </c>
      <c r="F59" s="4">
        <f t="shared" si="0"/>
        <v>1</v>
      </c>
      <c r="G59" s="4" t="str">
        <f t="shared" si="1"/>
        <v>WTI Crude</v>
      </c>
      <c r="H59" s="25">
        <f t="shared" si="2"/>
        <v>102.58</v>
      </c>
      <c r="I59" s="25">
        <v>3.1981000000000002</v>
      </c>
      <c r="J59" s="87"/>
      <c r="K59" s="106">
        <f>Table1[[#This Row],[GasP]]-Table1[[#This Row],[Gasoline]]</f>
        <v>-3.1981000000000002</v>
      </c>
      <c r="L59" s="4"/>
    </row>
    <row r="60" spans="1:12">
      <c r="A60" s="15">
        <v>44655</v>
      </c>
      <c r="B60" s="25">
        <v>98.79</v>
      </c>
      <c r="C60" s="25">
        <v>106.26</v>
      </c>
      <c r="D60" s="25">
        <v>104.39</v>
      </c>
      <c r="E60" s="3">
        <v>89.06</v>
      </c>
      <c r="F60" s="3">
        <f t="shared" si="0"/>
        <v>4</v>
      </c>
      <c r="G60" s="4" t="str">
        <f t="shared" si="1"/>
        <v>WCS</v>
      </c>
      <c r="H60" s="25">
        <f t="shared" si="2"/>
        <v>89.06</v>
      </c>
      <c r="I60" s="25">
        <v>3.1535000000000002</v>
      </c>
      <c r="J60" s="88">
        <v>3.78</v>
      </c>
      <c r="K60" s="106">
        <f>Table1[[#This Row],[GasP]]-Table1[[#This Row],[Gasoline]]</f>
        <v>0.62649999999999961</v>
      </c>
      <c r="L60" s="4"/>
    </row>
    <row r="61" spans="1:12">
      <c r="A61" s="15">
        <v>44652</v>
      </c>
      <c r="B61" s="25">
        <v>108.26</v>
      </c>
      <c r="C61" s="25">
        <v>104.93</v>
      </c>
      <c r="D61" s="25">
        <v>107.91</v>
      </c>
      <c r="E61" s="4" t="s">
        <v>8</v>
      </c>
      <c r="F61" s="4">
        <f t="shared" si="0"/>
        <v>2</v>
      </c>
      <c r="G61" s="4" t="str">
        <f t="shared" si="1"/>
        <v>Opec Basket</v>
      </c>
      <c r="H61" s="25">
        <f t="shared" si="2"/>
        <v>104.93</v>
      </c>
      <c r="I61" s="25">
        <v>3.1509</v>
      </c>
      <c r="J61" s="87"/>
      <c r="K61" s="106">
        <f>Table1[[#This Row],[GasP]]-Table1[[#This Row],[Gasoline]]</f>
        <v>-3.1509</v>
      </c>
      <c r="L61" s="4"/>
    </row>
    <row r="62" spans="1:12">
      <c r="A62" s="15">
        <v>44651</v>
      </c>
      <c r="B62" s="25">
        <v>108.59</v>
      </c>
      <c r="C62" s="25">
        <v>107.74</v>
      </c>
      <c r="D62" s="25">
        <v>113.45</v>
      </c>
      <c r="E62" s="4" t="s">
        <v>8</v>
      </c>
      <c r="F62" s="4">
        <f t="shared" si="0"/>
        <v>2</v>
      </c>
      <c r="G62" s="4" t="str">
        <f t="shared" si="1"/>
        <v>Opec Basket</v>
      </c>
      <c r="H62" s="25">
        <f t="shared" si="2"/>
        <v>107.74</v>
      </c>
      <c r="I62" s="25">
        <v>3.2864</v>
      </c>
      <c r="J62" s="88"/>
      <c r="K62" s="106">
        <f>Table1[[#This Row],[GasP]]-Table1[[#This Row],[Gasoline]]</f>
        <v>-3.2864</v>
      </c>
      <c r="L62" s="4"/>
    </row>
    <row r="63" spans="1:12">
      <c r="A63" s="15">
        <v>44650</v>
      </c>
      <c r="B63" s="25">
        <v>108.28</v>
      </c>
      <c r="C63" s="25">
        <v>110.46</v>
      </c>
      <c r="D63" s="25">
        <v>110.23</v>
      </c>
      <c r="E63" s="4" t="s">
        <v>8</v>
      </c>
      <c r="F63" s="4">
        <f t="shared" si="0"/>
        <v>1</v>
      </c>
      <c r="G63" s="4" t="str">
        <f t="shared" si="1"/>
        <v>WTI Crude</v>
      </c>
      <c r="H63" s="25">
        <f t="shared" si="2"/>
        <v>108.28</v>
      </c>
      <c r="I63" s="25">
        <v>3.1766999999999999</v>
      </c>
      <c r="J63" s="87">
        <v>3.82</v>
      </c>
      <c r="K63" s="106">
        <f>Table1[[#This Row],[GasP]]-Table1[[#This Row],[Gasoline]]</f>
        <v>0.64329999999999998</v>
      </c>
      <c r="L63" s="4"/>
    </row>
    <row r="64" spans="1:12">
      <c r="A64" s="15">
        <v>44649</v>
      </c>
      <c r="B64" s="25">
        <v>108.5</v>
      </c>
      <c r="C64" s="25">
        <v>110.05</v>
      </c>
      <c r="D64" s="25">
        <v>112.48</v>
      </c>
      <c r="E64" s="4" t="s">
        <v>8</v>
      </c>
      <c r="F64" s="4">
        <f t="shared" si="0"/>
        <v>1</v>
      </c>
      <c r="G64" s="4" t="str">
        <f t="shared" si="1"/>
        <v>WTI Crude</v>
      </c>
      <c r="H64" s="25">
        <f t="shared" si="2"/>
        <v>108.5</v>
      </c>
      <c r="I64" s="25">
        <v>3.1962000000000002</v>
      </c>
      <c r="J64" s="88"/>
      <c r="K64" s="106">
        <f>Table1[[#This Row],[GasP]]-Table1[[#This Row],[Gasoline]]</f>
        <v>-3.1962000000000002</v>
      </c>
      <c r="L64" s="4"/>
    </row>
    <row r="65" spans="1:12">
      <c r="A65" s="15">
        <v>44648</v>
      </c>
      <c r="B65" s="25">
        <v>109.88</v>
      </c>
      <c r="C65" s="25">
        <v>113.39</v>
      </c>
      <c r="D65" s="25">
        <v>120.65</v>
      </c>
      <c r="E65" s="4" t="s">
        <v>8</v>
      </c>
      <c r="F65" s="4">
        <f t="shared" si="0"/>
        <v>1</v>
      </c>
      <c r="G65" s="4" t="str">
        <f t="shared" si="1"/>
        <v>WTI Crude</v>
      </c>
      <c r="H65" s="25">
        <f t="shared" si="2"/>
        <v>109.88</v>
      </c>
      <c r="I65" s="25">
        <v>3.4363000000000001</v>
      </c>
      <c r="J65" s="87"/>
      <c r="K65" s="106">
        <f>Table1[[#This Row],[GasP]]-Table1[[#This Row],[Gasoline]]</f>
        <v>-3.4363000000000001</v>
      </c>
      <c r="L65" s="4"/>
    </row>
    <row r="66" spans="1:12">
      <c r="A66" s="15">
        <v>44645</v>
      </c>
      <c r="B66" s="25">
        <v>109.54</v>
      </c>
      <c r="C66" s="25">
        <v>115.99</v>
      </c>
      <c r="D66" s="25">
        <v>119.03</v>
      </c>
      <c r="E66" s="4" t="s">
        <v>8</v>
      </c>
      <c r="F66" s="4">
        <f t="shared" ref="F66:F129" si="3">IF(MIN(B66:E66)=B66,1,IF(MIN(B66:E66)=C66,2,IF(MIN(B66:E66)=D66,3,IF(MIN(B66:E66)=E66,4,))))</f>
        <v>1</v>
      </c>
      <c r="G66" s="4" t="str">
        <f t="shared" ref="G66:G129" si="4">IF(MIN(B66:E66)=B66,$B$1,IF(MIN(B66:E66)=C66,$C$1,IF(MIN(B66:E66)=D66,$D$1,IF(MIN(B66:E66)=E66,$E$1,))))</f>
        <v>WTI Crude</v>
      </c>
      <c r="H66" s="25">
        <f t="shared" ref="H66:H129" si="5">IF(MIN(B66:E66)=B66,B66,IF(MIN(B66:E66)=C66,C66,IF(MIN(B66:E66)=D66,D66,IF(MIN(B66:E66)=E66,E66,))))</f>
        <v>109.54</v>
      </c>
      <c r="I66" s="25">
        <v>3.3689</v>
      </c>
      <c r="J66" s="88">
        <v>3.83</v>
      </c>
      <c r="K66" s="106">
        <f>Table1[[#This Row],[GasP]]-Table1[[#This Row],[Gasoline]]</f>
        <v>0.46110000000000007</v>
      </c>
      <c r="L66" s="4"/>
    </row>
    <row r="67" spans="1:12">
      <c r="A67" s="15">
        <v>44644</v>
      </c>
      <c r="B67" s="25">
        <v>110.22</v>
      </c>
      <c r="C67" s="25">
        <v>118.72</v>
      </c>
      <c r="D67" s="25">
        <v>121.6</v>
      </c>
      <c r="E67" s="4" t="s">
        <v>8</v>
      </c>
      <c r="F67" s="4">
        <f t="shared" si="3"/>
        <v>1</v>
      </c>
      <c r="G67" s="4" t="str">
        <f t="shared" si="4"/>
        <v>WTI Crude</v>
      </c>
      <c r="H67" s="25">
        <f t="shared" si="5"/>
        <v>110.22</v>
      </c>
      <c r="I67" s="25">
        <v>3.4195000000000002</v>
      </c>
      <c r="J67" s="87"/>
      <c r="K67" s="106">
        <f>Table1[[#This Row],[GasP]]-Table1[[#This Row],[Gasoline]]</f>
        <v>-3.4195000000000002</v>
      </c>
      <c r="L67" s="4"/>
    </row>
    <row r="68" spans="1:12">
      <c r="A68" s="15">
        <v>44643</v>
      </c>
      <c r="B68" s="25">
        <v>108.5</v>
      </c>
      <c r="C68" s="25">
        <v>116.79</v>
      </c>
      <c r="D68" s="25">
        <v>115.48</v>
      </c>
      <c r="E68" s="4" t="s">
        <v>8</v>
      </c>
      <c r="F68" s="4">
        <f t="shared" si="3"/>
        <v>1</v>
      </c>
      <c r="G68" s="4" t="str">
        <f t="shared" si="4"/>
        <v>WTI Crude</v>
      </c>
      <c r="H68" s="25">
        <f t="shared" si="5"/>
        <v>108.5</v>
      </c>
      <c r="I68" s="25">
        <v>3.3046000000000002</v>
      </c>
      <c r="J68" s="88"/>
      <c r="K68" s="106">
        <f>Table1[[#This Row],[GasP]]-Table1[[#This Row],[Gasoline]]</f>
        <v>-3.3046000000000002</v>
      </c>
      <c r="L68" s="4"/>
    </row>
    <row r="69" spans="1:12">
      <c r="A69" s="15">
        <v>44642</v>
      </c>
      <c r="B69" s="25">
        <v>108.73</v>
      </c>
      <c r="C69" s="25">
        <v>114.44</v>
      </c>
      <c r="D69" s="25">
        <v>115.62</v>
      </c>
      <c r="E69" s="4" t="s">
        <v>8</v>
      </c>
      <c r="F69" s="4">
        <f t="shared" si="3"/>
        <v>1</v>
      </c>
      <c r="G69" s="4" t="str">
        <f t="shared" si="4"/>
        <v>WTI Crude</v>
      </c>
      <c r="H69" s="25">
        <f t="shared" si="5"/>
        <v>108.73</v>
      </c>
      <c r="I69" s="25">
        <v>3.3378999999999999</v>
      </c>
      <c r="J69" s="87">
        <v>3.82</v>
      </c>
      <c r="K69" s="106">
        <f>Table1[[#This Row],[GasP]]-Table1[[#This Row],[Gasoline]]</f>
        <v>0.48209999999999997</v>
      </c>
      <c r="L69" s="4"/>
    </row>
    <row r="70" spans="1:12">
      <c r="A70" s="15">
        <v>44641</v>
      </c>
      <c r="B70" s="25">
        <v>105.99</v>
      </c>
      <c r="C70" s="25">
        <v>113.65</v>
      </c>
      <c r="D70" s="25">
        <v>107.93</v>
      </c>
      <c r="E70" s="4" t="s">
        <v>8</v>
      </c>
      <c r="F70" s="4">
        <f t="shared" si="3"/>
        <v>1</v>
      </c>
      <c r="G70" s="4" t="str">
        <f t="shared" si="4"/>
        <v>WTI Crude</v>
      </c>
      <c r="H70" s="25">
        <f t="shared" si="5"/>
        <v>105.99</v>
      </c>
      <c r="I70" s="25">
        <v>3.2059000000000002</v>
      </c>
      <c r="J70" s="88"/>
      <c r="K70" s="106">
        <f>Table1[[#This Row],[GasP]]-Table1[[#This Row],[Gasoline]]</f>
        <v>-3.2059000000000002</v>
      </c>
      <c r="L70" s="4"/>
    </row>
    <row r="71" spans="1:12">
      <c r="A71" s="15">
        <v>44638</v>
      </c>
      <c r="B71" s="25">
        <v>105.32</v>
      </c>
      <c r="C71" s="25">
        <v>108.93</v>
      </c>
      <c r="D71" s="25">
        <v>106.64</v>
      </c>
      <c r="E71" s="4" t="s">
        <v>8</v>
      </c>
      <c r="F71" s="4">
        <f t="shared" si="3"/>
        <v>1</v>
      </c>
      <c r="G71" s="4" t="str">
        <f t="shared" si="4"/>
        <v>WTI Crude</v>
      </c>
      <c r="H71" s="25">
        <f t="shared" si="5"/>
        <v>105.32</v>
      </c>
      <c r="I71" s="25">
        <v>3.1821999999999999</v>
      </c>
      <c r="J71" s="87"/>
      <c r="K71" s="106">
        <f>Table1[[#This Row],[GasP]]-Table1[[#This Row],[Gasoline]]</f>
        <v>-3.1821999999999999</v>
      </c>
      <c r="L71" s="4"/>
    </row>
    <row r="72" spans="1:12">
      <c r="A72" s="15">
        <v>44637</v>
      </c>
      <c r="B72" s="25">
        <v>101.49</v>
      </c>
      <c r="C72" s="25">
        <v>104.77</v>
      </c>
      <c r="D72" s="25">
        <v>98.02</v>
      </c>
      <c r="E72" s="4" t="s">
        <v>8</v>
      </c>
      <c r="F72" s="4">
        <f t="shared" si="3"/>
        <v>3</v>
      </c>
      <c r="G72" s="4" t="str">
        <f t="shared" si="4"/>
        <v>Brent Crude</v>
      </c>
      <c r="H72" s="25">
        <f t="shared" si="5"/>
        <v>98.02</v>
      </c>
      <c r="I72" s="25">
        <v>2.952</v>
      </c>
      <c r="J72" s="88"/>
      <c r="K72" s="106">
        <f>Table1[[#This Row],[GasP]]-Table1[[#This Row],[Gasoline]]</f>
        <v>-2.952</v>
      </c>
      <c r="L72" s="4"/>
    </row>
    <row r="73" spans="1:12">
      <c r="A73" s="15">
        <v>44636</v>
      </c>
      <c r="B73" s="25">
        <v>102.16</v>
      </c>
      <c r="C73" s="25">
        <v>103.87</v>
      </c>
      <c r="D73" s="25">
        <v>99.91</v>
      </c>
      <c r="E73" s="4" t="s">
        <v>8</v>
      </c>
      <c r="F73" s="4">
        <f t="shared" si="3"/>
        <v>3</v>
      </c>
      <c r="G73" s="4" t="str">
        <f t="shared" si="4"/>
        <v>Brent Crude</v>
      </c>
      <c r="H73" s="25">
        <f t="shared" si="5"/>
        <v>99.91</v>
      </c>
      <c r="I73" s="25">
        <v>2.9657</v>
      </c>
      <c r="J73" s="87">
        <v>3.8</v>
      </c>
      <c r="K73" s="106">
        <f>Table1[[#This Row],[GasP]]-Table1[[#This Row],[Gasoline]]</f>
        <v>0.83429999999999982</v>
      </c>
      <c r="L73" s="4"/>
    </row>
    <row r="74" spans="1:12">
      <c r="A74" s="15">
        <v>44635</v>
      </c>
      <c r="B74" s="25">
        <v>105.82</v>
      </c>
      <c r="C74" s="25">
        <v>102.67</v>
      </c>
      <c r="D74" s="25">
        <v>106.9</v>
      </c>
      <c r="E74" s="4" t="s">
        <v>8</v>
      </c>
      <c r="F74" s="4">
        <f t="shared" si="3"/>
        <v>2</v>
      </c>
      <c r="G74" s="4" t="str">
        <f t="shared" si="4"/>
        <v>Opec Basket</v>
      </c>
      <c r="H74" s="25">
        <f t="shared" si="5"/>
        <v>102.67</v>
      </c>
      <c r="I74" s="25">
        <v>3.1339000000000001</v>
      </c>
      <c r="J74" s="88">
        <v>4.1900000000000004</v>
      </c>
      <c r="K74" s="106">
        <f>Table1[[#This Row],[GasP]]-Table1[[#This Row],[Gasoline]]</f>
        <v>1.0561000000000003</v>
      </c>
      <c r="L74" s="4"/>
    </row>
    <row r="75" spans="1:12">
      <c r="A75" s="15">
        <v>44634</v>
      </c>
      <c r="B75" s="25">
        <v>109.3</v>
      </c>
      <c r="C75" s="25">
        <v>110.48</v>
      </c>
      <c r="D75" s="25">
        <v>112.67</v>
      </c>
      <c r="E75" s="4" t="s">
        <v>8</v>
      </c>
      <c r="F75" s="4">
        <f t="shared" si="3"/>
        <v>1</v>
      </c>
      <c r="G75" s="4" t="str">
        <f t="shared" si="4"/>
        <v>WTI Crude</v>
      </c>
      <c r="H75" s="25">
        <f t="shared" si="5"/>
        <v>109.3</v>
      </c>
      <c r="I75" s="25">
        <v>3.3121</v>
      </c>
      <c r="J75" s="87"/>
      <c r="K75" s="106">
        <f>Table1[[#This Row],[GasP]]-Table1[[#This Row],[Gasoline]]</f>
        <v>-3.3121</v>
      </c>
      <c r="L75" s="4"/>
    </row>
    <row r="76" spans="1:12">
      <c r="A76" s="15">
        <v>44631</v>
      </c>
      <c r="B76" s="25">
        <v>107.14</v>
      </c>
      <c r="C76" s="25">
        <v>113.1</v>
      </c>
      <c r="D76" s="25">
        <v>109.33</v>
      </c>
      <c r="E76" s="4" t="s">
        <v>8</v>
      </c>
      <c r="F76" s="4">
        <f t="shared" si="3"/>
        <v>1</v>
      </c>
      <c r="G76" s="4" t="str">
        <f t="shared" si="4"/>
        <v>WTI Crude</v>
      </c>
      <c r="H76" s="25">
        <f t="shared" si="5"/>
        <v>107.14</v>
      </c>
      <c r="I76" s="25">
        <v>3.1566999999999998</v>
      </c>
      <c r="J76" s="88">
        <v>3.82</v>
      </c>
      <c r="K76" s="106">
        <f>Table1[[#This Row],[GasP]]-Table1[[#This Row],[Gasoline]]</f>
        <v>0.6633</v>
      </c>
      <c r="L76" s="4"/>
    </row>
    <row r="77" spans="1:12">
      <c r="A77" s="15">
        <v>44630</v>
      </c>
      <c r="B77" s="25">
        <v>108.82</v>
      </c>
      <c r="C77" s="25">
        <v>117.04</v>
      </c>
      <c r="D77" s="25">
        <v>111.14</v>
      </c>
      <c r="E77" s="4" t="s">
        <v>8</v>
      </c>
      <c r="F77" s="4">
        <f t="shared" si="3"/>
        <v>1</v>
      </c>
      <c r="G77" s="4" t="str">
        <f t="shared" si="4"/>
        <v>WTI Crude</v>
      </c>
      <c r="H77" s="25">
        <f t="shared" si="5"/>
        <v>108.82</v>
      </c>
      <c r="I77" s="25">
        <v>3.2938000000000001</v>
      </c>
      <c r="J77" s="87"/>
      <c r="K77" s="106">
        <f>Table1[[#This Row],[GasP]]-Table1[[#This Row],[Gasoline]]</f>
        <v>-3.2938000000000001</v>
      </c>
      <c r="L77" s="4"/>
    </row>
    <row r="78" spans="1:12">
      <c r="A78" s="15">
        <v>44629</v>
      </c>
      <c r="B78" s="25">
        <v>119.78</v>
      </c>
      <c r="C78" s="25">
        <v>128.27000000000001</v>
      </c>
      <c r="D78" s="25">
        <v>127.98</v>
      </c>
      <c r="E78" s="4" t="s">
        <v>8</v>
      </c>
      <c r="F78" s="4">
        <f t="shared" si="3"/>
        <v>1</v>
      </c>
      <c r="G78" s="4" t="str">
        <f t="shared" si="4"/>
        <v>WTI Crude</v>
      </c>
      <c r="H78" s="25">
        <f t="shared" si="5"/>
        <v>119.78</v>
      </c>
      <c r="I78" s="25">
        <v>3.6825999999999999</v>
      </c>
      <c r="J78" s="88"/>
      <c r="K78" s="106">
        <f>Table1[[#This Row],[GasP]]-Table1[[#This Row],[Gasoline]]</f>
        <v>-3.6825999999999999</v>
      </c>
      <c r="L78" s="4"/>
    </row>
    <row r="79" spans="1:12">
      <c r="A79" s="15">
        <v>44628</v>
      </c>
      <c r="B79" s="25">
        <v>116.55</v>
      </c>
      <c r="C79" s="25">
        <v>127.74</v>
      </c>
      <c r="D79" s="25">
        <v>123.21</v>
      </c>
      <c r="E79" s="4" t="s">
        <v>8</v>
      </c>
      <c r="F79" s="4">
        <f t="shared" si="3"/>
        <v>1</v>
      </c>
      <c r="G79" s="4" t="str">
        <f t="shared" si="4"/>
        <v>WTI Crude</v>
      </c>
      <c r="H79" s="25">
        <f t="shared" si="5"/>
        <v>116.55</v>
      </c>
      <c r="I79" s="25">
        <v>3.5720999999999998</v>
      </c>
      <c r="J79" s="87">
        <v>3.85</v>
      </c>
      <c r="K79" s="106">
        <f>Table1[[#This Row],[GasP]]-Table1[[#This Row],[Gasoline]]</f>
        <v>0.27790000000000026</v>
      </c>
      <c r="L79" s="4"/>
    </row>
    <row r="80" spans="1:12">
      <c r="A80" s="15">
        <v>44627</v>
      </c>
      <c r="B80" s="25">
        <v>113.49</v>
      </c>
      <c r="C80" s="25">
        <v>126.32</v>
      </c>
      <c r="D80" s="25">
        <v>118.11</v>
      </c>
      <c r="E80" s="4" t="s">
        <v>8</v>
      </c>
      <c r="F80" s="4">
        <f t="shared" si="3"/>
        <v>1</v>
      </c>
      <c r="G80" s="4" t="str">
        <f t="shared" si="4"/>
        <v>WTI Crude</v>
      </c>
      <c r="H80" s="25">
        <f t="shared" si="5"/>
        <v>113.49</v>
      </c>
      <c r="I80" s="25">
        <v>3.544</v>
      </c>
      <c r="J80" s="88"/>
      <c r="K80" s="106">
        <f>Table1[[#This Row],[GasP]]-Table1[[#This Row],[Gasoline]]</f>
        <v>-3.544</v>
      </c>
      <c r="L80" s="4"/>
    </row>
    <row r="81" spans="1:12">
      <c r="A81" s="15">
        <v>44624</v>
      </c>
      <c r="B81" s="25">
        <v>106.68</v>
      </c>
      <c r="C81" s="25">
        <v>112.96</v>
      </c>
      <c r="D81" s="25">
        <v>110.46</v>
      </c>
      <c r="E81" s="4" t="s">
        <v>8</v>
      </c>
      <c r="F81" s="4">
        <f t="shared" si="3"/>
        <v>1</v>
      </c>
      <c r="G81" s="4" t="str">
        <f t="shared" si="4"/>
        <v>WTI Crude</v>
      </c>
      <c r="H81" s="25">
        <f t="shared" si="5"/>
        <v>106.68</v>
      </c>
      <c r="I81" s="25">
        <v>3.2844000000000002</v>
      </c>
      <c r="J81" s="87"/>
      <c r="K81" s="106">
        <f>Table1[[#This Row],[GasP]]-Table1[[#This Row],[Gasoline]]</f>
        <v>-3.2844000000000002</v>
      </c>
      <c r="L81" s="4"/>
    </row>
    <row r="82" spans="1:12">
      <c r="A82" s="15">
        <v>44623</v>
      </c>
      <c r="B82" s="25">
        <v>109.21</v>
      </c>
      <c r="C82" s="25">
        <v>116.87</v>
      </c>
      <c r="D82" s="25">
        <v>112.93</v>
      </c>
      <c r="E82" s="4" t="s">
        <v>8</v>
      </c>
      <c r="F82" s="4">
        <f t="shared" si="3"/>
        <v>1</v>
      </c>
      <c r="G82" s="4" t="str">
        <f t="shared" si="4"/>
        <v>WTI Crude</v>
      </c>
      <c r="H82" s="25">
        <f t="shared" si="5"/>
        <v>109.21</v>
      </c>
      <c r="I82" s="25">
        <v>3.3083</v>
      </c>
      <c r="J82" s="88">
        <v>3.9</v>
      </c>
      <c r="K82" s="106">
        <f>Table1[[#This Row],[GasP]]-Table1[[#This Row],[Gasoline]]</f>
        <v>0.59169999999999989</v>
      </c>
      <c r="L82" s="4"/>
    </row>
    <row r="83" spans="1:12">
      <c r="A83" s="15">
        <v>44622</v>
      </c>
      <c r="B83" s="25">
        <v>102.44</v>
      </c>
      <c r="C83" s="25">
        <v>112.01</v>
      </c>
      <c r="D83" s="25">
        <v>104.97</v>
      </c>
      <c r="E83" s="4">
        <v>94.57</v>
      </c>
      <c r="F83" s="4">
        <f t="shared" si="3"/>
        <v>4</v>
      </c>
      <c r="G83" s="4" t="str">
        <f t="shared" si="4"/>
        <v>WCS</v>
      </c>
      <c r="H83" s="25">
        <f t="shared" si="5"/>
        <v>94.57</v>
      </c>
      <c r="I83" s="25">
        <v>3.0886999999999998</v>
      </c>
      <c r="J83" s="87"/>
      <c r="K83" s="106">
        <f>Table1[[#This Row],[GasP]]-Table1[[#This Row],[Gasoline]]</f>
        <v>-3.0886999999999998</v>
      </c>
      <c r="L83" s="4"/>
    </row>
    <row r="84" spans="1:12">
      <c r="A84" s="15">
        <v>44621</v>
      </c>
      <c r="B84" s="25">
        <v>91.63</v>
      </c>
      <c r="C84" s="25">
        <v>103.7</v>
      </c>
      <c r="D84" s="25">
        <v>100.99</v>
      </c>
      <c r="E84" s="4" t="s">
        <v>9</v>
      </c>
      <c r="F84" s="4">
        <f t="shared" si="3"/>
        <v>1</v>
      </c>
      <c r="G84" s="4" t="str">
        <f t="shared" si="4"/>
        <v>WTI Crude</v>
      </c>
      <c r="H84" s="25">
        <f t="shared" si="5"/>
        <v>91.63</v>
      </c>
      <c r="I84" s="25">
        <v>2.9325000000000001</v>
      </c>
      <c r="J84" s="88"/>
      <c r="K84" s="106">
        <f>Table1[[#This Row],[GasP]]-Table1[[#This Row],[Gasoline]]</f>
        <v>-2.9325000000000001</v>
      </c>
      <c r="L84" s="4"/>
    </row>
    <row r="85" spans="1:12">
      <c r="A85" s="15">
        <v>44620</v>
      </c>
      <c r="B85" s="25">
        <v>91.41</v>
      </c>
      <c r="C85" s="25">
        <v>98.96</v>
      </c>
      <c r="D85" s="25">
        <v>97.93</v>
      </c>
      <c r="E85" s="4" t="s">
        <v>8</v>
      </c>
      <c r="F85" s="4">
        <f t="shared" si="3"/>
        <v>1</v>
      </c>
      <c r="G85" s="4" t="str">
        <f t="shared" si="4"/>
        <v>WTI Crude</v>
      </c>
      <c r="H85" s="25">
        <f t="shared" si="5"/>
        <v>91.41</v>
      </c>
      <c r="I85" s="25">
        <v>2.8740999999999999</v>
      </c>
      <c r="J85" s="87">
        <v>3.92</v>
      </c>
      <c r="K85" s="106">
        <f>Table1[[#This Row],[GasP]]-Table1[[#This Row],[Gasoline]]</f>
        <v>1.0459000000000001</v>
      </c>
      <c r="L85" s="4"/>
    </row>
    <row r="86" spans="1:12">
      <c r="A86" s="15">
        <v>44617</v>
      </c>
      <c r="B86" s="25">
        <v>91.54</v>
      </c>
      <c r="C86" s="25">
        <v>96.41</v>
      </c>
      <c r="D86" s="25">
        <v>99.08</v>
      </c>
      <c r="E86" s="4" t="s">
        <v>8</v>
      </c>
      <c r="F86" s="4">
        <f t="shared" si="3"/>
        <v>1</v>
      </c>
      <c r="G86" s="4" t="str">
        <f t="shared" si="4"/>
        <v>WTI Crude</v>
      </c>
      <c r="H86" s="25">
        <f t="shared" si="5"/>
        <v>91.54</v>
      </c>
      <c r="I86" s="25">
        <v>2.9165000000000001</v>
      </c>
      <c r="J86" s="88"/>
      <c r="K86" s="106">
        <f>Table1[[#This Row],[GasP]]-Table1[[#This Row],[Gasoline]]</f>
        <v>-2.9165000000000001</v>
      </c>
      <c r="L86" s="4"/>
    </row>
    <row r="87" spans="1:12">
      <c r="A87" s="15">
        <v>44616</v>
      </c>
      <c r="B87" s="25">
        <v>91.43</v>
      </c>
      <c r="C87" s="25">
        <v>100.95</v>
      </c>
      <c r="D87" s="25">
        <v>97.13</v>
      </c>
      <c r="E87" s="4" t="s">
        <v>8</v>
      </c>
      <c r="F87" s="4">
        <f t="shared" si="3"/>
        <v>1</v>
      </c>
      <c r="G87" s="4" t="str">
        <f t="shared" si="4"/>
        <v>WTI Crude</v>
      </c>
      <c r="H87" s="25">
        <f t="shared" si="5"/>
        <v>91.43</v>
      </c>
      <c r="I87" s="25">
        <v>2.8759999999999999</v>
      </c>
      <c r="J87" s="87"/>
      <c r="K87" s="106">
        <f>Table1[[#This Row],[GasP]]-Table1[[#This Row],[Gasoline]]</f>
        <v>-2.8759999999999999</v>
      </c>
      <c r="L87" s="4"/>
    </row>
    <row r="88" spans="1:12">
      <c r="A88" s="15">
        <v>44615</v>
      </c>
      <c r="B88" s="25">
        <v>91.39</v>
      </c>
      <c r="C88" s="25">
        <v>95.84</v>
      </c>
      <c r="D88" s="25">
        <v>96.84</v>
      </c>
      <c r="E88" s="4" t="s">
        <v>8</v>
      </c>
      <c r="F88" s="4">
        <f t="shared" si="3"/>
        <v>1</v>
      </c>
      <c r="G88" s="4" t="str">
        <f t="shared" si="4"/>
        <v>WTI Crude</v>
      </c>
      <c r="H88" s="25">
        <f t="shared" si="5"/>
        <v>91.39</v>
      </c>
      <c r="I88" s="25">
        <v>2.8542999999999998</v>
      </c>
      <c r="J88" s="88"/>
      <c r="K88" s="106">
        <f>Table1[[#This Row],[GasP]]-Table1[[#This Row],[Gasoline]]</f>
        <v>-2.8542999999999998</v>
      </c>
      <c r="L88" s="4"/>
    </row>
    <row r="89" spans="1:12">
      <c r="A89" s="15">
        <v>44614</v>
      </c>
      <c r="B89" s="25">
        <v>90.96</v>
      </c>
      <c r="C89" s="25">
        <v>97.68</v>
      </c>
      <c r="D89" s="25">
        <v>93.54</v>
      </c>
      <c r="E89" s="4" t="s">
        <v>8</v>
      </c>
      <c r="F89" s="4">
        <f t="shared" si="3"/>
        <v>1</v>
      </c>
      <c r="G89" s="4" t="str">
        <f t="shared" si="4"/>
        <v>WTI Crude</v>
      </c>
      <c r="H89" s="25">
        <f t="shared" si="5"/>
        <v>90.96</v>
      </c>
      <c r="I89" s="25">
        <v>2.8119000000000001</v>
      </c>
      <c r="J89" s="87">
        <v>3.96</v>
      </c>
      <c r="K89" s="106">
        <f>Table1[[#This Row],[GasP]]-Table1[[#This Row],[Gasoline]]</f>
        <v>1.1480999999999999</v>
      </c>
      <c r="L89" s="4"/>
    </row>
    <row r="90" spans="1:12">
      <c r="A90" s="15">
        <v>44613</v>
      </c>
      <c r="B90" s="25">
        <v>91</v>
      </c>
      <c r="C90" s="25">
        <v>94.04</v>
      </c>
      <c r="D90" s="25">
        <v>92.97</v>
      </c>
      <c r="E90" s="4" t="s">
        <v>8</v>
      </c>
      <c r="F90" s="4">
        <f t="shared" si="3"/>
        <v>1</v>
      </c>
      <c r="G90" s="4" t="str">
        <f t="shared" si="4"/>
        <v>WTI Crude</v>
      </c>
      <c r="H90" s="25">
        <f t="shared" si="5"/>
        <v>91</v>
      </c>
      <c r="I90" s="25">
        <v>2.7959999999999998</v>
      </c>
      <c r="J90" s="88">
        <v>3.4990000000000001</v>
      </c>
      <c r="K90" s="106">
        <f>Table1[[#This Row],[GasP]]-Table1[[#This Row],[Gasoline]]</f>
        <v>0.70300000000000029</v>
      </c>
      <c r="L90" s="4"/>
    </row>
    <row r="91" spans="1:12">
      <c r="A91" s="15">
        <v>44610</v>
      </c>
      <c r="B91" s="25">
        <v>91.68</v>
      </c>
      <c r="C91" s="25">
        <v>92.55</v>
      </c>
      <c r="D91" s="25">
        <v>94.81</v>
      </c>
      <c r="E91" s="4" t="s">
        <v>8</v>
      </c>
      <c r="F91" s="4">
        <f t="shared" si="3"/>
        <v>1</v>
      </c>
      <c r="G91" s="4" t="str">
        <f t="shared" si="4"/>
        <v>WTI Crude</v>
      </c>
      <c r="H91" s="25">
        <f t="shared" si="5"/>
        <v>91.68</v>
      </c>
      <c r="I91" s="25">
        <v>2.8283</v>
      </c>
      <c r="J91" s="87"/>
      <c r="K91" s="106">
        <f>Table1[[#This Row],[GasP]]-Table1[[#This Row],[Gasoline]]</f>
        <v>-2.8283</v>
      </c>
      <c r="L91" s="4"/>
    </row>
    <row r="92" spans="1:12">
      <c r="A92" s="15">
        <v>44609</v>
      </c>
      <c r="B92" s="25">
        <v>91</v>
      </c>
      <c r="C92" s="25">
        <v>93.78</v>
      </c>
      <c r="D92" s="25">
        <v>93.28</v>
      </c>
      <c r="E92" s="4" t="s">
        <v>8</v>
      </c>
      <c r="F92" s="4">
        <f t="shared" si="3"/>
        <v>1</v>
      </c>
      <c r="G92" s="4" t="str">
        <f t="shared" si="4"/>
        <v>WTI Crude</v>
      </c>
      <c r="H92" s="25">
        <f t="shared" si="5"/>
        <v>91</v>
      </c>
      <c r="I92" s="25">
        <v>2.8094999999999999</v>
      </c>
      <c r="J92" s="88"/>
      <c r="K92" s="106">
        <f>Table1[[#This Row],[GasP]]-Table1[[#This Row],[Gasoline]]</f>
        <v>-2.8094999999999999</v>
      </c>
      <c r="L92" s="4"/>
    </row>
    <row r="93" spans="1:12">
      <c r="A93" s="15">
        <v>44608</v>
      </c>
      <c r="B93" s="25">
        <v>92.59</v>
      </c>
      <c r="C93" s="25">
        <v>95.07</v>
      </c>
      <c r="D93" s="25">
        <v>96.48</v>
      </c>
      <c r="E93" s="4" t="s">
        <v>8</v>
      </c>
      <c r="F93" s="4">
        <f t="shared" si="3"/>
        <v>1</v>
      </c>
      <c r="G93" s="4" t="str">
        <f t="shared" si="4"/>
        <v>WTI Crude</v>
      </c>
      <c r="H93" s="25">
        <f t="shared" si="5"/>
        <v>92.59</v>
      </c>
      <c r="I93" s="25">
        <v>2.9068000000000001</v>
      </c>
      <c r="J93" s="87"/>
      <c r="K93" s="106">
        <f>Table1[[#This Row],[GasP]]-Table1[[#This Row],[Gasoline]]</f>
        <v>-2.9068000000000001</v>
      </c>
      <c r="L93" s="4"/>
    </row>
    <row r="94" spans="1:12">
      <c r="A94" s="15">
        <v>44607</v>
      </c>
      <c r="B94" s="25">
        <v>91.4</v>
      </c>
      <c r="C94" s="25">
        <v>94.48</v>
      </c>
      <c r="D94" s="25">
        <v>94.44</v>
      </c>
      <c r="E94" s="4" t="s">
        <v>8</v>
      </c>
      <c r="F94" s="4">
        <f t="shared" si="3"/>
        <v>1</v>
      </c>
      <c r="G94" s="4" t="str">
        <f t="shared" si="4"/>
        <v>WTI Crude</v>
      </c>
      <c r="H94" s="25">
        <f t="shared" si="5"/>
        <v>91.4</v>
      </c>
      <c r="I94" s="25">
        <v>2.7385999999999999</v>
      </c>
      <c r="J94" s="88"/>
      <c r="K94" s="106">
        <f>Table1[[#This Row],[GasP]]-Table1[[#This Row],[Gasoline]]</f>
        <v>-2.7385999999999999</v>
      </c>
      <c r="L94" s="4"/>
    </row>
    <row r="95" spans="1:12">
      <c r="A95" s="15">
        <v>44606</v>
      </c>
      <c r="B95" s="25">
        <v>89.61</v>
      </c>
      <c r="C95" s="25">
        <v>94.92</v>
      </c>
      <c r="D95" s="25">
        <v>91.41</v>
      </c>
      <c r="E95" s="4" t="s">
        <v>8</v>
      </c>
      <c r="F95" s="4">
        <f t="shared" si="3"/>
        <v>1</v>
      </c>
      <c r="G95" s="4" t="str">
        <f t="shared" si="4"/>
        <v>WTI Crude</v>
      </c>
      <c r="H95" s="25">
        <f t="shared" si="5"/>
        <v>89.61</v>
      </c>
      <c r="I95" s="25">
        <v>2.6654</v>
      </c>
      <c r="J95" s="87"/>
      <c r="K95" s="106">
        <f>Table1[[#This Row],[GasP]]-Table1[[#This Row],[Gasoline]]</f>
        <v>-2.6654</v>
      </c>
      <c r="L95" s="4"/>
    </row>
    <row r="96" spans="1:12">
      <c r="A96" s="15">
        <v>44603</v>
      </c>
      <c r="B96" s="25">
        <v>89.51</v>
      </c>
      <c r="C96" s="25">
        <v>92.61</v>
      </c>
      <c r="D96" s="25">
        <v>91.55</v>
      </c>
      <c r="E96" s="4" t="s">
        <v>8</v>
      </c>
      <c r="F96" s="4">
        <f t="shared" si="3"/>
        <v>1</v>
      </c>
      <c r="G96" s="4" t="str">
        <f t="shared" si="4"/>
        <v>WTI Crude</v>
      </c>
      <c r="H96" s="25">
        <f t="shared" si="5"/>
        <v>89.51</v>
      </c>
      <c r="I96" s="25">
        <v>2.6534</v>
      </c>
      <c r="J96" s="88"/>
      <c r="K96" s="106">
        <f>Table1[[#This Row],[GasP]]-Table1[[#This Row],[Gasoline]]</f>
        <v>-2.6534</v>
      </c>
      <c r="L96" s="4"/>
    </row>
    <row r="97" spans="1:12">
      <c r="A97" s="15">
        <v>44602</v>
      </c>
      <c r="B97" s="25">
        <v>89.24</v>
      </c>
      <c r="C97" s="25">
        <v>92.62</v>
      </c>
      <c r="D97" s="25">
        <v>90.78</v>
      </c>
      <c r="E97" s="4" t="s">
        <v>8</v>
      </c>
      <c r="F97" s="4">
        <f t="shared" si="3"/>
        <v>1</v>
      </c>
      <c r="G97" s="4" t="str">
        <f t="shared" si="4"/>
        <v>WTI Crude</v>
      </c>
      <c r="H97" s="25">
        <f t="shared" si="5"/>
        <v>89.24</v>
      </c>
      <c r="I97" s="25">
        <v>2.6251000000000002</v>
      </c>
      <c r="J97" s="87"/>
      <c r="K97" s="106">
        <f>Table1[[#This Row],[GasP]]-Table1[[#This Row],[Gasoline]]</f>
        <v>-2.6251000000000002</v>
      </c>
      <c r="L97" s="4"/>
    </row>
    <row r="98" spans="1:12">
      <c r="A98" s="15">
        <v>44601</v>
      </c>
      <c r="B98" s="25">
        <v>90.67</v>
      </c>
      <c r="C98" s="25">
        <v>91.59</v>
      </c>
      <c r="D98" s="25">
        <v>92.69</v>
      </c>
      <c r="E98" s="4" t="s">
        <v>8</v>
      </c>
      <c r="F98" s="4">
        <f t="shared" si="3"/>
        <v>1</v>
      </c>
      <c r="G98" s="4" t="str">
        <f t="shared" si="4"/>
        <v>WTI Crude</v>
      </c>
      <c r="H98" s="25">
        <f t="shared" si="5"/>
        <v>90.67</v>
      </c>
      <c r="I98" s="25">
        <v>2.6852999999999998</v>
      </c>
      <c r="J98" s="88"/>
      <c r="K98" s="106">
        <f>Table1[[#This Row],[GasP]]-Table1[[#This Row],[Gasoline]]</f>
        <v>-2.6852999999999998</v>
      </c>
      <c r="L98" s="4"/>
    </row>
    <row r="99" spans="1:12">
      <c r="A99" s="15">
        <v>44600</v>
      </c>
      <c r="B99" s="25">
        <v>91.36</v>
      </c>
      <c r="C99" s="25">
        <v>91.92</v>
      </c>
      <c r="D99" s="25">
        <v>93.27</v>
      </c>
      <c r="E99" s="4" t="s">
        <v>8</v>
      </c>
      <c r="F99" s="4">
        <f t="shared" si="3"/>
        <v>1</v>
      </c>
      <c r="G99" s="4" t="str">
        <f t="shared" si="4"/>
        <v>WTI Crude</v>
      </c>
      <c r="H99" s="25">
        <f t="shared" si="5"/>
        <v>91.36</v>
      </c>
      <c r="I99" s="25">
        <v>2.6785000000000001</v>
      </c>
      <c r="J99" s="87"/>
      <c r="K99" s="106">
        <f>Table1[[#This Row],[GasP]]-Table1[[#This Row],[Gasoline]]</f>
        <v>-2.6785000000000001</v>
      </c>
      <c r="L99" s="4"/>
    </row>
    <row r="100" spans="1:12">
      <c r="A100" s="15">
        <v>44599</v>
      </c>
      <c r="B100" s="25">
        <v>89.67</v>
      </c>
      <c r="C100" s="25">
        <v>93.18</v>
      </c>
      <c r="D100" s="25">
        <v>91.11</v>
      </c>
      <c r="E100" s="4" t="s">
        <v>8</v>
      </c>
      <c r="F100" s="4">
        <f t="shared" si="3"/>
        <v>1</v>
      </c>
      <c r="G100" s="4" t="str">
        <f t="shared" si="4"/>
        <v>WTI Crude</v>
      </c>
      <c r="H100" s="25">
        <f t="shared" si="5"/>
        <v>89.67</v>
      </c>
      <c r="I100" s="25">
        <v>2.6427</v>
      </c>
      <c r="J100" s="88"/>
      <c r="K100" s="106">
        <f>Table1[[#This Row],[GasP]]-Table1[[#This Row],[Gasoline]]</f>
        <v>-2.6427</v>
      </c>
      <c r="L100" s="4"/>
    </row>
    <row r="101" spans="1:12">
      <c r="A101" s="15">
        <v>44596</v>
      </c>
      <c r="B101" s="25">
        <v>87.93</v>
      </c>
      <c r="C101" s="25">
        <v>92.59</v>
      </c>
      <c r="D101" s="25">
        <v>89.47</v>
      </c>
      <c r="E101" s="4" t="s">
        <v>8</v>
      </c>
      <c r="F101" s="4">
        <f t="shared" si="3"/>
        <v>1</v>
      </c>
      <c r="G101" s="4" t="str">
        <f t="shared" si="4"/>
        <v>WTI Crude</v>
      </c>
      <c r="H101" s="25">
        <f t="shared" si="5"/>
        <v>87.93</v>
      </c>
      <c r="I101" s="25">
        <v>2.6070000000000002</v>
      </c>
      <c r="J101" s="87"/>
      <c r="K101" s="106">
        <f>Table1[[#This Row],[GasP]]-Table1[[#This Row],[Gasoline]]</f>
        <v>-2.6070000000000002</v>
      </c>
      <c r="L101" s="4"/>
    </row>
    <row r="102" spans="1:12">
      <c r="A102" s="15">
        <v>44595</v>
      </c>
      <c r="B102" s="25">
        <v>87.83</v>
      </c>
      <c r="C102" s="25">
        <v>89.73</v>
      </c>
      <c r="D102" s="25">
        <v>89.16</v>
      </c>
      <c r="E102" s="4">
        <v>79.099999999999994</v>
      </c>
      <c r="F102" s="4">
        <f t="shared" si="3"/>
        <v>4</v>
      </c>
      <c r="G102" s="4" t="str">
        <f t="shared" si="4"/>
        <v>WCS</v>
      </c>
      <c r="H102" s="25">
        <f t="shared" si="5"/>
        <v>79.099999999999994</v>
      </c>
      <c r="I102" s="25">
        <v>2.5752000000000002</v>
      </c>
      <c r="J102" s="88">
        <v>3.1989999999999998</v>
      </c>
      <c r="K102" s="106">
        <f>Table1[[#This Row],[GasP]]-Table1[[#This Row],[Gasoline]]</f>
        <v>0.62379999999999969</v>
      </c>
      <c r="L102" s="4"/>
    </row>
    <row r="103" spans="1:12">
      <c r="A103" s="15">
        <v>44594</v>
      </c>
      <c r="B103" s="25">
        <v>82.98</v>
      </c>
      <c r="C103" s="25">
        <v>89.94</v>
      </c>
      <c r="D103" s="25">
        <v>91.21</v>
      </c>
      <c r="E103" s="4" t="s">
        <v>8</v>
      </c>
      <c r="F103" s="4">
        <f t="shared" si="3"/>
        <v>1</v>
      </c>
      <c r="G103" s="4" t="str">
        <f t="shared" si="4"/>
        <v>WTI Crude</v>
      </c>
      <c r="H103" s="25">
        <f t="shared" si="5"/>
        <v>82.98</v>
      </c>
      <c r="I103" s="25">
        <v>2.5543999999999998</v>
      </c>
      <c r="J103" s="87"/>
      <c r="K103" s="106">
        <f>Table1[[#This Row],[GasP]]-Table1[[#This Row],[Gasoline]]</f>
        <v>-2.5543999999999998</v>
      </c>
      <c r="L103" s="4"/>
    </row>
    <row r="104" spans="1:12">
      <c r="A104" s="15">
        <v>44593</v>
      </c>
      <c r="B104" s="25">
        <v>82.91</v>
      </c>
      <c r="C104" s="25">
        <v>90.22</v>
      </c>
      <c r="D104" s="25">
        <v>90.03</v>
      </c>
      <c r="E104" s="4" t="s">
        <v>8</v>
      </c>
      <c r="F104" s="4">
        <f t="shared" si="3"/>
        <v>1</v>
      </c>
      <c r="G104" s="4" t="str">
        <f t="shared" si="4"/>
        <v>WTI Crude</v>
      </c>
      <c r="H104" s="25">
        <f t="shared" si="5"/>
        <v>82.91</v>
      </c>
      <c r="I104" s="25">
        <v>2.5379</v>
      </c>
      <c r="J104" s="88"/>
      <c r="K104" s="106">
        <f>Table1[[#This Row],[GasP]]-Table1[[#This Row],[Gasoline]]</f>
        <v>-2.5379</v>
      </c>
    </row>
    <row r="105" spans="1:12">
      <c r="A105" s="15">
        <v>44592</v>
      </c>
      <c r="B105" s="25">
        <v>82.89</v>
      </c>
      <c r="C105" s="25">
        <v>90.73</v>
      </c>
      <c r="D105" s="25">
        <v>89.34</v>
      </c>
      <c r="E105" s="4" t="s">
        <v>8</v>
      </c>
      <c r="F105" s="4">
        <f t="shared" si="3"/>
        <v>1</v>
      </c>
      <c r="G105" s="4" t="str">
        <f t="shared" si="4"/>
        <v>WTI Crude</v>
      </c>
      <c r="H105" s="25">
        <f t="shared" si="5"/>
        <v>82.89</v>
      </c>
      <c r="I105" s="25">
        <v>2.5209999999999999</v>
      </c>
      <c r="J105" s="87"/>
      <c r="K105" s="106">
        <f>Table1[[#This Row],[GasP]]-Table1[[#This Row],[Gasoline]]</f>
        <v>-2.5209999999999999</v>
      </c>
    </row>
    <row r="106" spans="1:12">
      <c r="A106" s="15">
        <v>44589</v>
      </c>
      <c r="B106" s="25">
        <v>83</v>
      </c>
      <c r="C106" s="25">
        <v>89.97</v>
      </c>
      <c r="D106" s="25">
        <v>89.96</v>
      </c>
      <c r="E106" s="4" t="s">
        <v>8</v>
      </c>
      <c r="F106" s="4">
        <f t="shared" si="3"/>
        <v>1</v>
      </c>
      <c r="G106" s="4" t="str">
        <f t="shared" si="4"/>
        <v>WTI Crude</v>
      </c>
      <c r="H106" s="25">
        <f t="shared" si="5"/>
        <v>83</v>
      </c>
      <c r="I106" s="25">
        <v>2.5232000000000001</v>
      </c>
      <c r="J106" s="88"/>
      <c r="K106" s="106">
        <f>Table1[[#This Row],[GasP]]-Table1[[#This Row],[Gasoline]]</f>
        <v>-2.5232000000000001</v>
      </c>
    </row>
    <row r="107" spans="1:12">
      <c r="A107" s="15">
        <v>44588</v>
      </c>
      <c r="B107" s="25">
        <v>82.65</v>
      </c>
      <c r="C107" s="25">
        <v>90.04</v>
      </c>
      <c r="D107" s="25">
        <v>88.2</v>
      </c>
      <c r="E107" s="4" t="s">
        <v>8</v>
      </c>
      <c r="F107" s="4">
        <f t="shared" si="3"/>
        <v>1</v>
      </c>
      <c r="G107" s="4" t="str">
        <f t="shared" si="4"/>
        <v>WTI Crude</v>
      </c>
      <c r="H107" s="25">
        <f t="shared" si="5"/>
        <v>82.65</v>
      </c>
      <c r="I107" s="25">
        <v>2.4626000000000001</v>
      </c>
      <c r="J107" s="87"/>
      <c r="K107" s="106">
        <f>Table1[[#This Row],[GasP]]-Table1[[#This Row],[Gasoline]]</f>
        <v>-2.4626000000000001</v>
      </c>
    </row>
    <row r="108" spans="1:12">
      <c r="A108" s="15">
        <v>44587</v>
      </c>
      <c r="B108" s="25">
        <v>82.08</v>
      </c>
      <c r="C108" s="25">
        <v>89.18</v>
      </c>
      <c r="D108" s="25">
        <v>86.27</v>
      </c>
      <c r="E108" s="4" t="s">
        <v>8</v>
      </c>
      <c r="F108" s="4">
        <f t="shared" si="3"/>
        <v>1</v>
      </c>
      <c r="G108" s="4" t="str">
        <f t="shared" si="4"/>
        <v>WTI Crude</v>
      </c>
      <c r="H108" s="25">
        <f t="shared" si="5"/>
        <v>82.08</v>
      </c>
      <c r="I108" s="25">
        <v>2.4020999999999999</v>
      </c>
      <c r="J108" s="88"/>
      <c r="K108" s="106">
        <f>Table1[[#This Row],[GasP]]-Table1[[#This Row],[Gasoline]]</f>
        <v>-2.4020999999999999</v>
      </c>
    </row>
    <row r="109" spans="1:12">
      <c r="A109" s="15">
        <v>44586</v>
      </c>
      <c r="B109" s="25">
        <v>82.63</v>
      </c>
      <c r="C109" s="25">
        <v>87.19</v>
      </c>
      <c r="D109" s="25">
        <v>87.89</v>
      </c>
      <c r="E109" s="4" t="s">
        <v>8</v>
      </c>
      <c r="F109" s="4">
        <f t="shared" si="3"/>
        <v>1</v>
      </c>
      <c r="G109" s="4" t="str">
        <f t="shared" si="4"/>
        <v>WTI Crude</v>
      </c>
      <c r="H109" s="25">
        <f t="shared" si="5"/>
        <v>82.63</v>
      </c>
      <c r="I109" s="25">
        <v>2.4464999999999999</v>
      </c>
      <c r="J109" s="87"/>
      <c r="K109" s="106">
        <f>Table1[[#This Row],[GasP]]-Table1[[#This Row],[Gasoline]]</f>
        <v>-2.4464999999999999</v>
      </c>
    </row>
    <row r="110" spans="1:12">
      <c r="A110" s="15">
        <v>44585</v>
      </c>
      <c r="B110" s="25">
        <v>82.77</v>
      </c>
      <c r="C110" s="25">
        <v>87.83</v>
      </c>
      <c r="D110" s="25">
        <v>88.38</v>
      </c>
      <c r="E110" s="4" t="s">
        <v>8</v>
      </c>
      <c r="F110" s="4">
        <f t="shared" si="3"/>
        <v>1</v>
      </c>
      <c r="G110" s="4" t="str">
        <f t="shared" si="4"/>
        <v>WTI Crude</v>
      </c>
      <c r="H110" s="25">
        <f t="shared" si="5"/>
        <v>82.77</v>
      </c>
      <c r="I110" s="25">
        <v>2.4662000000000002</v>
      </c>
      <c r="J110" s="88"/>
      <c r="K110" s="106">
        <f>Table1[[#This Row],[GasP]]-Table1[[#This Row],[Gasoline]]</f>
        <v>-2.4662000000000002</v>
      </c>
    </row>
    <row r="111" spans="1:12">
      <c r="A111" s="15">
        <v>44582</v>
      </c>
      <c r="B111" s="25">
        <v>82.86</v>
      </c>
      <c r="C111" s="25">
        <v>87.3</v>
      </c>
      <c r="D111" s="25">
        <v>88.44</v>
      </c>
      <c r="E111" s="4" t="s">
        <v>8</v>
      </c>
      <c r="F111" s="4">
        <f t="shared" si="3"/>
        <v>1</v>
      </c>
      <c r="G111" s="4" t="str">
        <f t="shared" si="4"/>
        <v>WTI Crude</v>
      </c>
      <c r="H111" s="25">
        <f t="shared" si="5"/>
        <v>82.86</v>
      </c>
      <c r="I111" s="25">
        <v>2.4615</v>
      </c>
      <c r="J111" s="87"/>
      <c r="K111" s="106">
        <f>Table1[[#This Row],[GasP]]-Table1[[#This Row],[Gasoline]]</f>
        <v>-2.4615</v>
      </c>
    </row>
    <row r="112" spans="1:12">
      <c r="A112" s="15">
        <v>44581</v>
      </c>
      <c r="B112" s="25">
        <v>82.37</v>
      </c>
      <c r="C112" s="25">
        <v>88.39</v>
      </c>
      <c r="D112" s="25">
        <v>87.51</v>
      </c>
      <c r="E112" s="4" t="s">
        <v>8</v>
      </c>
      <c r="F112" s="4">
        <f t="shared" si="3"/>
        <v>1</v>
      </c>
      <c r="G112" s="4" t="str">
        <f t="shared" si="4"/>
        <v>WTI Crude</v>
      </c>
      <c r="H112" s="25">
        <f t="shared" si="5"/>
        <v>82.37</v>
      </c>
      <c r="I112" s="25">
        <v>2.4386999999999999</v>
      </c>
      <c r="J112" s="88"/>
      <c r="K112" s="106">
        <f>Table1[[#This Row],[GasP]]-Table1[[#This Row],[Gasoline]]</f>
        <v>-2.4386999999999999</v>
      </c>
    </row>
    <row r="113" spans="1:11">
      <c r="A113" s="15">
        <v>44580</v>
      </c>
      <c r="B113" s="25">
        <v>81.59</v>
      </c>
      <c r="C113" s="25">
        <v>88.33</v>
      </c>
      <c r="D113" s="25">
        <v>86.06</v>
      </c>
      <c r="E113" s="4" t="s">
        <v>8</v>
      </c>
      <c r="F113" s="4">
        <f t="shared" si="3"/>
        <v>1</v>
      </c>
      <c r="G113" s="4" t="str">
        <f t="shared" si="4"/>
        <v>WTI Crude</v>
      </c>
      <c r="H113" s="25">
        <f t="shared" si="5"/>
        <v>81.59</v>
      </c>
      <c r="I113" s="25">
        <v>2.4237000000000002</v>
      </c>
      <c r="J113" s="87"/>
      <c r="K113" s="106">
        <f>Table1[[#This Row],[GasP]]-Table1[[#This Row],[Gasoline]]</f>
        <v>-2.4237000000000002</v>
      </c>
    </row>
    <row r="114" spans="1:11">
      <c r="A114" s="15">
        <v>44579</v>
      </c>
      <c r="B114" s="25">
        <v>80.67</v>
      </c>
      <c r="C114" s="25">
        <v>87.93</v>
      </c>
      <c r="D114" s="25">
        <v>84.47</v>
      </c>
      <c r="E114" s="4" t="s">
        <v>8</v>
      </c>
      <c r="F114" s="4">
        <f t="shared" si="3"/>
        <v>1</v>
      </c>
      <c r="G114" s="4" t="str">
        <f t="shared" si="4"/>
        <v>WTI Crude</v>
      </c>
      <c r="H114" s="25">
        <f t="shared" si="5"/>
        <v>80.67</v>
      </c>
      <c r="I114" s="25">
        <v>2.3877000000000002</v>
      </c>
      <c r="J114" s="88"/>
      <c r="K114" s="106">
        <f>Table1[[#This Row],[GasP]]-Table1[[#This Row],[Gasoline]]</f>
        <v>-2.3877000000000002</v>
      </c>
    </row>
    <row r="115" spans="1:11">
      <c r="A115" s="15">
        <v>44578</v>
      </c>
      <c r="B115" s="25">
        <v>80.94</v>
      </c>
      <c r="C115" s="25">
        <v>86.38</v>
      </c>
      <c r="D115" s="25">
        <v>84.67</v>
      </c>
      <c r="E115" s="4" t="s">
        <v>8</v>
      </c>
      <c r="F115" s="4">
        <f t="shared" si="3"/>
        <v>1</v>
      </c>
      <c r="G115" s="4" t="str">
        <f t="shared" si="4"/>
        <v>WTI Crude</v>
      </c>
      <c r="H115" s="25">
        <f t="shared" si="5"/>
        <v>80.94</v>
      </c>
      <c r="I115" s="25">
        <v>2.3908</v>
      </c>
      <c r="J115" s="87"/>
      <c r="K115" s="106">
        <f>Table1[[#This Row],[GasP]]-Table1[[#This Row],[Gasoline]]</f>
        <v>-2.3908</v>
      </c>
    </row>
    <row r="116" spans="1:11">
      <c r="A116" s="15">
        <v>44575</v>
      </c>
      <c r="B116" s="25">
        <v>80.040000000000006</v>
      </c>
      <c r="C116" s="25">
        <v>85.3</v>
      </c>
      <c r="D116" s="25">
        <v>83.72</v>
      </c>
      <c r="E116" s="4" t="s">
        <v>8</v>
      </c>
      <c r="F116" s="4">
        <f t="shared" si="3"/>
        <v>1</v>
      </c>
      <c r="G116" s="4" t="str">
        <f t="shared" si="4"/>
        <v>WTI Crude</v>
      </c>
      <c r="H116" s="25">
        <f t="shared" si="5"/>
        <v>80.040000000000006</v>
      </c>
      <c r="I116" s="25">
        <v>2.3574000000000002</v>
      </c>
      <c r="J116" s="88"/>
      <c r="K116" s="106">
        <f>Table1[[#This Row],[GasP]]-Table1[[#This Row],[Gasoline]]</f>
        <v>-2.3574000000000002</v>
      </c>
    </row>
    <row r="117" spans="1:11">
      <c r="A117" s="15">
        <v>44574</v>
      </c>
      <c r="B117" s="25">
        <v>77.95</v>
      </c>
      <c r="C117" s="25">
        <v>84.56</v>
      </c>
      <c r="D117" s="25">
        <v>80.87</v>
      </c>
      <c r="E117" s="4" t="s">
        <v>8</v>
      </c>
      <c r="F117" s="4">
        <f t="shared" si="3"/>
        <v>1</v>
      </c>
      <c r="G117" s="4" t="str">
        <f t="shared" si="4"/>
        <v>WTI Crude</v>
      </c>
      <c r="H117" s="25">
        <f t="shared" si="5"/>
        <v>77.95</v>
      </c>
      <c r="I117" s="25">
        <v>2.2753999999999999</v>
      </c>
      <c r="J117" s="87"/>
      <c r="K117" s="106">
        <f>Table1[[#This Row],[GasP]]-Table1[[#This Row],[Gasoline]]</f>
        <v>-2.2753999999999999</v>
      </c>
    </row>
    <row r="118" spans="1:11">
      <c r="A118" s="15">
        <v>44573</v>
      </c>
      <c r="B118" s="25">
        <v>78.48</v>
      </c>
      <c r="C118" s="25">
        <v>84.19</v>
      </c>
      <c r="D118" s="25">
        <v>81.75</v>
      </c>
      <c r="E118" s="4" t="s">
        <v>8</v>
      </c>
      <c r="F118" s="4">
        <f t="shared" si="3"/>
        <v>1</v>
      </c>
      <c r="G118" s="4" t="str">
        <f t="shared" si="4"/>
        <v>WTI Crude</v>
      </c>
      <c r="H118" s="25">
        <f t="shared" si="5"/>
        <v>78.48</v>
      </c>
      <c r="I118" s="25">
        <v>2.2989000000000002</v>
      </c>
      <c r="J118" s="88"/>
      <c r="K118" s="106">
        <f>Table1[[#This Row],[GasP]]-Table1[[#This Row],[Gasoline]]</f>
        <v>-2.2989000000000002</v>
      </c>
    </row>
    <row r="119" spans="1:11">
      <c r="A119" s="15">
        <v>44572</v>
      </c>
      <c r="B119" s="25">
        <v>78.88</v>
      </c>
      <c r="C119" s="25">
        <v>81.97</v>
      </c>
      <c r="D119" s="25">
        <v>81.99</v>
      </c>
      <c r="E119" s="4" t="s">
        <v>8</v>
      </c>
      <c r="F119" s="4">
        <f t="shared" si="3"/>
        <v>1</v>
      </c>
      <c r="G119" s="4" t="str">
        <f t="shared" si="4"/>
        <v>WTI Crude</v>
      </c>
      <c r="H119" s="25">
        <f t="shared" si="5"/>
        <v>78.88</v>
      </c>
      <c r="I119" s="25">
        <v>2.3043</v>
      </c>
      <c r="J119" s="88"/>
      <c r="K119" s="106">
        <f>Table1[[#This Row],[GasP]]-Table1[[#This Row],[Gasoline]]</f>
        <v>-2.3043</v>
      </c>
    </row>
    <row r="120" spans="1:11">
      <c r="A120" s="15">
        <v>44571</v>
      </c>
      <c r="B120" s="25">
        <v>77.59</v>
      </c>
      <c r="C120" s="25">
        <v>81.599999999999994</v>
      </c>
      <c r="D120" s="25">
        <v>80.8</v>
      </c>
      <c r="E120" s="4" t="s">
        <v>8</v>
      </c>
      <c r="F120" s="4">
        <f t="shared" si="3"/>
        <v>1</v>
      </c>
      <c r="G120" s="4" t="str">
        <f t="shared" si="4"/>
        <v>WTI Crude</v>
      </c>
      <c r="H120" s="25">
        <f t="shared" si="5"/>
        <v>77.59</v>
      </c>
      <c r="I120" s="25">
        <v>2.2921</v>
      </c>
      <c r="J120" s="88"/>
      <c r="K120" s="106">
        <f>Table1[[#This Row],[GasP]]-Table1[[#This Row],[Gasoline]]</f>
        <v>-2.2921</v>
      </c>
    </row>
    <row r="121" spans="1:11">
      <c r="A121" s="15">
        <v>44568</v>
      </c>
      <c r="B121" s="25">
        <v>76.86</v>
      </c>
      <c r="C121" s="25">
        <v>82</v>
      </c>
      <c r="D121" s="25">
        <v>80</v>
      </c>
      <c r="E121" s="4" t="s">
        <v>8</v>
      </c>
      <c r="F121" s="4">
        <f t="shared" si="3"/>
        <v>1</v>
      </c>
      <c r="G121" s="4" t="str">
        <f t="shared" si="4"/>
        <v>WTI Crude</v>
      </c>
      <c r="H121" s="25">
        <f t="shared" si="5"/>
        <v>76.86</v>
      </c>
      <c r="I121" s="25">
        <v>2.2763</v>
      </c>
      <c r="J121" s="88"/>
      <c r="K121" s="106">
        <f>Table1[[#This Row],[GasP]]-Table1[[#This Row],[Gasoline]]</f>
        <v>-2.2763</v>
      </c>
    </row>
    <row r="122" spans="1:11">
      <c r="A122" s="15">
        <v>44567</v>
      </c>
      <c r="B122" s="25">
        <v>76</v>
      </c>
      <c r="C122" s="25">
        <v>80.650000000000006</v>
      </c>
      <c r="D122" s="25">
        <v>78.98</v>
      </c>
      <c r="E122" s="4" t="s">
        <v>8</v>
      </c>
      <c r="F122" s="4">
        <f t="shared" si="3"/>
        <v>1</v>
      </c>
      <c r="G122" s="4" t="str">
        <f t="shared" si="4"/>
        <v>WTI Crude</v>
      </c>
      <c r="H122" s="25">
        <f t="shared" si="5"/>
        <v>76</v>
      </c>
      <c r="I122" s="25">
        <v>2.2565</v>
      </c>
      <c r="J122" s="88">
        <f>3.31+0.135</f>
        <v>3.4450000000000003</v>
      </c>
      <c r="K122" s="106">
        <f>Table1[[#This Row],[GasP]]-Table1[[#This Row],[Gasoline]]</f>
        <v>1.1885000000000003</v>
      </c>
    </row>
    <row r="123" spans="1:11">
      <c r="A123" s="15">
        <v>44566</v>
      </c>
      <c r="B123" s="25">
        <v>71.69</v>
      </c>
      <c r="C123" s="25">
        <v>79.92</v>
      </c>
      <c r="D123" s="25">
        <v>77.78</v>
      </c>
      <c r="E123" s="4" t="s">
        <v>8</v>
      </c>
      <c r="F123" s="4">
        <f t="shared" si="3"/>
        <v>1</v>
      </c>
      <c r="G123" s="4" t="str">
        <f t="shared" si="4"/>
        <v>WTI Crude</v>
      </c>
      <c r="H123" s="25">
        <f t="shared" si="5"/>
        <v>71.69</v>
      </c>
      <c r="I123" s="25">
        <v>2.2246000000000001</v>
      </c>
      <c r="J123" s="88"/>
      <c r="K123" s="106">
        <f>Table1[[#This Row],[GasP]]-Table1[[#This Row],[Gasoline]]</f>
        <v>-2.2246000000000001</v>
      </c>
    </row>
    <row r="124" spans="1:11">
      <c r="A124" s="15">
        <v>44565</v>
      </c>
      <c r="B124" s="25">
        <v>71.77</v>
      </c>
      <c r="C124" s="25">
        <v>78.78</v>
      </c>
      <c r="D124" s="25">
        <v>79.319999999999993</v>
      </c>
      <c r="E124" s="4" t="s">
        <v>8</v>
      </c>
      <c r="F124" s="4">
        <f t="shared" si="3"/>
        <v>1</v>
      </c>
      <c r="G124" s="4" t="str">
        <f t="shared" si="4"/>
        <v>WTI Crude</v>
      </c>
      <c r="H124" s="25">
        <f t="shared" si="5"/>
        <v>71.77</v>
      </c>
      <c r="I124" s="25">
        <v>2.2913999999999999</v>
      </c>
      <c r="J124" s="88"/>
      <c r="K124" s="106">
        <f>Table1[[#This Row],[GasP]]-Table1[[#This Row],[Gasoline]]</f>
        <v>-2.2913999999999999</v>
      </c>
    </row>
    <row r="125" spans="1:11">
      <c r="A125" s="15">
        <v>44564</v>
      </c>
      <c r="B125" s="25">
        <v>71.73</v>
      </c>
      <c r="C125" s="25">
        <v>77.86</v>
      </c>
      <c r="D125" s="25">
        <v>79.23</v>
      </c>
      <c r="E125" s="4">
        <v>65.25</v>
      </c>
      <c r="F125" s="4">
        <f t="shared" si="3"/>
        <v>4</v>
      </c>
      <c r="G125" s="4" t="str">
        <f t="shared" si="4"/>
        <v>WCS</v>
      </c>
      <c r="H125" s="25">
        <f t="shared" si="5"/>
        <v>65.25</v>
      </c>
      <c r="I125" s="25">
        <v>2.2665999999999999</v>
      </c>
      <c r="J125" s="88"/>
      <c r="K125" s="106">
        <f>Table1[[#This Row],[GasP]]-Table1[[#This Row],[Gasoline]]</f>
        <v>-2.2665999999999999</v>
      </c>
    </row>
    <row r="126" spans="1:11">
      <c r="A126" s="15">
        <v>44561</v>
      </c>
      <c r="B126" s="25">
        <v>71.650000000000006</v>
      </c>
      <c r="C126" s="25">
        <v>77.97</v>
      </c>
      <c r="D126" s="25">
        <v>78.94</v>
      </c>
      <c r="E126" s="4" t="s">
        <v>8</v>
      </c>
      <c r="F126" s="4">
        <f t="shared" si="3"/>
        <v>1</v>
      </c>
      <c r="G126" s="4" t="str">
        <f t="shared" si="4"/>
        <v>WTI Crude</v>
      </c>
      <c r="H126" s="25">
        <f t="shared" si="5"/>
        <v>71.650000000000006</v>
      </c>
      <c r="I126" s="25">
        <v>2.246</v>
      </c>
      <c r="J126" s="88"/>
      <c r="K126" s="106">
        <f>Table1[[#This Row],[GasP]]-Table1[[#This Row],[Gasoline]]</f>
        <v>-2.246</v>
      </c>
    </row>
    <row r="127" spans="1:11">
      <c r="A127" s="15">
        <v>44560</v>
      </c>
      <c r="B127" s="25">
        <v>71.58</v>
      </c>
      <c r="C127" s="25">
        <v>78.33</v>
      </c>
      <c r="D127" s="25">
        <v>78.599999999999994</v>
      </c>
      <c r="E127" s="4" t="s">
        <v>8</v>
      </c>
      <c r="F127" s="4">
        <f t="shared" si="3"/>
        <v>1</v>
      </c>
      <c r="G127" s="4" t="str">
        <f t="shared" si="4"/>
        <v>WTI Crude</v>
      </c>
      <c r="H127" s="25">
        <f t="shared" si="5"/>
        <v>71.58</v>
      </c>
      <c r="I127" s="25">
        <v>2.2303999999999999</v>
      </c>
      <c r="J127" s="88"/>
      <c r="K127" s="106">
        <f>Table1[[#This Row],[GasP]]-Table1[[#This Row],[Gasoline]]</f>
        <v>-2.2303999999999999</v>
      </c>
    </row>
    <row r="128" spans="1:11">
      <c r="A128" s="15">
        <v>44559</v>
      </c>
      <c r="B128" s="25">
        <v>71.17</v>
      </c>
      <c r="C128" s="25">
        <v>78.17</v>
      </c>
      <c r="D128" s="25">
        <v>76.849999999999994</v>
      </c>
      <c r="E128" s="4" t="s">
        <v>8</v>
      </c>
      <c r="F128" s="4">
        <f t="shared" si="3"/>
        <v>1</v>
      </c>
      <c r="G128" s="4" t="str">
        <f t="shared" si="4"/>
        <v>WTI Crude</v>
      </c>
      <c r="H128" s="25">
        <f t="shared" si="5"/>
        <v>71.17</v>
      </c>
      <c r="I128" s="25">
        <v>2.2033</v>
      </c>
      <c r="J128" s="88"/>
      <c r="K128" s="106">
        <f>Table1[[#This Row],[GasP]]-Table1[[#This Row],[Gasoline]]</f>
        <v>-2.2033</v>
      </c>
    </row>
    <row r="129" spans="1:11">
      <c r="A129" s="15">
        <v>44558</v>
      </c>
      <c r="B129" s="25">
        <v>70.89</v>
      </c>
      <c r="C129" s="25">
        <v>77.39</v>
      </c>
      <c r="D129" s="25">
        <v>75.290000000000006</v>
      </c>
      <c r="E129" s="4" t="s">
        <v>8</v>
      </c>
      <c r="F129" s="4">
        <f t="shared" si="3"/>
        <v>1</v>
      </c>
      <c r="G129" s="4" t="str">
        <f t="shared" si="4"/>
        <v>WTI Crude</v>
      </c>
      <c r="H129" s="25">
        <f t="shared" si="5"/>
        <v>70.89</v>
      </c>
      <c r="I129" s="25">
        <v>2.165</v>
      </c>
      <c r="J129" s="88"/>
      <c r="K129" s="106">
        <f>Table1[[#This Row],[GasP]]-Table1[[#This Row],[Gasoline]]</f>
        <v>-2.165</v>
      </c>
    </row>
    <row r="130" spans="1:11">
      <c r="A130" s="15">
        <v>44557</v>
      </c>
      <c r="B130" s="25">
        <v>70.37</v>
      </c>
      <c r="C130" s="25">
        <v>75.63</v>
      </c>
      <c r="D130" s="25">
        <v>73.98</v>
      </c>
      <c r="E130" s="4" t="s">
        <v>8</v>
      </c>
      <c r="F130" s="4">
        <f t="shared" ref="F130:F193" si="6">IF(MIN(B130:E130)=B130,1,IF(MIN(B130:E130)=C130,2,IF(MIN(B130:E130)=D130,3,IF(MIN(B130:E130)=E130,4,))))</f>
        <v>1</v>
      </c>
      <c r="G130" s="4" t="str">
        <f t="shared" ref="G130:G193" si="7">IF(MIN(B130:E130)=B130,$B$1,IF(MIN(B130:E130)=C130,$C$1,IF(MIN(B130:E130)=D130,$D$1,IF(MIN(B130:E130)=E130,$E$1,))))</f>
        <v>WTI Crude</v>
      </c>
      <c r="H130" s="25">
        <f t="shared" ref="H130:H193" si="8">IF(MIN(B130:E130)=B130,B130,IF(MIN(B130:E130)=C130,C130,IF(MIN(B130:E130)=D130,D130,IF(MIN(B130:E130)=E130,E130,))))</f>
        <v>70.37</v>
      </c>
      <c r="I130" s="25">
        <v>2.1448</v>
      </c>
      <c r="J130" s="88"/>
      <c r="K130" s="106">
        <f>Table1[[#This Row],[GasP]]-Table1[[#This Row],[Gasoline]]</f>
        <v>-2.1448</v>
      </c>
    </row>
    <row r="131" spans="1:11">
      <c r="A131" s="15">
        <v>44554</v>
      </c>
      <c r="B131" s="25">
        <v>69.459999999999994</v>
      </c>
      <c r="C131" s="25">
        <v>75.5</v>
      </c>
      <c r="D131" s="25">
        <v>71.52</v>
      </c>
      <c r="E131" s="4" t="s">
        <v>8</v>
      </c>
      <c r="F131" s="4">
        <f t="shared" si="6"/>
        <v>1</v>
      </c>
      <c r="G131" s="4" t="str">
        <f t="shared" si="7"/>
        <v>WTI Crude</v>
      </c>
      <c r="H131" s="25">
        <f t="shared" si="8"/>
        <v>69.459999999999994</v>
      </c>
      <c r="I131" s="25">
        <v>2.0785999999999998</v>
      </c>
      <c r="J131" s="88"/>
      <c r="K131" s="106">
        <f>Table1[[#This Row],[GasP]]-Table1[[#This Row],[Gasoline]]</f>
        <v>-2.0785999999999998</v>
      </c>
    </row>
    <row r="132" spans="1:11">
      <c r="A132" s="15">
        <v>44553</v>
      </c>
      <c r="B132" s="25">
        <v>70.349999999999994</v>
      </c>
      <c r="C132" s="25">
        <v>75.16</v>
      </c>
      <c r="D132" s="25">
        <v>73.52</v>
      </c>
      <c r="E132" s="4" t="s">
        <v>8</v>
      </c>
      <c r="F132" s="4">
        <f t="shared" si="6"/>
        <v>1</v>
      </c>
      <c r="G132" s="4" t="str">
        <f t="shared" si="7"/>
        <v>WTI Crude</v>
      </c>
      <c r="H132" s="25">
        <f t="shared" si="8"/>
        <v>70.349999999999994</v>
      </c>
      <c r="I132" s="25">
        <v>2.1126</v>
      </c>
      <c r="J132" s="88"/>
      <c r="K132" s="106">
        <f>Table1[[#This Row],[GasP]]-Table1[[#This Row],[Gasoline]]</f>
        <v>-2.1126</v>
      </c>
    </row>
    <row r="133" spans="1:11">
      <c r="A133" s="15">
        <v>44552</v>
      </c>
      <c r="B133" s="25">
        <v>71</v>
      </c>
      <c r="C133" s="25">
        <v>73.989999999999995</v>
      </c>
      <c r="D133" s="25">
        <v>75.02</v>
      </c>
      <c r="E133" s="4" t="s">
        <v>8</v>
      </c>
      <c r="F133" s="4">
        <f t="shared" si="6"/>
        <v>1</v>
      </c>
      <c r="G133" s="4" t="str">
        <f t="shared" si="7"/>
        <v>WTI Crude</v>
      </c>
      <c r="H133" s="25">
        <f t="shared" si="8"/>
        <v>71</v>
      </c>
      <c r="I133" s="25">
        <v>2.1644000000000001</v>
      </c>
      <c r="J133" s="88"/>
      <c r="K133" s="106">
        <f>Table1[[#This Row],[GasP]]-Table1[[#This Row],[Gasoline]]</f>
        <v>-2.1644000000000001</v>
      </c>
    </row>
    <row r="134" spans="1:11">
      <c r="A134" s="15">
        <v>44551</v>
      </c>
      <c r="B134" s="25">
        <v>70.260000000000005</v>
      </c>
      <c r="C134" s="25">
        <v>72.180000000000007</v>
      </c>
      <c r="D134" s="25">
        <v>73.88</v>
      </c>
      <c r="E134" s="4" t="s">
        <v>8</v>
      </c>
      <c r="F134" s="4">
        <f t="shared" si="6"/>
        <v>1</v>
      </c>
      <c r="G134" s="4" t="str">
        <f t="shared" si="7"/>
        <v>WTI Crude</v>
      </c>
      <c r="H134" s="25">
        <f t="shared" si="8"/>
        <v>70.260000000000005</v>
      </c>
      <c r="I134" s="25">
        <v>2.1122999999999998</v>
      </c>
      <c r="J134" s="88"/>
      <c r="K134" s="106">
        <f>Table1[[#This Row],[GasP]]-Table1[[#This Row],[Gasoline]]</f>
        <v>-2.1122999999999998</v>
      </c>
    </row>
    <row r="135" spans="1:11">
      <c r="A135" s="15">
        <v>44550</v>
      </c>
      <c r="B135" s="25">
        <v>70.180000000000007</v>
      </c>
      <c r="C135" s="25">
        <v>70.94</v>
      </c>
      <c r="D135" s="25">
        <v>73.7</v>
      </c>
      <c r="E135" s="4" t="s">
        <v>8</v>
      </c>
      <c r="F135" s="4">
        <f t="shared" si="6"/>
        <v>1</v>
      </c>
      <c r="G135" s="4" t="str">
        <f t="shared" si="7"/>
        <v>WTI Crude</v>
      </c>
      <c r="H135" s="25">
        <f t="shared" si="8"/>
        <v>70.180000000000007</v>
      </c>
      <c r="I135" s="25">
        <v>2.1107999999999998</v>
      </c>
      <c r="J135" s="88"/>
      <c r="K135" s="106">
        <f>Table1[[#This Row],[GasP]]-Table1[[#This Row],[Gasoline]]</f>
        <v>-2.1107999999999998</v>
      </c>
    </row>
    <row r="136" spans="1:11">
      <c r="A136" s="15">
        <v>44547</v>
      </c>
      <c r="B136" s="25">
        <v>70.5</v>
      </c>
      <c r="C136" s="25">
        <v>74.23</v>
      </c>
      <c r="D136" s="25">
        <v>74.39</v>
      </c>
      <c r="E136" s="4" t="s">
        <v>8</v>
      </c>
      <c r="F136" s="4">
        <f t="shared" si="6"/>
        <v>1</v>
      </c>
      <c r="G136" s="4" t="str">
        <f t="shared" si="7"/>
        <v>WTI Crude</v>
      </c>
      <c r="H136" s="25">
        <f t="shared" si="8"/>
        <v>70.5</v>
      </c>
      <c r="I136" s="25">
        <v>2.1164999999999998</v>
      </c>
      <c r="J136" s="88"/>
      <c r="K136" s="106">
        <f>Table1[[#This Row],[GasP]]-Table1[[#This Row],[Gasoline]]</f>
        <v>-2.1164999999999998</v>
      </c>
    </row>
    <row r="137" spans="1:11">
      <c r="A137" s="15">
        <v>44546</v>
      </c>
      <c r="B137" s="25">
        <v>70.760000000000005</v>
      </c>
      <c r="C137" s="25">
        <v>74.66</v>
      </c>
      <c r="D137" s="25">
        <v>75.150000000000006</v>
      </c>
      <c r="E137" s="4" t="s">
        <v>8</v>
      </c>
      <c r="F137" s="4">
        <f t="shared" si="6"/>
        <v>1</v>
      </c>
      <c r="G137" s="4" t="str">
        <f t="shared" si="7"/>
        <v>WTI Crude</v>
      </c>
      <c r="H137" s="25">
        <f t="shared" si="8"/>
        <v>70.760000000000005</v>
      </c>
      <c r="I137" s="25">
        <v>2.1372</v>
      </c>
      <c r="J137" s="88"/>
      <c r="K137" s="106">
        <f>Table1[[#This Row],[GasP]]-Table1[[#This Row],[Gasoline]]</f>
        <v>-2.1372</v>
      </c>
    </row>
    <row r="138" spans="1:11">
      <c r="A138" s="15">
        <v>44545</v>
      </c>
      <c r="B138" s="25">
        <v>70.28</v>
      </c>
      <c r="C138" s="25">
        <v>73.12</v>
      </c>
      <c r="D138" s="25">
        <v>74.42</v>
      </c>
      <c r="E138" s="4" t="s">
        <v>8</v>
      </c>
      <c r="F138" s="4">
        <f t="shared" si="6"/>
        <v>1</v>
      </c>
      <c r="G138" s="4" t="str">
        <f t="shared" si="7"/>
        <v>WTI Crude</v>
      </c>
      <c r="H138" s="25">
        <f t="shared" si="8"/>
        <v>70.28</v>
      </c>
      <c r="I138" s="25">
        <v>2.1284000000000001</v>
      </c>
      <c r="J138" s="88"/>
      <c r="K138" s="106">
        <f>Table1[[#This Row],[GasP]]-Table1[[#This Row],[Gasoline]]</f>
        <v>-2.1284000000000001</v>
      </c>
    </row>
    <row r="139" spans="1:11">
      <c r="A139" s="15">
        <v>44544</v>
      </c>
      <c r="B139" s="25">
        <v>71.3</v>
      </c>
      <c r="C139" s="25">
        <v>74.28</v>
      </c>
      <c r="D139" s="25">
        <v>75.819999999999993</v>
      </c>
      <c r="E139" s="4" t="s">
        <v>8</v>
      </c>
      <c r="F139" s="4">
        <f t="shared" si="6"/>
        <v>1</v>
      </c>
      <c r="G139" s="4" t="str">
        <f t="shared" si="7"/>
        <v>WTI Crude</v>
      </c>
      <c r="H139" s="25">
        <f t="shared" si="8"/>
        <v>71.3</v>
      </c>
      <c r="I139" s="25">
        <v>2.1484999999999999</v>
      </c>
      <c r="J139" s="88"/>
      <c r="K139" s="106">
        <f>Table1[[#This Row],[GasP]]-Table1[[#This Row],[Gasoline]]</f>
        <v>-2.1484999999999999</v>
      </c>
    </row>
    <row r="140" spans="1:11">
      <c r="A140" s="15">
        <v>44543</v>
      </c>
      <c r="B140" s="25">
        <v>71.05</v>
      </c>
      <c r="C140" s="25">
        <v>75.040000000000006</v>
      </c>
      <c r="D140" s="25">
        <v>75.44</v>
      </c>
      <c r="E140" s="4" t="s">
        <v>8</v>
      </c>
      <c r="F140" s="4">
        <f t="shared" si="6"/>
        <v>1</v>
      </c>
      <c r="G140" s="4" t="str">
        <f t="shared" si="7"/>
        <v>WTI Crude</v>
      </c>
      <c r="H140" s="25">
        <f t="shared" si="8"/>
        <v>71.05</v>
      </c>
      <c r="I140" s="25">
        <v>2.1</v>
      </c>
      <c r="J140" s="88"/>
      <c r="K140" s="106">
        <f>Table1[[#This Row],[GasP]]-Table1[[#This Row],[Gasoline]]</f>
        <v>-2.1</v>
      </c>
    </row>
    <row r="141" spans="1:11">
      <c r="A141" s="15">
        <v>44540</v>
      </c>
      <c r="B141" s="25">
        <v>68.959999999999994</v>
      </c>
      <c r="C141" s="25">
        <v>74.069999999999993</v>
      </c>
      <c r="D141" s="25">
        <v>73.08</v>
      </c>
      <c r="E141" s="4" t="s">
        <v>8</v>
      </c>
      <c r="F141" s="4">
        <f t="shared" si="6"/>
        <v>1</v>
      </c>
      <c r="G141" s="4" t="str">
        <f t="shared" si="7"/>
        <v>WTI Crude</v>
      </c>
      <c r="H141" s="25">
        <f t="shared" si="8"/>
        <v>68.959999999999994</v>
      </c>
      <c r="I141" s="25">
        <v>2.0432999999999999</v>
      </c>
      <c r="J141" s="88"/>
      <c r="K141" s="106">
        <f>Table1[[#This Row],[GasP]]-Table1[[#This Row],[Gasoline]]</f>
        <v>-2.0432999999999999</v>
      </c>
    </row>
    <row r="142" spans="1:11">
      <c r="A142" s="15">
        <v>44539</v>
      </c>
      <c r="B142" s="25">
        <v>66.180000000000007</v>
      </c>
      <c r="C142" s="25">
        <v>75.41</v>
      </c>
      <c r="D142" s="25">
        <v>69.88</v>
      </c>
      <c r="E142" s="4" t="s">
        <v>8</v>
      </c>
      <c r="F142" s="4">
        <f t="shared" si="6"/>
        <v>1</v>
      </c>
      <c r="G142" s="4" t="str">
        <f t="shared" si="7"/>
        <v>WTI Crude</v>
      </c>
      <c r="H142" s="25">
        <f t="shared" si="8"/>
        <v>66.180000000000007</v>
      </c>
      <c r="I142" s="25">
        <v>1.9529000000000001</v>
      </c>
      <c r="J142" s="88"/>
      <c r="K142" s="106">
        <f>Table1[[#This Row],[GasP]]-Table1[[#This Row],[Gasoline]]</f>
        <v>-1.9529000000000001</v>
      </c>
    </row>
    <row r="143" spans="1:11">
      <c r="A143" s="15">
        <v>44538</v>
      </c>
      <c r="B143" s="25">
        <v>66.37</v>
      </c>
      <c r="C143" s="25">
        <v>75.13</v>
      </c>
      <c r="D143" s="25">
        <v>69.67</v>
      </c>
      <c r="E143" s="4" t="s">
        <v>8</v>
      </c>
      <c r="F143" s="4">
        <f t="shared" si="6"/>
        <v>1</v>
      </c>
      <c r="G143" s="4" t="str">
        <f t="shared" si="7"/>
        <v>WTI Crude</v>
      </c>
      <c r="H143" s="25">
        <f t="shared" si="8"/>
        <v>66.37</v>
      </c>
      <c r="I143" s="25">
        <v>1.9677</v>
      </c>
      <c r="J143" s="88"/>
      <c r="K143" s="106">
        <f>Table1[[#This Row],[GasP]]-Table1[[#This Row],[Gasoline]]</f>
        <v>-1.9677</v>
      </c>
    </row>
    <row r="144" spans="1:11">
      <c r="A144" s="15">
        <v>44537</v>
      </c>
      <c r="B144" s="25">
        <v>65.5</v>
      </c>
      <c r="C144" s="25">
        <v>74.650000000000006</v>
      </c>
      <c r="D144" s="25">
        <v>68.87</v>
      </c>
      <c r="E144" s="4" t="s">
        <v>8</v>
      </c>
      <c r="F144" s="4">
        <f t="shared" si="6"/>
        <v>1</v>
      </c>
      <c r="G144" s="4" t="str">
        <f t="shared" si="7"/>
        <v>WTI Crude</v>
      </c>
      <c r="H144" s="25">
        <f t="shared" si="8"/>
        <v>65.5</v>
      </c>
      <c r="I144" s="25">
        <v>1.9511000000000001</v>
      </c>
      <c r="J144" s="88"/>
      <c r="K144" s="106">
        <f>Table1[[#This Row],[GasP]]-Table1[[#This Row],[Gasoline]]</f>
        <v>-1.9511000000000001</v>
      </c>
    </row>
    <row r="145" spans="1:11">
      <c r="A145" s="15">
        <v>44536</v>
      </c>
      <c r="B145" s="25">
        <v>78.650000000000006</v>
      </c>
      <c r="C145" s="25">
        <v>71.45</v>
      </c>
      <c r="D145" s="25">
        <v>70.569999999999993</v>
      </c>
      <c r="E145" s="4" t="s">
        <v>8</v>
      </c>
      <c r="F145" s="4">
        <f t="shared" si="6"/>
        <v>3</v>
      </c>
      <c r="G145" s="4" t="str">
        <f t="shared" si="7"/>
        <v>Brent Crude</v>
      </c>
      <c r="H145" s="25">
        <f t="shared" si="8"/>
        <v>70.569999999999993</v>
      </c>
      <c r="I145" s="25">
        <v>1.9400999999999999</v>
      </c>
      <c r="J145" s="88"/>
      <c r="K145" s="106">
        <f>Table1[[#This Row],[GasP]]-Table1[[#This Row],[Gasoline]]</f>
        <v>-1.9400999999999999</v>
      </c>
    </row>
    <row r="146" spans="1:11">
      <c r="A146" s="15">
        <v>44533</v>
      </c>
      <c r="B146" s="25">
        <v>78.83</v>
      </c>
      <c r="C146" s="25">
        <v>71.650000000000006</v>
      </c>
      <c r="D146" s="25">
        <v>73.44</v>
      </c>
      <c r="E146" s="4" t="s">
        <v>8</v>
      </c>
      <c r="F146" s="4">
        <f t="shared" si="6"/>
        <v>2</v>
      </c>
      <c r="G146" s="4" t="str">
        <f t="shared" si="7"/>
        <v>Opec Basket</v>
      </c>
      <c r="H146" s="25">
        <f t="shared" si="8"/>
        <v>71.650000000000006</v>
      </c>
      <c r="I146" s="25">
        <v>2.0329999999999999</v>
      </c>
      <c r="J146" s="88"/>
      <c r="K146" s="106">
        <f>Table1[[#This Row],[GasP]]-Table1[[#This Row],[Gasoline]]</f>
        <v>-2.0329999999999999</v>
      </c>
    </row>
    <row r="147" spans="1:11">
      <c r="A147" s="15">
        <v>44532</v>
      </c>
      <c r="B147" s="25">
        <v>78.66</v>
      </c>
      <c r="C147" s="25">
        <v>70.069999999999993</v>
      </c>
      <c r="D147" s="25">
        <v>72.72</v>
      </c>
      <c r="E147" s="4" t="s">
        <v>8</v>
      </c>
      <c r="F147" s="4">
        <f t="shared" si="6"/>
        <v>2</v>
      </c>
      <c r="G147" s="4" t="str">
        <f t="shared" si="7"/>
        <v>Opec Basket</v>
      </c>
      <c r="H147" s="25">
        <f t="shared" si="8"/>
        <v>70.069999999999993</v>
      </c>
      <c r="I147" s="25">
        <v>1.9811000000000001</v>
      </c>
      <c r="J147" s="88"/>
      <c r="K147" s="106">
        <f>Table1[[#This Row],[GasP]]-Table1[[#This Row],[Gasoline]]</f>
        <v>-1.9811000000000001</v>
      </c>
    </row>
    <row r="148" spans="1:11">
      <c r="A148" s="15">
        <v>44531</v>
      </c>
      <c r="B148" s="25">
        <v>80.12</v>
      </c>
      <c r="C148" s="25">
        <v>71.67</v>
      </c>
      <c r="D148" s="25">
        <v>82.25</v>
      </c>
      <c r="E148" s="4">
        <v>53.1</v>
      </c>
      <c r="F148" s="4">
        <f t="shared" si="6"/>
        <v>4</v>
      </c>
      <c r="G148" s="4" t="str">
        <f t="shared" si="7"/>
        <v>WCS</v>
      </c>
      <c r="H148" s="25">
        <f t="shared" si="8"/>
        <v>53.1</v>
      </c>
      <c r="I148" s="25">
        <v>2.2658999999999998</v>
      </c>
      <c r="J148" s="88">
        <v>3.1</v>
      </c>
      <c r="K148" s="106">
        <f>Table1[[#This Row],[GasP]]-Table1[[#This Row],[Gasoline]]</f>
        <v>0.83410000000000029</v>
      </c>
    </row>
    <row r="149" spans="1:11">
      <c r="A149" s="15">
        <v>44530</v>
      </c>
      <c r="B149" s="25">
        <v>80.150000000000006</v>
      </c>
      <c r="C149" s="25">
        <v>71.010000000000005</v>
      </c>
      <c r="D149" s="25">
        <v>82.31</v>
      </c>
      <c r="E149" s="4" t="s">
        <v>8</v>
      </c>
      <c r="F149" s="4">
        <f t="shared" si="6"/>
        <v>2</v>
      </c>
      <c r="G149" s="4" t="str">
        <f t="shared" si="7"/>
        <v>Opec Basket</v>
      </c>
      <c r="H149" s="25">
        <f t="shared" si="8"/>
        <v>71.010000000000005</v>
      </c>
      <c r="I149" s="25">
        <v>2.2783000000000002</v>
      </c>
      <c r="J149" s="88"/>
      <c r="K149" s="106">
        <f>Table1[[#This Row],[GasP]]-Table1[[#This Row],[Gasoline]]</f>
        <v>-2.2783000000000002</v>
      </c>
    </row>
    <row r="150" spans="1:11">
      <c r="A150" s="15">
        <v>44529</v>
      </c>
      <c r="B150" s="25">
        <v>79.73</v>
      </c>
      <c r="C150" s="25">
        <v>74.2</v>
      </c>
      <c r="D150" s="25">
        <v>79.7</v>
      </c>
      <c r="E150" s="4" t="s">
        <v>8</v>
      </c>
      <c r="F150" s="4">
        <f t="shared" si="6"/>
        <v>2</v>
      </c>
      <c r="G150" s="4" t="str">
        <f t="shared" si="7"/>
        <v>Opec Basket</v>
      </c>
      <c r="H150" s="25">
        <f t="shared" si="8"/>
        <v>74.2</v>
      </c>
      <c r="I150" s="25">
        <v>2.2033</v>
      </c>
      <c r="J150" s="88"/>
      <c r="K150" s="106">
        <f>Table1[[#This Row],[GasP]]-Table1[[#This Row],[Gasoline]]</f>
        <v>-2.2033</v>
      </c>
    </row>
    <row r="151" spans="1:11">
      <c r="A151" s="15">
        <v>44526</v>
      </c>
      <c r="B151" s="25">
        <v>79.5</v>
      </c>
      <c r="C151" s="25">
        <v>76.09</v>
      </c>
      <c r="D151" s="25">
        <v>78.89</v>
      </c>
      <c r="E151" s="4" t="s">
        <v>8</v>
      </c>
      <c r="F151" s="4">
        <f t="shared" si="6"/>
        <v>2</v>
      </c>
      <c r="G151" s="4" t="str">
        <f t="shared" si="7"/>
        <v>Opec Basket</v>
      </c>
      <c r="H151" s="25">
        <f t="shared" si="8"/>
        <v>76.09</v>
      </c>
      <c r="I151" s="25">
        <v>2.1568999999999998</v>
      </c>
      <c r="J151" s="88"/>
      <c r="K151" s="106">
        <f>Table1[[#This Row],[GasP]]-Table1[[#This Row],[Gasoline]]</f>
        <v>-2.1568999999999998</v>
      </c>
    </row>
    <row r="152" spans="1:11">
      <c r="A152" s="15">
        <v>44525</v>
      </c>
      <c r="B152" s="25">
        <v>80.34</v>
      </c>
      <c r="C152" s="25">
        <v>81.31</v>
      </c>
      <c r="D152" s="25">
        <v>81.239999999999995</v>
      </c>
      <c r="E152" s="4" t="s">
        <v>8</v>
      </c>
      <c r="F152" s="4">
        <f t="shared" si="6"/>
        <v>1</v>
      </c>
      <c r="G152" s="4" t="str">
        <f t="shared" si="7"/>
        <v>WTI Crude</v>
      </c>
      <c r="H152" s="25">
        <f t="shared" si="8"/>
        <v>80.34</v>
      </c>
      <c r="I152" s="25">
        <v>2.2427000000000001</v>
      </c>
      <c r="J152" s="88"/>
      <c r="K152" s="106">
        <f>Table1[[#This Row],[GasP]]-Table1[[#This Row],[Gasoline]]</f>
        <v>-2.2427000000000001</v>
      </c>
    </row>
    <row r="153" spans="1:11">
      <c r="A153" s="15">
        <v>44524</v>
      </c>
      <c r="B153" s="25">
        <v>80.03</v>
      </c>
      <c r="C153" s="25">
        <v>81.75</v>
      </c>
      <c r="D153" s="25">
        <v>80.28</v>
      </c>
      <c r="E153" s="4" t="s">
        <v>8</v>
      </c>
      <c r="F153" s="4">
        <f t="shared" si="6"/>
        <v>1</v>
      </c>
      <c r="G153" s="4" t="str">
        <f t="shared" si="7"/>
        <v>WTI Crude</v>
      </c>
      <c r="H153" s="25">
        <f t="shared" si="8"/>
        <v>80.03</v>
      </c>
      <c r="I153" s="25">
        <v>2.2305000000000001</v>
      </c>
      <c r="J153" s="88"/>
      <c r="K153" s="106">
        <f>Table1[[#This Row],[GasP]]-Table1[[#This Row],[Gasoline]]</f>
        <v>-2.2305000000000001</v>
      </c>
    </row>
    <row r="154" spans="1:11">
      <c r="A154" s="15">
        <v>44523</v>
      </c>
      <c r="B154" s="25">
        <v>81</v>
      </c>
      <c r="C154" s="25">
        <v>79.400000000000006</v>
      </c>
      <c r="D154" s="25">
        <v>82.43</v>
      </c>
      <c r="E154" s="4" t="s">
        <v>8</v>
      </c>
      <c r="F154" s="4">
        <f t="shared" si="6"/>
        <v>2</v>
      </c>
      <c r="G154" s="4" t="str">
        <f t="shared" si="7"/>
        <v>Opec Basket</v>
      </c>
      <c r="H154" s="25">
        <f t="shared" si="8"/>
        <v>79.400000000000006</v>
      </c>
      <c r="I154" s="25">
        <v>2.2936000000000001</v>
      </c>
      <c r="J154" s="88"/>
      <c r="K154" s="106">
        <f>Table1[[#This Row],[GasP]]-Table1[[#This Row],[Gasoline]]</f>
        <v>-2.2936000000000001</v>
      </c>
    </row>
    <row r="155" spans="1:11">
      <c r="A155" s="15">
        <v>44522</v>
      </c>
      <c r="B155" s="25">
        <v>81.03</v>
      </c>
      <c r="C155" s="25">
        <v>78.900000000000006</v>
      </c>
      <c r="D155" s="25">
        <v>82.05</v>
      </c>
      <c r="E155" s="4" t="s">
        <v>8</v>
      </c>
      <c r="F155" s="4">
        <f t="shared" si="6"/>
        <v>2</v>
      </c>
      <c r="G155" s="4" t="str">
        <f t="shared" si="7"/>
        <v>Opec Basket</v>
      </c>
      <c r="H155" s="25">
        <f t="shared" si="8"/>
        <v>78.900000000000006</v>
      </c>
      <c r="I155" s="25">
        <v>2.2761999999999998</v>
      </c>
      <c r="J155" s="88"/>
      <c r="K155" s="106">
        <f>Table1[[#This Row],[GasP]]-Table1[[#This Row],[Gasoline]]</f>
        <v>-2.2761999999999998</v>
      </c>
    </row>
    <row r="156" spans="1:11">
      <c r="A156" s="15">
        <v>44519</v>
      </c>
      <c r="B156" s="25">
        <v>80.989999999999995</v>
      </c>
      <c r="C156" s="25">
        <v>80.319999999999993</v>
      </c>
      <c r="D156" s="25">
        <v>82.17</v>
      </c>
      <c r="E156" s="4" t="s">
        <v>8</v>
      </c>
      <c r="F156" s="4">
        <f t="shared" si="6"/>
        <v>2</v>
      </c>
      <c r="G156" s="4" t="str">
        <f t="shared" si="7"/>
        <v>Opec Basket</v>
      </c>
      <c r="H156" s="25">
        <f t="shared" si="8"/>
        <v>80.319999999999993</v>
      </c>
      <c r="I156" s="25">
        <v>2.2685</v>
      </c>
      <c r="J156" s="88"/>
      <c r="K156" s="106">
        <f>Table1[[#This Row],[GasP]]-Table1[[#This Row],[Gasoline]]</f>
        <v>-2.2685</v>
      </c>
    </row>
    <row r="157" spans="1:11">
      <c r="A157" s="15">
        <v>44518</v>
      </c>
      <c r="B157" s="25">
        <v>81.430000000000007</v>
      </c>
      <c r="C157" s="25">
        <v>79.37</v>
      </c>
      <c r="D157" s="25">
        <v>82.87</v>
      </c>
      <c r="E157" s="4" t="s">
        <v>8</v>
      </c>
      <c r="F157" s="4">
        <f t="shared" si="6"/>
        <v>2</v>
      </c>
      <c r="G157" s="4" t="str">
        <f t="shared" si="7"/>
        <v>Opec Basket</v>
      </c>
      <c r="H157" s="25">
        <f t="shared" si="8"/>
        <v>79.37</v>
      </c>
      <c r="I157" s="25">
        <v>2.2806000000000002</v>
      </c>
      <c r="J157" s="88"/>
      <c r="K157" s="106">
        <f>Table1[[#This Row],[GasP]]-Table1[[#This Row],[Gasoline]]</f>
        <v>-2.2806000000000002</v>
      </c>
    </row>
    <row r="158" spans="1:11">
      <c r="A158" s="15">
        <v>44517</v>
      </c>
      <c r="B158" s="25">
        <v>81.239999999999995</v>
      </c>
      <c r="C158" s="25">
        <v>81.099999999999994</v>
      </c>
      <c r="D158" s="25">
        <v>82.64</v>
      </c>
      <c r="E158" s="4" t="s">
        <v>8</v>
      </c>
      <c r="F158" s="4">
        <f t="shared" si="6"/>
        <v>2</v>
      </c>
      <c r="G158" s="4" t="str">
        <f t="shared" si="7"/>
        <v>Opec Basket</v>
      </c>
      <c r="H158" s="25">
        <f t="shared" si="8"/>
        <v>81.099999999999994</v>
      </c>
      <c r="I158" s="25">
        <v>2.2646000000000002</v>
      </c>
      <c r="J158" s="88"/>
      <c r="K158" s="106">
        <f>Table1[[#This Row],[GasP]]-Table1[[#This Row],[Gasoline]]</f>
        <v>-2.2646000000000002</v>
      </c>
    </row>
    <row r="159" spans="1:11">
      <c r="A159" s="15">
        <v>44516</v>
      </c>
      <c r="B159" s="25">
        <v>83.03</v>
      </c>
      <c r="C159" s="25">
        <v>82.01</v>
      </c>
      <c r="D159" s="25">
        <v>84.78</v>
      </c>
      <c r="E159" s="4" t="s">
        <v>8</v>
      </c>
      <c r="F159" s="4">
        <f t="shared" si="6"/>
        <v>2</v>
      </c>
      <c r="G159" s="4" t="str">
        <f t="shared" si="7"/>
        <v>Opec Basket</v>
      </c>
      <c r="H159" s="25">
        <f t="shared" si="8"/>
        <v>82.01</v>
      </c>
      <c r="I159" s="25">
        <v>2.3752</v>
      </c>
      <c r="J159" s="88"/>
      <c r="K159" s="106">
        <f>Table1[[#This Row],[GasP]]-Table1[[#This Row],[Gasoline]]</f>
        <v>-2.3752</v>
      </c>
    </row>
    <row r="160" spans="1:11">
      <c r="A160" s="15">
        <v>44515</v>
      </c>
      <c r="B160" s="25">
        <v>81.55</v>
      </c>
      <c r="C160" s="25">
        <v>80.900000000000006</v>
      </c>
      <c r="D160" s="25">
        <v>83.43</v>
      </c>
      <c r="E160" s="4" t="s">
        <v>8</v>
      </c>
      <c r="F160" s="4">
        <f t="shared" si="6"/>
        <v>2</v>
      </c>
      <c r="G160" s="4" t="str">
        <f t="shared" si="7"/>
        <v>Opec Basket</v>
      </c>
      <c r="H160" s="25">
        <f t="shared" si="8"/>
        <v>80.900000000000006</v>
      </c>
      <c r="I160" s="25">
        <v>2.3222</v>
      </c>
      <c r="J160" s="88"/>
      <c r="K160" s="106">
        <f>Table1[[#This Row],[GasP]]-Table1[[#This Row],[Gasoline]]</f>
        <v>-2.3222</v>
      </c>
    </row>
    <row r="161" spans="1:11">
      <c r="A161" s="15">
        <v>44512</v>
      </c>
      <c r="B161" s="25">
        <v>81.069999999999993</v>
      </c>
      <c r="C161" s="25">
        <v>81.7</v>
      </c>
      <c r="D161" s="25">
        <v>82.74</v>
      </c>
      <c r="E161" s="4" t="s">
        <v>8</v>
      </c>
      <c r="F161" s="4">
        <f t="shared" si="6"/>
        <v>1</v>
      </c>
      <c r="G161" s="4" t="str">
        <f t="shared" si="7"/>
        <v>WTI Crude</v>
      </c>
      <c r="H161" s="25">
        <f t="shared" si="8"/>
        <v>81.069999999999993</v>
      </c>
      <c r="I161" s="25">
        <v>2.3209</v>
      </c>
      <c r="J161" s="88"/>
      <c r="K161" s="106">
        <f>Table1[[#This Row],[GasP]]-Table1[[#This Row],[Gasoline]]</f>
        <v>-2.3209</v>
      </c>
    </row>
    <row r="162" spans="1:11">
      <c r="A162" s="15">
        <v>44511</v>
      </c>
      <c r="B162" s="25">
        <v>79.08</v>
      </c>
      <c r="C162" s="25">
        <v>81.99</v>
      </c>
      <c r="D162" s="25">
        <v>80.540000000000006</v>
      </c>
      <c r="E162" s="4" t="s">
        <v>8</v>
      </c>
      <c r="F162" s="4">
        <f t="shared" si="6"/>
        <v>1</v>
      </c>
      <c r="G162" s="4" t="str">
        <f t="shared" si="7"/>
        <v>WTI Crude</v>
      </c>
      <c r="H162" s="25">
        <f t="shared" si="8"/>
        <v>79.08</v>
      </c>
      <c r="I162" s="25">
        <v>2.2926000000000002</v>
      </c>
      <c r="J162" s="88"/>
      <c r="K162" s="106">
        <f>Table1[[#This Row],[GasP]]-Table1[[#This Row],[Gasoline]]</f>
        <v>-2.2926000000000002</v>
      </c>
    </row>
    <row r="163" spans="1:11">
      <c r="A163" s="15">
        <v>44510</v>
      </c>
      <c r="B163" s="25">
        <v>80.790000000000006</v>
      </c>
      <c r="C163" s="25">
        <v>83.75</v>
      </c>
      <c r="D163" s="25">
        <v>81.99</v>
      </c>
      <c r="E163" s="4" t="s">
        <v>8</v>
      </c>
      <c r="F163" s="4">
        <f t="shared" si="6"/>
        <v>1</v>
      </c>
      <c r="G163" s="4" t="str">
        <f t="shared" si="7"/>
        <v>WTI Crude</v>
      </c>
      <c r="H163" s="25">
        <f t="shared" si="8"/>
        <v>80.790000000000006</v>
      </c>
      <c r="I163" s="25">
        <v>2.3384999999999998</v>
      </c>
      <c r="J163" s="88"/>
      <c r="K163" s="106">
        <f>Table1[[#This Row],[GasP]]-Table1[[#This Row],[Gasoline]]</f>
        <v>-2.3384999999999998</v>
      </c>
    </row>
    <row r="164" spans="1:11">
      <c r="A164" s="15">
        <v>44509</v>
      </c>
      <c r="B164" s="25">
        <v>83.5</v>
      </c>
      <c r="C164" s="25">
        <v>82.7</v>
      </c>
      <c r="D164" s="25">
        <v>84.72</v>
      </c>
      <c r="E164" s="4" t="s">
        <v>8</v>
      </c>
      <c r="F164" s="4">
        <f t="shared" si="6"/>
        <v>2</v>
      </c>
      <c r="G164" s="4" t="str">
        <f t="shared" si="7"/>
        <v>Opec Basket</v>
      </c>
      <c r="H164" s="25">
        <f t="shared" si="8"/>
        <v>82.7</v>
      </c>
      <c r="I164" s="41">
        <v>2.4500999999999999</v>
      </c>
      <c r="J164" s="88"/>
      <c r="K164" s="106">
        <f>Table1[[#This Row],[GasP]]-Table1[[#This Row],[Gasoline]]</f>
        <v>-2.4500999999999999</v>
      </c>
    </row>
    <row r="165" spans="1:11">
      <c r="A165" s="15">
        <v>44508</v>
      </c>
      <c r="B165" s="25">
        <v>83.59</v>
      </c>
      <c r="C165" s="25">
        <v>82.39</v>
      </c>
      <c r="D165" s="25">
        <v>84.71</v>
      </c>
      <c r="E165" s="4" t="s">
        <v>8</v>
      </c>
      <c r="F165" s="4">
        <f t="shared" si="6"/>
        <v>2</v>
      </c>
      <c r="G165" s="4" t="str">
        <f t="shared" si="7"/>
        <v>Opec Basket</v>
      </c>
      <c r="H165" s="25">
        <f t="shared" si="8"/>
        <v>82.39</v>
      </c>
      <c r="I165" s="25">
        <v>2.4093</v>
      </c>
      <c r="J165" s="88"/>
      <c r="K165" s="106">
        <f>Table1[[#This Row],[GasP]]-Table1[[#This Row],[Gasoline]]</f>
        <v>-2.4093</v>
      </c>
    </row>
    <row r="166" spans="1:11">
      <c r="A166" s="15">
        <v>44505</v>
      </c>
      <c r="B166" s="25">
        <v>81.22</v>
      </c>
      <c r="C166" s="25">
        <v>80.16</v>
      </c>
      <c r="D166" s="25">
        <v>84.38</v>
      </c>
      <c r="E166" s="4" t="s">
        <v>8</v>
      </c>
      <c r="F166" s="4">
        <f t="shared" si="6"/>
        <v>2</v>
      </c>
      <c r="G166" s="4" t="str">
        <f t="shared" si="7"/>
        <v>Opec Basket</v>
      </c>
      <c r="H166" s="25">
        <f t="shared" si="8"/>
        <v>80.16</v>
      </c>
      <c r="I166" s="25">
        <v>2.3696999999999999</v>
      </c>
      <c r="J166" s="88"/>
      <c r="K166" s="106">
        <f>Table1[[#This Row],[GasP]]-Table1[[#This Row],[Gasoline]]</f>
        <v>-2.3696999999999999</v>
      </c>
    </row>
    <row r="167" spans="1:11">
      <c r="A167" s="15">
        <v>44504</v>
      </c>
      <c r="B167" s="25">
        <v>81.19</v>
      </c>
      <c r="C167" s="25">
        <v>81.48</v>
      </c>
      <c r="D167" s="25">
        <v>84.32</v>
      </c>
      <c r="E167" s="4" t="s">
        <v>8</v>
      </c>
      <c r="F167" s="4">
        <f t="shared" si="6"/>
        <v>1</v>
      </c>
      <c r="G167" s="4" t="str">
        <f t="shared" si="7"/>
        <v>WTI Crude</v>
      </c>
      <c r="H167" s="25">
        <f t="shared" si="8"/>
        <v>81.19</v>
      </c>
      <c r="I167" s="25">
        <v>2.3589000000000002</v>
      </c>
      <c r="J167" s="88"/>
      <c r="K167" s="106">
        <f>Table1[[#This Row],[GasP]]-Table1[[#This Row],[Gasoline]]</f>
        <v>-2.3589000000000002</v>
      </c>
    </row>
    <row r="168" spans="1:11">
      <c r="A168" s="15">
        <v>44503</v>
      </c>
      <c r="B168" s="25">
        <v>81.17</v>
      </c>
      <c r="C168" s="25">
        <v>81.64</v>
      </c>
      <c r="D168" s="25">
        <v>84.58</v>
      </c>
      <c r="E168" s="4" t="s">
        <v>8</v>
      </c>
      <c r="F168" s="4">
        <f t="shared" si="6"/>
        <v>1</v>
      </c>
      <c r="G168" s="4" t="str">
        <f t="shared" si="7"/>
        <v>WTI Crude</v>
      </c>
      <c r="H168" s="25">
        <f t="shared" si="8"/>
        <v>81.17</v>
      </c>
      <c r="I168" s="25">
        <v>2.3792</v>
      </c>
      <c r="J168" s="88"/>
      <c r="K168" s="106">
        <f>Table1[[#This Row],[GasP]]-Table1[[#This Row],[Gasoline]]</f>
        <v>-2.3792</v>
      </c>
    </row>
    <row r="169" spans="1:11">
      <c r="A169" s="15">
        <v>44502</v>
      </c>
      <c r="B169" s="25">
        <v>81.459999999999994</v>
      </c>
      <c r="C169" s="25">
        <v>83.43</v>
      </c>
      <c r="D169" s="25">
        <v>86.4</v>
      </c>
      <c r="E169" s="4" t="s">
        <v>8</v>
      </c>
      <c r="F169" s="4">
        <f t="shared" si="6"/>
        <v>1</v>
      </c>
      <c r="G169" s="4" t="str">
        <f t="shared" si="7"/>
        <v>WTI Crude</v>
      </c>
      <c r="H169" s="25">
        <f t="shared" si="8"/>
        <v>81.459999999999994</v>
      </c>
      <c r="I169" s="25">
        <v>2.4472</v>
      </c>
      <c r="J169" s="88"/>
      <c r="K169" s="106">
        <f>Table1[[#This Row],[GasP]]-Table1[[#This Row],[Gasoline]]</f>
        <v>-2.4472</v>
      </c>
    </row>
    <row r="170" spans="1:11">
      <c r="A170" s="15">
        <v>44501</v>
      </c>
      <c r="B170" s="25">
        <v>72.17</v>
      </c>
      <c r="C170" s="25">
        <v>82.55</v>
      </c>
      <c r="D170" s="25">
        <v>85.99</v>
      </c>
      <c r="E170" s="4">
        <v>65.25</v>
      </c>
      <c r="F170" s="4">
        <f t="shared" si="6"/>
        <v>4</v>
      </c>
      <c r="G170" s="4" t="str">
        <f t="shared" si="7"/>
        <v>WCS</v>
      </c>
      <c r="H170" s="25">
        <f t="shared" si="8"/>
        <v>65.25</v>
      </c>
      <c r="I170" s="25">
        <v>2.4426999999999999</v>
      </c>
      <c r="J170" s="88"/>
      <c r="K170" s="106">
        <f>Table1[[#This Row],[GasP]]-Table1[[#This Row],[Gasoline]]</f>
        <v>-2.4426999999999999</v>
      </c>
    </row>
    <row r="171" spans="1:11">
      <c r="A171" s="15">
        <v>44498</v>
      </c>
      <c r="B171" s="25">
        <v>81.290000000000006</v>
      </c>
      <c r="C171" s="25">
        <v>82.87</v>
      </c>
      <c r="D171" s="25">
        <v>85.53</v>
      </c>
      <c r="E171" s="4" t="s">
        <v>8</v>
      </c>
      <c r="F171" s="4">
        <f t="shared" si="6"/>
        <v>1</v>
      </c>
      <c r="G171" s="4" t="str">
        <f t="shared" si="7"/>
        <v>WTI Crude</v>
      </c>
      <c r="H171" s="25">
        <f t="shared" si="8"/>
        <v>81.290000000000006</v>
      </c>
      <c r="I171" s="25">
        <v>2.4156</v>
      </c>
      <c r="J171" s="88"/>
      <c r="K171" s="106">
        <f>Table1[[#This Row],[GasP]]-Table1[[#This Row],[Gasoline]]</f>
        <v>-2.4156</v>
      </c>
    </row>
    <row r="172" spans="1:11">
      <c r="A172" s="15">
        <v>44497</v>
      </c>
      <c r="B172" s="25">
        <v>80.930000000000007</v>
      </c>
      <c r="C172" s="25">
        <v>82.41</v>
      </c>
      <c r="D172" s="25">
        <v>84.61</v>
      </c>
      <c r="E172" s="4" t="s">
        <v>8</v>
      </c>
      <c r="F172" s="4">
        <f t="shared" si="6"/>
        <v>1</v>
      </c>
      <c r="G172" s="4" t="str">
        <f t="shared" si="7"/>
        <v>WTI Crude</v>
      </c>
      <c r="H172" s="25">
        <f t="shared" si="8"/>
        <v>80.930000000000007</v>
      </c>
      <c r="I172" s="25">
        <v>2.419</v>
      </c>
      <c r="J172" s="88"/>
      <c r="K172" s="106">
        <f>Table1[[#This Row],[GasP]]-Table1[[#This Row],[Gasoline]]</f>
        <v>-2.419</v>
      </c>
    </row>
    <row r="173" spans="1:11">
      <c r="A173" s="15">
        <v>44496</v>
      </c>
      <c r="B173" s="25">
        <v>81.23</v>
      </c>
      <c r="C173" s="25">
        <v>83.72</v>
      </c>
      <c r="D173" s="25">
        <v>85.82</v>
      </c>
      <c r="E173" s="4" t="s">
        <v>8</v>
      </c>
      <c r="F173" s="4">
        <f t="shared" si="6"/>
        <v>1</v>
      </c>
      <c r="G173" s="4" t="str">
        <f t="shared" si="7"/>
        <v>WTI Crude</v>
      </c>
      <c r="H173" s="25">
        <f t="shared" si="8"/>
        <v>81.23</v>
      </c>
      <c r="I173" s="41">
        <v>2.4468999999999999</v>
      </c>
      <c r="J173" s="88">
        <v>3.05</v>
      </c>
      <c r="K173" s="106">
        <f>Table1[[#This Row],[GasP]]-Table1[[#This Row],[Gasoline]]</f>
        <v>0.60309999999999997</v>
      </c>
    </row>
    <row r="174" spans="1:11">
      <c r="A174" s="15">
        <v>44495</v>
      </c>
      <c r="B174" s="25">
        <v>80.86</v>
      </c>
      <c r="C174" s="25">
        <v>84.52</v>
      </c>
      <c r="D174" s="25">
        <v>85.08</v>
      </c>
      <c r="E174" s="4" t="s">
        <v>8</v>
      </c>
      <c r="F174" s="4">
        <f t="shared" si="6"/>
        <v>1</v>
      </c>
      <c r="G174" s="4" t="str">
        <f t="shared" si="7"/>
        <v>WTI Crude</v>
      </c>
      <c r="H174" s="25">
        <f t="shared" si="8"/>
        <v>80.86</v>
      </c>
      <c r="I174" s="25">
        <v>2.4176000000000002</v>
      </c>
      <c r="J174" s="88"/>
      <c r="K174" s="106">
        <f>Table1[[#This Row],[GasP]]-Table1[[#This Row],[Gasoline]]</f>
        <v>-2.4176000000000002</v>
      </c>
    </row>
    <row r="175" spans="1:11">
      <c r="A175" s="15">
        <v>44494</v>
      </c>
      <c r="B175" s="25">
        <v>80.56</v>
      </c>
      <c r="C175" s="25">
        <v>84.66</v>
      </c>
      <c r="D175" s="25">
        <v>84.33</v>
      </c>
      <c r="E175" s="4" t="s">
        <v>8</v>
      </c>
      <c r="F175" s="4">
        <f t="shared" si="6"/>
        <v>1</v>
      </c>
      <c r="G175" s="4" t="str">
        <f t="shared" si="7"/>
        <v>WTI Crude</v>
      </c>
      <c r="H175" s="25">
        <f t="shared" si="8"/>
        <v>80.56</v>
      </c>
      <c r="I175" s="25">
        <v>2.4222999999999999</v>
      </c>
      <c r="J175" s="88"/>
      <c r="K175" s="106">
        <f>Table1[[#This Row],[GasP]]-Table1[[#This Row],[Gasoline]]</f>
        <v>-2.4222999999999999</v>
      </c>
    </row>
    <row r="176" spans="1:11">
      <c r="A176" s="15">
        <v>44491</v>
      </c>
      <c r="B176" s="25">
        <v>80.55</v>
      </c>
      <c r="C176" s="25">
        <v>83.4</v>
      </c>
      <c r="D176" s="25">
        <v>84.86</v>
      </c>
      <c r="E176" s="4" t="s">
        <v>8</v>
      </c>
      <c r="F176" s="4">
        <f t="shared" si="6"/>
        <v>1</v>
      </c>
      <c r="G176" s="4" t="str">
        <f t="shared" si="7"/>
        <v>WTI Crude</v>
      </c>
      <c r="H176" s="25">
        <f t="shared" si="8"/>
        <v>80.55</v>
      </c>
      <c r="I176" s="25">
        <v>2.4251</v>
      </c>
      <c r="J176" s="88"/>
      <c r="K176" s="106">
        <f>Table1[[#This Row],[GasP]]-Table1[[#This Row],[Gasoline]]</f>
        <v>-2.4251</v>
      </c>
    </row>
    <row r="177" spans="1:11">
      <c r="A177" s="15">
        <v>44490</v>
      </c>
      <c r="B177" s="25">
        <v>80.05</v>
      </c>
      <c r="C177" s="25">
        <v>83.36</v>
      </c>
      <c r="D177" s="25">
        <v>84</v>
      </c>
      <c r="E177" s="4" t="s">
        <v>8</v>
      </c>
      <c r="F177" s="4">
        <f t="shared" si="6"/>
        <v>1</v>
      </c>
      <c r="G177" s="4" t="str">
        <f t="shared" si="7"/>
        <v>WTI Crude</v>
      </c>
      <c r="H177" s="25">
        <f t="shared" si="8"/>
        <v>80.05</v>
      </c>
      <c r="I177" s="25">
        <v>2.3824000000000001</v>
      </c>
      <c r="J177" s="88"/>
      <c r="K177" s="106">
        <f>Table1[[#This Row],[GasP]]-Table1[[#This Row],[Gasoline]]</f>
        <v>-2.3824000000000001</v>
      </c>
    </row>
    <row r="178" spans="1:11">
      <c r="A178" s="15">
        <v>44489</v>
      </c>
      <c r="B178" s="25">
        <v>79.53</v>
      </c>
      <c r="C178" s="25">
        <v>83.3</v>
      </c>
      <c r="D178" s="25">
        <v>83.18</v>
      </c>
      <c r="E178" s="4" t="s">
        <v>8</v>
      </c>
      <c r="F178" s="4">
        <f t="shared" si="6"/>
        <v>1</v>
      </c>
      <c r="G178" s="4" t="str">
        <f t="shared" si="7"/>
        <v>WTI Crude</v>
      </c>
      <c r="H178" s="25">
        <f t="shared" si="8"/>
        <v>79.53</v>
      </c>
      <c r="I178" s="25">
        <v>2.4055</v>
      </c>
      <c r="J178" s="88"/>
      <c r="K178" s="106">
        <f>Table1[[#This Row],[GasP]]-Table1[[#This Row],[Gasoline]]</f>
        <v>-2.4055</v>
      </c>
    </row>
    <row r="179" spans="1:11">
      <c r="A179" s="15">
        <v>44488</v>
      </c>
      <c r="B179" s="25">
        <v>79.62</v>
      </c>
      <c r="C179" s="25">
        <v>83.48</v>
      </c>
      <c r="D179" s="25">
        <v>83.42</v>
      </c>
      <c r="E179" s="4" t="s">
        <v>8</v>
      </c>
      <c r="F179" s="4">
        <f t="shared" si="6"/>
        <v>1</v>
      </c>
      <c r="G179" s="4" t="str">
        <f t="shared" si="7"/>
        <v>WTI Crude</v>
      </c>
      <c r="H179" s="25">
        <f t="shared" si="8"/>
        <v>79.62</v>
      </c>
      <c r="I179" s="25">
        <v>2.3828999999999998</v>
      </c>
      <c r="J179" s="88"/>
      <c r="K179" s="106">
        <f>Table1[[#This Row],[GasP]]-Table1[[#This Row],[Gasoline]]</f>
        <v>-2.3828999999999998</v>
      </c>
    </row>
    <row r="180" spans="1:11">
      <c r="A180" s="15">
        <v>44487</v>
      </c>
      <c r="B180" s="25">
        <v>79.58</v>
      </c>
      <c r="C180" s="25">
        <v>84.04</v>
      </c>
      <c r="D180" s="25">
        <v>83.65</v>
      </c>
      <c r="E180" s="4" t="s">
        <v>8</v>
      </c>
      <c r="F180" s="4">
        <f t="shared" si="6"/>
        <v>1</v>
      </c>
      <c r="G180" s="4" t="str">
        <f t="shared" si="7"/>
        <v>WTI Crude</v>
      </c>
      <c r="H180" s="25">
        <f t="shared" si="8"/>
        <v>79.58</v>
      </c>
      <c r="I180" s="25">
        <v>2.3778999999999999</v>
      </c>
      <c r="J180" s="88"/>
      <c r="K180" s="106">
        <f>Table1[[#This Row],[GasP]]-Table1[[#This Row],[Gasoline]]</f>
        <v>-2.3778999999999999</v>
      </c>
    </row>
    <row r="181" spans="1:11">
      <c r="A181" s="15">
        <v>44484</v>
      </c>
      <c r="B181" s="25">
        <v>78.739999999999995</v>
      </c>
      <c r="C181" s="25">
        <v>83.54</v>
      </c>
      <c r="D181" s="25">
        <v>82.39</v>
      </c>
      <c r="E181" s="4" t="s">
        <v>8</v>
      </c>
      <c r="F181" s="4">
        <f t="shared" si="6"/>
        <v>1</v>
      </c>
      <c r="G181" s="4" t="str">
        <f t="shared" si="7"/>
        <v>WTI Crude</v>
      </c>
      <c r="H181" s="25">
        <f t="shared" si="8"/>
        <v>78.739999999999995</v>
      </c>
      <c r="I181" s="25">
        <v>2.3662000000000001</v>
      </c>
      <c r="J181" s="88"/>
      <c r="K181" s="106">
        <f>Table1[[#This Row],[GasP]]-Table1[[#This Row],[Gasoline]]</f>
        <v>-2.3662000000000001</v>
      </c>
    </row>
    <row r="182" spans="1:11">
      <c r="A182" s="15">
        <v>44483</v>
      </c>
      <c r="B182" s="25">
        <v>78.03</v>
      </c>
      <c r="C182" s="25">
        <v>82.5</v>
      </c>
      <c r="D182" s="25">
        <v>81.95</v>
      </c>
      <c r="E182" s="4" t="s">
        <v>8</v>
      </c>
      <c r="F182" s="4">
        <f t="shared" si="6"/>
        <v>1</v>
      </c>
      <c r="G182" s="4" t="str">
        <f t="shared" si="7"/>
        <v>WTI Crude</v>
      </c>
      <c r="H182" s="25">
        <f t="shared" si="8"/>
        <v>78.03</v>
      </c>
      <c r="I182" s="25">
        <v>2.3344</v>
      </c>
      <c r="J182" s="88"/>
      <c r="K182" s="106">
        <f>Table1[[#This Row],[GasP]]-Table1[[#This Row],[Gasoline]]</f>
        <v>-2.3344</v>
      </c>
    </row>
    <row r="183" spans="1:11">
      <c r="A183" s="15">
        <v>44482</v>
      </c>
      <c r="B183" s="25">
        <v>77.31</v>
      </c>
      <c r="C183" s="25">
        <v>81.790000000000006</v>
      </c>
      <c r="D183" s="25">
        <v>81.08</v>
      </c>
      <c r="E183" s="4" t="s">
        <v>8</v>
      </c>
      <c r="F183" s="4">
        <f t="shared" si="6"/>
        <v>1</v>
      </c>
      <c r="G183" s="4" t="str">
        <f t="shared" si="7"/>
        <v>WTI Crude</v>
      </c>
      <c r="H183" s="25">
        <f t="shared" si="8"/>
        <v>77.31</v>
      </c>
      <c r="I183" s="25">
        <v>2.3081999999999998</v>
      </c>
      <c r="J183" s="88"/>
      <c r="K183" s="106">
        <f>Table1[[#This Row],[GasP]]-Table1[[#This Row],[Gasoline]]</f>
        <v>-2.3081999999999998</v>
      </c>
    </row>
    <row r="184" spans="1:11">
      <c r="A184" s="15">
        <v>44481</v>
      </c>
      <c r="B184" s="25">
        <v>78.599999999999994</v>
      </c>
      <c r="C184" s="25">
        <v>82.37</v>
      </c>
      <c r="D184" s="25">
        <v>82.56</v>
      </c>
      <c r="E184" s="4" t="s">
        <v>8</v>
      </c>
      <c r="F184" s="4">
        <f t="shared" si="6"/>
        <v>1</v>
      </c>
      <c r="G184" s="4" t="str">
        <f t="shared" si="7"/>
        <v>WTI Crude</v>
      </c>
      <c r="H184" s="25">
        <f t="shared" si="8"/>
        <v>78.599999999999994</v>
      </c>
      <c r="I184" s="25">
        <v>2.3578999999999999</v>
      </c>
      <c r="J184" s="88"/>
      <c r="K184" s="106">
        <f>Table1[[#This Row],[GasP]]-Table1[[#This Row],[Gasoline]]</f>
        <v>-2.3578999999999999</v>
      </c>
    </row>
    <row r="185" spans="1:11">
      <c r="A185" s="15">
        <v>44480</v>
      </c>
      <c r="B185" s="25">
        <v>77.44</v>
      </c>
      <c r="C185" s="25">
        <v>82.53</v>
      </c>
      <c r="D185" s="25">
        <v>81.260000000000005</v>
      </c>
      <c r="E185" s="4" t="s">
        <v>8</v>
      </c>
      <c r="F185" s="4">
        <f t="shared" si="6"/>
        <v>1</v>
      </c>
      <c r="G185" s="4" t="str">
        <f t="shared" si="7"/>
        <v>WTI Crude</v>
      </c>
      <c r="H185" s="25">
        <f t="shared" si="8"/>
        <v>77.44</v>
      </c>
      <c r="I185" s="25">
        <v>2.3085</v>
      </c>
      <c r="J185" s="88"/>
      <c r="K185" s="106">
        <f>Table1[[#This Row],[GasP]]-Table1[[#This Row],[Gasoline]]</f>
        <v>-2.3085</v>
      </c>
    </row>
    <row r="186" spans="1:11">
      <c r="A186" s="15">
        <v>44477</v>
      </c>
      <c r="B186" s="25">
        <v>75.78</v>
      </c>
      <c r="C186" s="25">
        <v>81.540000000000006</v>
      </c>
      <c r="D186" s="25">
        <v>79.28</v>
      </c>
      <c r="E186" s="4" t="s">
        <v>8</v>
      </c>
      <c r="F186" s="4">
        <f t="shared" si="6"/>
        <v>1</v>
      </c>
      <c r="G186" s="4" t="str">
        <f t="shared" si="7"/>
        <v>WTI Crude</v>
      </c>
      <c r="H186" s="25">
        <f t="shared" si="8"/>
        <v>75.78</v>
      </c>
      <c r="I186" s="25">
        <v>2.25</v>
      </c>
      <c r="J186" s="88"/>
      <c r="K186" s="106">
        <f>Table1[[#This Row],[GasP]]-Table1[[#This Row],[Gasoline]]</f>
        <v>-2.25</v>
      </c>
    </row>
    <row r="187" spans="1:11">
      <c r="A187" s="15">
        <v>44476</v>
      </c>
      <c r="B187" s="25">
        <v>71.13</v>
      </c>
      <c r="C187" s="25">
        <v>78.58</v>
      </c>
      <c r="D187" s="25">
        <v>78.52</v>
      </c>
      <c r="E187" s="4" t="s">
        <v>8</v>
      </c>
      <c r="F187" s="4">
        <f t="shared" si="6"/>
        <v>1</v>
      </c>
      <c r="G187" s="4" t="str">
        <f t="shared" si="7"/>
        <v>WTI Crude</v>
      </c>
      <c r="H187" s="25">
        <f t="shared" si="8"/>
        <v>71.13</v>
      </c>
      <c r="I187" s="25">
        <v>2.194</v>
      </c>
      <c r="J187" s="88"/>
      <c r="K187" s="106">
        <f>Table1[[#This Row],[GasP]]-Table1[[#This Row],[Gasoline]]</f>
        <v>-2.194</v>
      </c>
    </row>
    <row r="188" spans="1:11">
      <c r="A188" s="15">
        <v>44475</v>
      </c>
      <c r="B188" s="25">
        <v>71.540000000000006</v>
      </c>
      <c r="C188" s="25">
        <v>80.63</v>
      </c>
      <c r="D188" s="25">
        <v>78.64</v>
      </c>
      <c r="E188" s="4" t="s">
        <v>8</v>
      </c>
      <c r="F188" s="4">
        <f t="shared" si="6"/>
        <v>1</v>
      </c>
      <c r="G188" s="4" t="str">
        <f t="shared" si="7"/>
        <v>WTI Crude</v>
      </c>
      <c r="H188" s="25">
        <f t="shared" si="8"/>
        <v>71.540000000000006</v>
      </c>
      <c r="I188" s="25">
        <v>2.1749999999999998</v>
      </c>
      <c r="J188" s="88">
        <v>3.2890000000000001</v>
      </c>
      <c r="K188" s="106">
        <f>Table1[[#This Row],[GasP]]-Table1[[#This Row],[Gasoline]]</f>
        <v>1.1140000000000003</v>
      </c>
    </row>
    <row r="189" spans="1:11">
      <c r="A189" s="15">
        <v>44474</v>
      </c>
      <c r="B189" s="25">
        <v>71.58</v>
      </c>
      <c r="C189" s="25">
        <v>80.44</v>
      </c>
      <c r="D189" s="25">
        <v>79.09</v>
      </c>
      <c r="E189" s="4" t="s">
        <v>8</v>
      </c>
      <c r="F189" s="4">
        <f t="shared" si="6"/>
        <v>1</v>
      </c>
      <c r="G189" s="4" t="str">
        <f t="shared" si="7"/>
        <v>WTI Crude</v>
      </c>
      <c r="H189" s="25">
        <f t="shared" si="8"/>
        <v>71.58</v>
      </c>
      <c r="I189" s="25">
        <v>2.1475</v>
      </c>
      <c r="J189" s="88"/>
      <c r="K189" s="106">
        <f>Table1[[#This Row],[GasP]]-Table1[[#This Row],[Gasoline]]</f>
        <v>-2.1475</v>
      </c>
    </row>
    <row r="190" spans="1:11">
      <c r="A190" s="15">
        <v>44473</v>
      </c>
      <c r="B190" s="25">
        <v>71.599999999999994</v>
      </c>
      <c r="C190" s="25">
        <v>78.260000000000005</v>
      </c>
      <c r="D190" s="25">
        <v>79.53</v>
      </c>
      <c r="E190" s="4" t="s">
        <v>8</v>
      </c>
      <c r="F190" s="4">
        <f t="shared" si="6"/>
        <v>1</v>
      </c>
      <c r="G190" s="4" t="str">
        <f t="shared" si="7"/>
        <v>WTI Crude</v>
      </c>
      <c r="H190" s="25">
        <f t="shared" si="8"/>
        <v>71.599999999999994</v>
      </c>
      <c r="I190" s="25">
        <v>2.17</v>
      </c>
      <c r="J190" s="88"/>
      <c r="K190" s="106">
        <f>Table1[[#This Row],[GasP]]-Table1[[#This Row],[Gasoline]]</f>
        <v>-2.17</v>
      </c>
    </row>
    <row r="191" spans="1:11">
      <c r="A191" s="15">
        <v>44470</v>
      </c>
      <c r="B191" s="25">
        <v>71.319999999999993</v>
      </c>
      <c r="C191" s="25">
        <v>76.36</v>
      </c>
      <c r="D191" s="25">
        <v>78.09</v>
      </c>
      <c r="E191" s="4">
        <v>69.3</v>
      </c>
      <c r="F191" s="4">
        <f t="shared" si="6"/>
        <v>4</v>
      </c>
      <c r="G191" s="4" t="str">
        <f t="shared" si="7"/>
        <v>WCS</v>
      </c>
      <c r="H191" s="25">
        <f t="shared" si="8"/>
        <v>69.3</v>
      </c>
      <c r="I191" s="25">
        <v>2.1377000000000002</v>
      </c>
      <c r="J191" s="88"/>
      <c r="K191" s="106">
        <f>Table1[[#This Row],[GasP]]-Table1[[#This Row],[Gasoline]]</f>
        <v>-2.1377000000000002</v>
      </c>
    </row>
    <row r="192" spans="1:11">
      <c r="A192" s="15">
        <v>44469</v>
      </c>
      <c r="B192" s="25">
        <v>71.16</v>
      </c>
      <c r="C192" s="25">
        <v>77.72</v>
      </c>
      <c r="D192" s="25">
        <v>77.25</v>
      </c>
      <c r="E192" s="4" t="s">
        <v>8</v>
      </c>
      <c r="F192" s="4">
        <f t="shared" si="6"/>
        <v>1</v>
      </c>
      <c r="G192" s="4" t="str">
        <f t="shared" si="7"/>
        <v>WTI Crude</v>
      </c>
      <c r="H192" s="25">
        <f t="shared" si="8"/>
        <v>71.16</v>
      </c>
      <c r="I192" s="25">
        <v>2.1261000000000001</v>
      </c>
      <c r="J192" s="88"/>
      <c r="K192" s="106">
        <f>Table1[[#This Row],[GasP]]-Table1[[#This Row],[Gasoline]]</f>
        <v>-2.1261000000000001</v>
      </c>
    </row>
    <row r="193" spans="1:11">
      <c r="A193" s="15">
        <v>44468</v>
      </c>
      <c r="B193" s="25">
        <v>70.849999999999994</v>
      </c>
      <c r="C193" s="25">
        <v>77.13</v>
      </c>
      <c r="D193" s="25">
        <v>76.19</v>
      </c>
      <c r="E193" s="4" t="s">
        <v>8</v>
      </c>
      <c r="F193" s="4">
        <f t="shared" si="6"/>
        <v>1</v>
      </c>
      <c r="G193" s="4" t="str">
        <f t="shared" si="7"/>
        <v>WTI Crude</v>
      </c>
      <c r="H193" s="25">
        <f t="shared" si="8"/>
        <v>70.849999999999994</v>
      </c>
      <c r="I193" s="25">
        <v>2.0836999999999999</v>
      </c>
      <c r="J193" s="88"/>
      <c r="K193" s="106">
        <f>Table1[[#This Row],[GasP]]-Table1[[#This Row],[Gasoline]]</f>
        <v>-2.0836999999999999</v>
      </c>
    </row>
    <row r="194" spans="1:11">
      <c r="A194" s="15">
        <v>44467</v>
      </c>
      <c r="B194" s="25">
        <v>70.27</v>
      </c>
      <c r="C194" s="25">
        <v>78.37</v>
      </c>
      <c r="D194" s="25">
        <v>74.36</v>
      </c>
      <c r="E194" s="4" t="s">
        <v>8</v>
      </c>
      <c r="F194" s="4">
        <f t="shared" ref="F194:F257" si="9">IF(MIN(B194:E194)=B194,1,IF(MIN(B194:E194)=C194,2,IF(MIN(B194:E194)=D194,3,IF(MIN(B194:E194)=E194,4,))))</f>
        <v>1</v>
      </c>
      <c r="G194" s="4" t="str">
        <f t="shared" ref="G194:G257" si="10">IF(MIN(B194:E194)=B194,$B$1,IF(MIN(B194:E194)=C194,$C$1,IF(MIN(B194:E194)=D194,$D$1,IF(MIN(B194:E194)=E194,$E$1,))))</f>
        <v>WTI Crude</v>
      </c>
      <c r="H194" s="25">
        <f t="shared" ref="H194:H257" si="11">IF(MIN(B194:E194)=B194,B194,IF(MIN(B194:E194)=C194,C194,IF(MIN(B194:E194)=D194,D194,IF(MIN(B194:E194)=E194,E194,))))</f>
        <v>70.27</v>
      </c>
      <c r="I194" s="25">
        <v>2.0598000000000001</v>
      </c>
      <c r="J194" s="88"/>
      <c r="K194" s="106">
        <f>Table1[[#This Row],[GasP]]-Table1[[#This Row],[Gasoline]]</f>
        <v>-2.0598000000000001</v>
      </c>
    </row>
    <row r="195" spans="1:11">
      <c r="A195" s="15">
        <v>44466</v>
      </c>
      <c r="B195" s="25">
        <v>70.14</v>
      </c>
      <c r="C195" s="25">
        <v>77.73</v>
      </c>
      <c r="D195" s="25">
        <v>73.92</v>
      </c>
      <c r="E195" s="4" t="s">
        <v>8</v>
      </c>
      <c r="F195" s="4">
        <f t="shared" si="9"/>
        <v>1</v>
      </c>
      <c r="G195" s="4" t="str">
        <f t="shared" si="10"/>
        <v>WTI Crude</v>
      </c>
      <c r="H195" s="25">
        <f t="shared" si="11"/>
        <v>70.14</v>
      </c>
      <c r="I195" s="25">
        <v>2.0602999999999998</v>
      </c>
      <c r="J195" s="88"/>
      <c r="K195" s="106">
        <f>Table1[[#This Row],[GasP]]-Table1[[#This Row],[Gasoline]]</f>
        <v>-2.0602999999999998</v>
      </c>
    </row>
    <row r="196" spans="1:11">
      <c r="A196" s="15">
        <v>44463</v>
      </c>
      <c r="B196" s="25">
        <v>70.86</v>
      </c>
      <c r="C196" s="25">
        <v>76.209999999999994</v>
      </c>
      <c r="D196" s="25">
        <v>75.34</v>
      </c>
      <c r="E196" s="4" t="s">
        <v>8</v>
      </c>
      <c r="F196" s="4">
        <f t="shared" si="9"/>
        <v>1</v>
      </c>
      <c r="G196" s="4" t="str">
        <f t="shared" si="10"/>
        <v>WTI Crude</v>
      </c>
      <c r="H196" s="25">
        <f t="shared" si="11"/>
        <v>70.86</v>
      </c>
      <c r="I196" s="25">
        <v>2.1156999999999999</v>
      </c>
      <c r="J196" s="88"/>
      <c r="K196" s="106">
        <f>Table1[[#This Row],[GasP]]-Table1[[#This Row],[Gasoline]]</f>
        <v>-2.1156999999999999</v>
      </c>
    </row>
    <row r="197" spans="1:11">
      <c r="A197" s="15">
        <v>44462</v>
      </c>
      <c r="B197" s="25">
        <v>71.14</v>
      </c>
      <c r="C197" s="25">
        <v>75.44</v>
      </c>
      <c r="D197" s="25">
        <v>75.67</v>
      </c>
      <c r="E197" s="4" t="s">
        <v>8</v>
      </c>
      <c r="F197" s="4">
        <f t="shared" si="9"/>
        <v>1</v>
      </c>
      <c r="G197" s="4" t="str">
        <f t="shared" si="10"/>
        <v>WTI Crude</v>
      </c>
      <c r="H197" s="25">
        <f t="shared" si="11"/>
        <v>71.14</v>
      </c>
      <c r="I197" s="25">
        <v>2.1269</v>
      </c>
      <c r="J197" s="88"/>
      <c r="K197" s="106">
        <f>Table1[[#This Row],[GasP]]-Table1[[#This Row],[Gasoline]]</f>
        <v>-2.1269</v>
      </c>
    </row>
    <row r="198" spans="1:11">
      <c r="A198" s="15">
        <v>44461</v>
      </c>
      <c r="B198" s="25">
        <v>71.13</v>
      </c>
      <c r="C198" s="25">
        <v>74.459999999999994</v>
      </c>
      <c r="D198" s="25">
        <v>75.459999999999994</v>
      </c>
      <c r="E198" s="4" t="s">
        <v>8</v>
      </c>
      <c r="F198" s="4">
        <f t="shared" si="9"/>
        <v>1</v>
      </c>
      <c r="G198" s="4" t="str">
        <f t="shared" si="10"/>
        <v>WTI Crude</v>
      </c>
      <c r="H198" s="25">
        <f t="shared" si="11"/>
        <v>71.13</v>
      </c>
      <c r="I198" s="25">
        <v>2.1438000000000001</v>
      </c>
      <c r="J198" s="88">
        <f>3.03+0.105*0.33</f>
        <v>3.0646499999999999</v>
      </c>
      <c r="K198" s="106">
        <f>Table1[[#This Row],[GasP]]-Table1[[#This Row],[Gasoline]]</f>
        <v>0.92084999999999972</v>
      </c>
    </row>
    <row r="199" spans="1:11">
      <c r="A199" s="15">
        <v>44460</v>
      </c>
      <c r="B199" s="25">
        <v>69.91</v>
      </c>
      <c r="C199" s="25">
        <v>73.680000000000007</v>
      </c>
      <c r="D199" s="25">
        <v>73.599999999999994</v>
      </c>
      <c r="E199" s="4" t="s">
        <v>8</v>
      </c>
      <c r="F199" s="4">
        <f t="shared" si="9"/>
        <v>1</v>
      </c>
      <c r="G199" s="4" t="str">
        <f t="shared" si="10"/>
        <v>WTI Crude</v>
      </c>
      <c r="H199" s="25">
        <f t="shared" si="11"/>
        <v>69.91</v>
      </c>
      <c r="I199" s="25">
        <v>2.1118999999999999</v>
      </c>
      <c r="J199" s="88"/>
      <c r="K199" s="106">
        <f>Table1[[#This Row],[GasP]]-Table1[[#This Row],[Gasoline]]</f>
        <v>-2.1118999999999999</v>
      </c>
    </row>
    <row r="200" spans="1:11">
      <c r="A200" s="15">
        <v>44459</v>
      </c>
      <c r="B200" s="25">
        <v>69.900000000000006</v>
      </c>
      <c r="C200" s="25">
        <v>73.47</v>
      </c>
      <c r="D200" s="25">
        <v>73.510000000000005</v>
      </c>
      <c r="E200" s="4" t="s">
        <v>8</v>
      </c>
      <c r="F200" s="4">
        <f t="shared" si="9"/>
        <v>1</v>
      </c>
      <c r="G200" s="4" t="str">
        <f t="shared" si="10"/>
        <v>WTI Crude</v>
      </c>
      <c r="H200" s="25">
        <f t="shared" si="11"/>
        <v>69.900000000000006</v>
      </c>
      <c r="I200" s="25">
        <v>2.1608999999999998</v>
      </c>
      <c r="J200" s="88"/>
      <c r="K200" s="106">
        <f>Table1[[#This Row],[GasP]]-Table1[[#This Row],[Gasoline]]</f>
        <v>-2.1608999999999998</v>
      </c>
    </row>
    <row r="201" spans="1:11">
      <c r="A201" s="15">
        <v>44456</v>
      </c>
      <c r="B201" s="25">
        <v>69.41</v>
      </c>
      <c r="C201" s="25">
        <v>74.14</v>
      </c>
      <c r="D201" s="25">
        <v>72.92</v>
      </c>
      <c r="E201" s="4" t="s">
        <v>8</v>
      </c>
      <c r="F201" s="4">
        <f t="shared" si="9"/>
        <v>1</v>
      </c>
      <c r="G201" s="4" t="str">
        <f t="shared" si="10"/>
        <v>WTI Crude</v>
      </c>
      <c r="H201" s="25">
        <f t="shared" si="11"/>
        <v>69.41</v>
      </c>
      <c r="I201" s="25">
        <v>2.1539999999999999</v>
      </c>
      <c r="J201" s="88"/>
      <c r="K201" s="106">
        <f>Table1[[#This Row],[GasP]]-Table1[[#This Row],[Gasoline]]</f>
        <v>-2.1539999999999999</v>
      </c>
    </row>
    <row r="202" spans="1:11">
      <c r="A202" s="15">
        <v>44455</v>
      </c>
      <c r="B202" s="25">
        <v>68.3</v>
      </c>
      <c r="C202" s="25">
        <v>74.17</v>
      </c>
      <c r="D202" s="25">
        <v>71.45</v>
      </c>
      <c r="E202" s="4" t="s">
        <v>8</v>
      </c>
      <c r="F202" s="4">
        <f t="shared" si="9"/>
        <v>1</v>
      </c>
      <c r="G202" s="4" t="str">
        <f t="shared" si="10"/>
        <v>WTI Crude</v>
      </c>
      <c r="H202" s="25">
        <f t="shared" si="11"/>
        <v>68.3</v>
      </c>
      <c r="I202" s="25">
        <v>2.0996999999999999</v>
      </c>
      <c r="J202" s="88"/>
      <c r="K202" s="106">
        <f>Table1[[#This Row],[GasP]]-Table1[[#This Row],[Gasoline]]</f>
        <v>-2.0996999999999999</v>
      </c>
    </row>
    <row r="203" spans="1:11">
      <c r="A203" s="15">
        <v>44454</v>
      </c>
      <c r="B203" s="25">
        <v>69.17</v>
      </c>
      <c r="C203" s="25">
        <v>73.78</v>
      </c>
      <c r="D203" s="25">
        <v>72.599999999999994</v>
      </c>
      <c r="E203" s="4" t="s">
        <v>8</v>
      </c>
      <c r="F203" s="4">
        <f t="shared" si="9"/>
        <v>1</v>
      </c>
      <c r="G203" s="4" t="str">
        <f t="shared" si="10"/>
        <v>WTI Crude</v>
      </c>
      <c r="H203" s="25">
        <f t="shared" si="11"/>
        <v>69.17</v>
      </c>
      <c r="I203" s="25">
        <v>2.1320999999999999</v>
      </c>
      <c r="J203" s="88"/>
      <c r="K203" s="106">
        <f>Table1[[#This Row],[GasP]]-Table1[[#This Row],[Gasoline]]</f>
        <v>-2.1320999999999999</v>
      </c>
    </row>
    <row r="204" spans="1:11">
      <c r="A204" s="15">
        <v>44453</v>
      </c>
      <c r="B204" s="25">
        <v>68.41</v>
      </c>
      <c r="C204" s="25">
        <v>73.290000000000006</v>
      </c>
      <c r="D204" s="25">
        <v>71.69</v>
      </c>
      <c r="E204" s="4" t="s">
        <v>8</v>
      </c>
      <c r="F204" s="4">
        <f t="shared" si="9"/>
        <v>1</v>
      </c>
      <c r="G204" s="4" t="str">
        <f t="shared" si="10"/>
        <v>WTI Crude</v>
      </c>
      <c r="H204" s="25">
        <f t="shared" si="11"/>
        <v>68.41</v>
      </c>
      <c r="I204" s="25">
        <v>2.13</v>
      </c>
      <c r="J204" s="88"/>
      <c r="K204" s="106">
        <f>Table1[[#This Row],[GasP]]-Table1[[#This Row],[Gasoline]]</f>
        <v>-2.13</v>
      </c>
    </row>
    <row r="205" spans="1:11">
      <c r="A205" s="15">
        <v>44452</v>
      </c>
      <c r="B205" s="25">
        <v>69.22</v>
      </c>
      <c r="C205" s="25">
        <v>72.77</v>
      </c>
      <c r="D205" s="25">
        <v>72.61</v>
      </c>
      <c r="E205" s="4" t="s">
        <v>8</v>
      </c>
      <c r="F205" s="4">
        <f t="shared" si="9"/>
        <v>1</v>
      </c>
      <c r="G205" s="4" t="str">
        <f t="shared" si="10"/>
        <v>WTI Crude</v>
      </c>
      <c r="H205" s="25">
        <f t="shared" si="11"/>
        <v>69.22</v>
      </c>
      <c r="I205" s="25">
        <v>2.1539999999999999</v>
      </c>
      <c r="J205" s="88"/>
      <c r="K205" s="106">
        <f>Table1[[#This Row],[GasP]]-Table1[[#This Row],[Gasoline]]</f>
        <v>-2.1539999999999999</v>
      </c>
    </row>
    <row r="206" spans="1:11">
      <c r="A206" s="15">
        <v>44449</v>
      </c>
      <c r="B206" s="25">
        <v>69.84</v>
      </c>
      <c r="C206" s="25">
        <v>71.98</v>
      </c>
      <c r="D206" s="25">
        <v>73.03</v>
      </c>
      <c r="E206" s="4" t="s">
        <v>8</v>
      </c>
      <c r="F206" s="4">
        <f t="shared" si="9"/>
        <v>1</v>
      </c>
      <c r="G206" s="4" t="str">
        <f t="shared" si="10"/>
        <v>WTI Crude</v>
      </c>
      <c r="H206" s="25">
        <f t="shared" si="11"/>
        <v>69.84</v>
      </c>
      <c r="I206" s="25">
        <v>2.1635</v>
      </c>
      <c r="J206" s="88"/>
      <c r="K206" s="106">
        <f>Table1[[#This Row],[GasP]]-Table1[[#This Row],[Gasoline]]</f>
        <v>-2.1635</v>
      </c>
    </row>
    <row r="207" spans="1:11">
      <c r="A207" s="15">
        <v>44448</v>
      </c>
      <c r="B207" s="25">
        <v>68.5</v>
      </c>
      <c r="C207" s="25">
        <v>71.819999999999993</v>
      </c>
      <c r="D207" s="25">
        <v>71.59</v>
      </c>
      <c r="E207" s="4" t="s">
        <v>8</v>
      </c>
      <c r="F207" s="4">
        <f t="shared" si="9"/>
        <v>1</v>
      </c>
      <c r="G207" s="4" t="str">
        <f t="shared" si="10"/>
        <v>WTI Crude</v>
      </c>
      <c r="H207" s="25">
        <f t="shared" si="11"/>
        <v>68.5</v>
      </c>
      <c r="I207" s="25">
        <v>2.1109</v>
      </c>
      <c r="J207" s="88"/>
      <c r="K207" s="106">
        <f>Table1[[#This Row],[GasP]]-Table1[[#This Row],[Gasoline]]</f>
        <v>-2.1109</v>
      </c>
    </row>
    <row r="208" spans="1:11">
      <c r="A208" s="15">
        <v>44447</v>
      </c>
      <c r="B208" s="25">
        <v>67.709999999999994</v>
      </c>
      <c r="C208" s="25">
        <v>71.17</v>
      </c>
      <c r="D208" s="25">
        <v>72.989999999999995</v>
      </c>
      <c r="E208" s="4" t="s">
        <v>8</v>
      </c>
      <c r="F208" s="4">
        <f t="shared" si="9"/>
        <v>1</v>
      </c>
      <c r="G208" s="4" t="str">
        <f t="shared" si="10"/>
        <v>WTI Crude</v>
      </c>
      <c r="H208" s="25">
        <f t="shared" si="11"/>
        <v>67.709999999999994</v>
      </c>
      <c r="I208" s="25">
        <v>2.1419000000000001</v>
      </c>
      <c r="J208" s="88"/>
      <c r="K208" s="106">
        <f>Table1[[#This Row],[GasP]]-Table1[[#This Row],[Gasoline]]</f>
        <v>-2.1419000000000001</v>
      </c>
    </row>
    <row r="209" spans="1:11">
      <c r="A209" s="15">
        <v>44446</v>
      </c>
      <c r="B209" s="25">
        <v>67.739999999999995</v>
      </c>
      <c r="C209" s="25">
        <v>71.34</v>
      </c>
      <c r="D209" s="25">
        <v>73.41</v>
      </c>
      <c r="E209" s="4" t="s">
        <v>8</v>
      </c>
      <c r="F209" s="4">
        <f t="shared" si="9"/>
        <v>1</v>
      </c>
      <c r="G209" s="4" t="str">
        <f t="shared" si="10"/>
        <v>WTI Crude</v>
      </c>
      <c r="H209" s="25">
        <f t="shared" si="11"/>
        <v>67.739999999999995</v>
      </c>
      <c r="I209" s="25">
        <v>2.1537999999999999</v>
      </c>
      <c r="J209" s="88"/>
      <c r="K209" s="106">
        <f>Table1[[#This Row],[GasP]]-Table1[[#This Row],[Gasoline]]</f>
        <v>-2.1537999999999999</v>
      </c>
    </row>
    <row r="210" spans="1:11">
      <c r="A210" s="15">
        <v>44445</v>
      </c>
      <c r="B210" s="25">
        <v>67.7</v>
      </c>
      <c r="C210" s="25">
        <v>71.290000000000006</v>
      </c>
      <c r="D210" s="25">
        <v>72.7</v>
      </c>
      <c r="E210" s="4" t="s">
        <v>8</v>
      </c>
      <c r="F210" s="4">
        <f t="shared" si="9"/>
        <v>1</v>
      </c>
      <c r="G210" s="4" t="str">
        <f t="shared" si="10"/>
        <v>WTI Crude</v>
      </c>
      <c r="H210" s="25">
        <f t="shared" si="11"/>
        <v>67.7</v>
      </c>
      <c r="I210" s="25">
        <v>2.1196000000000002</v>
      </c>
      <c r="J210" s="88"/>
      <c r="K210" s="106">
        <f>Table1[[#This Row],[GasP]]-Table1[[#This Row],[Gasoline]]</f>
        <v>-2.1196000000000002</v>
      </c>
    </row>
    <row r="211" spans="1:11">
      <c r="A211" s="15">
        <v>44442</v>
      </c>
      <c r="B211" s="25">
        <v>67.52</v>
      </c>
      <c r="C211" s="25">
        <v>72.56</v>
      </c>
      <c r="D211" s="25">
        <v>71.069999999999993</v>
      </c>
      <c r="E211" s="4" t="s">
        <v>8</v>
      </c>
      <c r="F211" s="4">
        <f t="shared" si="9"/>
        <v>1</v>
      </c>
      <c r="G211" s="4" t="str">
        <f t="shared" si="10"/>
        <v>WTI Crude</v>
      </c>
      <c r="H211" s="25">
        <f t="shared" si="11"/>
        <v>67.52</v>
      </c>
      <c r="I211" s="25">
        <v>2.0922999999999998</v>
      </c>
      <c r="J211" s="88"/>
      <c r="K211" s="106">
        <f>Table1[[#This Row],[GasP]]-Table1[[#This Row],[Gasoline]]</f>
        <v>-2.0922999999999998</v>
      </c>
    </row>
    <row r="212" spans="1:11">
      <c r="A212" s="15">
        <v>44441</v>
      </c>
      <c r="B212" s="25">
        <v>67.69</v>
      </c>
      <c r="C212" s="25">
        <v>71.63</v>
      </c>
      <c r="D212" s="25">
        <v>72.25</v>
      </c>
      <c r="E212" s="4" t="s">
        <v>8</v>
      </c>
      <c r="F212" s="4">
        <f t="shared" si="9"/>
        <v>1</v>
      </c>
      <c r="G212" s="4" t="str">
        <f t="shared" si="10"/>
        <v>WTI Crude</v>
      </c>
      <c r="H212" s="25">
        <f t="shared" si="11"/>
        <v>67.69</v>
      </c>
      <c r="I212" s="25">
        <v>2.145</v>
      </c>
      <c r="J212" s="88"/>
      <c r="K212" s="106">
        <f>Table1[[#This Row],[GasP]]-Table1[[#This Row],[Gasoline]]</f>
        <v>-2.145</v>
      </c>
    </row>
    <row r="213" spans="1:11">
      <c r="A213" s="15">
        <v>44440</v>
      </c>
      <c r="B213" s="25">
        <v>67.510000000000005</v>
      </c>
      <c r="C213" s="25">
        <v>71.25</v>
      </c>
      <c r="D213" s="25">
        <v>71.05</v>
      </c>
      <c r="E213" s="4">
        <v>58.02</v>
      </c>
      <c r="F213" s="4">
        <f t="shared" si="9"/>
        <v>4</v>
      </c>
      <c r="G213" s="4" t="str">
        <f t="shared" si="10"/>
        <v>WCS</v>
      </c>
      <c r="H213" s="25">
        <f t="shared" si="11"/>
        <v>58.02</v>
      </c>
      <c r="I213" s="25">
        <v>2.0575999999999999</v>
      </c>
      <c r="J213" s="88"/>
      <c r="K213" s="106">
        <f>Table1[[#This Row],[GasP]]-Table1[[#This Row],[Gasoline]]</f>
        <v>-2.0575999999999999</v>
      </c>
    </row>
    <row r="214" spans="1:11">
      <c r="A214" s="15">
        <v>44439</v>
      </c>
      <c r="B214" s="25">
        <v>66.989999999999995</v>
      </c>
      <c r="C214" s="25">
        <v>71.430000000000007</v>
      </c>
      <c r="D214" s="25">
        <v>68.75</v>
      </c>
      <c r="E214" s="4" t="s">
        <v>8</v>
      </c>
      <c r="F214" s="4">
        <f t="shared" si="9"/>
        <v>1</v>
      </c>
      <c r="G214" s="4" t="str">
        <f t="shared" si="10"/>
        <v>WTI Crude</v>
      </c>
      <c r="H214" s="25">
        <f t="shared" si="11"/>
        <v>66.989999999999995</v>
      </c>
      <c r="I214" s="25">
        <v>1.9865999999999999</v>
      </c>
      <c r="J214" s="88"/>
      <c r="K214" s="106">
        <f>Table1[[#This Row],[GasP]]-Table1[[#This Row],[Gasoline]]</f>
        <v>-1.9865999999999999</v>
      </c>
    </row>
    <row r="215" spans="1:11">
      <c r="A215" s="15">
        <v>44438</v>
      </c>
      <c r="B215" s="25">
        <v>65.87</v>
      </c>
      <c r="C215" s="25">
        <v>71.88</v>
      </c>
      <c r="D215" s="25">
        <v>65.180000000000007</v>
      </c>
      <c r="E215" s="4" t="s">
        <v>8</v>
      </c>
      <c r="F215" s="4">
        <f t="shared" si="9"/>
        <v>3</v>
      </c>
      <c r="G215" s="4" t="str">
        <f t="shared" si="10"/>
        <v>Brent Crude</v>
      </c>
      <c r="H215" s="25">
        <f t="shared" si="11"/>
        <v>65.180000000000007</v>
      </c>
      <c r="I215" s="25">
        <v>1.8902000000000001</v>
      </c>
      <c r="J215" s="88"/>
      <c r="K215" s="106">
        <f>Table1[[#This Row],[GasP]]-Table1[[#This Row],[Gasoline]]</f>
        <v>-1.8902000000000001</v>
      </c>
    </row>
    <row r="216" spans="1:11">
      <c r="A216" s="15">
        <v>44435</v>
      </c>
      <c r="B216" s="25">
        <v>66.37</v>
      </c>
      <c r="C216" s="25">
        <v>71.48</v>
      </c>
      <c r="D216" s="25">
        <v>66.45</v>
      </c>
      <c r="E216" s="4" t="s">
        <v>8</v>
      </c>
      <c r="F216" s="4">
        <f t="shared" si="9"/>
        <v>1</v>
      </c>
      <c r="G216" s="4" t="str">
        <f t="shared" si="10"/>
        <v>WTI Crude</v>
      </c>
      <c r="H216" s="25">
        <f t="shared" si="11"/>
        <v>66.37</v>
      </c>
      <c r="I216" s="25">
        <v>1.9524999999999999</v>
      </c>
      <c r="J216" s="88"/>
      <c r="K216" s="106">
        <f>Table1[[#This Row],[GasP]]-Table1[[#This Row],[Gasoline]]</f>
        <v>-1.9524999999999999</v>
      </c>
    </row>
    <row r="217" spans="1:11">
      <c r="A217" s="15">
        <v>44434</v>
      </c>
      <c r="B217" s="25">
        <v>67.069999999999993</v>
      </c>
      <c r="C217" s="25">
        <v>70.75</v>
      </c>
      <c r="D217" s="25">
        <v>68.23</v>
      </c>
      <c r="E217" s="4" t="s">
        <v>8</v>
      </c>
      <c r="F217" s="4">
        <f t="shared" si="9"/>
        <v>1</v>
      </c>
      <c r="G217" s="4" t="str">
        <f t="shared" si="10"/>
        <v>WTI Crude</v>
      </c>
      <c r="H217" s="25">
        <f t="shared" si="11"/>
        <v>67.069999999999993</v>
      </c>
      <c r="I217" s="25">
        <v>2.0162</v>
      </c>
      <c r="J217" s="88"/>
      <c r="K217" s="106">
        <f>Table1[[#This Row],[GasP]]-Table1[[#This Row],[Gasoline]]</f>
        <v>-2.0162</v>
      </c>
    </row>
    <row r="218" spans="1:11">
      <c r="A218" s="15">
        <v>44433</v>
      </c>
      <c r="B218" s="25">
        <v>67.59</v>
      </c>
      <c r="C218" s="25">
        <v>70.59</v>
      </c>
      <c r="D218" s="25">
        <v>69.03</v>
      </c>
      <c r="E218" s="4" t="s">
        <v>8</v>
      </c>
      <c r="F218" s="4">
        <f t="shared" si="9"/>
        <v>1</v>
      </c>
      <c r="G218" s="4" t="str">
        <f t="shared" si="10"/>
        <v>WTI Crude</v>
      </c>
      <c r="H218" s="25">
        <f t="shared" si="11"/>
        <v>67.59</v>
      </c>
      <c r="I218" s="25">
        <v>2.0396999999999998</v>
      </c>
      <c r="J218" s="88"/>
      <c r="K218" s="106">
        <f>Table1[[#This Row],[GasP]]-Table1[[#This Row],[Gasoline]]</f>
        <v>-2.0396999999999998</v>
      </c>
    </row>
    <row r="219" spans="1:11">
      <c r="A219" s="15">
        <v>44432</v>
      </c>
      <c r="B219" s="25">
        <v>67.94</v>
      </c>
      <c r="C219" s="25">
        <v>69.709999999999994</v>
      </c>
      <c r="D219" s="25">
        <v>69.510000000000005</v>
      </c>
      <c r="E219" s="4" t="s">
        <v>8</v>
      </c>
      <c r="F219" s="4">
        <f t="shared" si="9"/>
        <v>1</v>
      </c>
      <c r="G219" s="4" t="str">
        <f t="shared" si="10"/>
        <v>WTI Crude</v>
      </c>
      <c r="H219" s="25">
        <f t="shared" si="11"/>
        <v>67.94</v>
      </c>
      <c r="I219" s="25">
        <v>2.0668000000000002</v>
      </c>
      <c r="J219" s="88"/>
      <c r="K219" s="106">
        <f>Table1[[#This Row],[GasP]]-Table1[[#This Row],[Gasoline]]</f>
        <v>-2.0668000000000002</v>
      </c>
    </row>
    <row r="220" spans="1:11">
      <c r="A220" s="15">
        <v>44431</v>
      </c>
      <c r="B220" s="25">
        <v>68.569999999999993</v>
      </c>
      <c r="C220" s="25">
        <v>67.33</v>
      </c>
      <c r="D220" s="25">
        <v>70.59</v>
      </c>
      <c r="E220" s="4" t="s">
        <v>8</v>
      </c>
      <c r="F220" s="4">
        <f t="shared" si="9"/>
        <v>2</v>
      </c>
      <c r="G220" s="4" t="str">
        <f t="shared" si="10"/>
        <v>Opec Basket</v>
      </c>
      <c r="H220" s="25">
        <f t="shared" si="11"/>
        <v>67.33</v>
      </c>
      <c r="I220" s="25">
        <v>2.1128999999999998</v>
      </c>
      <c r="J220" s="88"/>
      <c r="K220" s="106">
        <f>Table1[[#This Row],[GasP]]-Table1[[#This Row],[Gasoline]]</f>
        <v>-2.1128999999999998</v>
      </c>
    </row>
    <row r="221" spans="1:11">
      <c r="A221" s="15">
        <v>44428</v>
      </c>
      <c r="B221" s="25">
        <v>68.97</v>
      </c>
      <c r="C221" s="25">
        <v>66.13</v>
      </c>
      <c r="D221" s="25">
        <v>71.31</v>
      </c>
      <c r="E221" s="4" t="s">
        <v>8</v>
      </c>
      <c r="F221" s="4">
        <f t="shared" si="9"/>
        <v>2</v>
      </c>
      <c r="G221" s="4" t="str">
        <f t="shared" si="10"/>
        <v>Opec Basket</v>
      </c>
      <c r="H221" s="25">
        <f t="shared" si="11"/>
        <v>66.13</v>
      </c>
      <c r="I221" s="25">
        <v>2.13</v>
      </c>
      <c r="J221" s="88"/>
      <c r="K221" s="106">
        <f>Table1[[#This Row],[GasP]]-Table1[[#This Row],[Gasoline]]</f>
        <v>-2.13</v>
      </c>
    </row>
    <row r="222" spans="1:11">
      <c r="A222" s="15">
        <v>44427</v>
      </c>
      <c r="B222" s="25">
        <v>69.06</v>
      </c>
      <c r="C222" s="25">
        <v>66.08</v>
      </c>
      <c r="D222" s="25">
        <v>71.44</v>
      </c>
      <c r="E222" s="4" t="s">
        <v>8</v>
      </c>
      <c r="F222" s="4">
        <f t="shared" si="9"/>
        <v>2</v>
      </c>
      <c r="G222" s="4" t="str">
        <f t="shared" si="10"/>
        <v>Opec Basket</v>
      </c>
      <c r="H222" s="25">
        <f t="shared" si="11"/>
        <v>66.08</v>
      </c>
      <c r="I222" s="25">
        <v>2.3022</v>
      </c>
      <c r="J222" s="88"/>
      <c r="K222" s="106">
        <f>Table1[[#This Row],[GasP]]-Table1[[#This Row],[Gasoline]]</f>
        <v>-2.3022</v>
      </c>
    </row>
    <row r="223" spans="1:11">
      <c r="A223" s="15">
        <v>44426</v>
      </c>
      <c r="B223" s="25">
        <v>68.400000000000006</v>
      </c>
      <c r="C223" s="25">
        <v>69.319999999999993</v>
      </c>
      <c r="D223" s="25">
        <v>70.63</v>
      </c>
      <c r="E223" s="4" t="s">
        <v>8</v>
      </c>
      <c r="F223" s="4">
        <f t="shared" si="9"/>
        <v>1</v>
      </c>
      <c r="G223" s="4" t="str">
        <f t="shared" si="10"/>
        <v>WTI Crude</v>
      </c>
      <c r="H223" s="25">
        <f t="shared" si="11"/>
        <v>68.400000000000006</v>
      </c>
      <c r="I223" s="25">
        <v>2.2679</v>
      </c>
      <c r="J223" s="88">
        <v>3.3</v>
      </c>
      <c r="K223" s="106">
        <f>Table1[[#This Row],[GasP]]-Table1[[#This Row],[Gasoline]]</f>
        <v>1.0320999999999998</v>
      </c>
    </row>
    <row r="224" spans="1:11">
      <c r="A224" s="15">
        <v>44425</v>
      </c>
      <c r="B224" s="25">
        <v>67.099999999999994</v>
      </c>
      <c r="C224" s="25">
        <v>69.400000000000006</v>
      </c>
      <c r="D224" s="25">
        <v>69.040000000000006</v>
      </c>
      <c r="E224" s="4" t="s">
        <v>8</v>
      </c>
      <c r="F224" s="4">
        <f t="shared" si="9"/>
        <v>1</v>
      </c>
      <c r="G224" s="4" t="str">
        <f t="shared" si="10"/>
        <v>WTI Crude</v>
      </c>
      <c r="H224" s="25">
        <f t="shared" si="11"/>
        <v>67.099999999999994</v>
      </c>
      <c r="I224" s="25">
        <v>2.2347999999999999</v>
      </c>
      <c r="J224" s="88"/>
      <c r="K224" s="106">
        <f>Table1[[#This Row],[GasP]]-Table1[[#This Row],[Gasoline]]</f>
        <v>-2.2347999999999999</v>
      </c>
    </row>
    <row r="225" spans="1:11">
      <c r="A225" s="15">
        <v>44424</v>
      </c>
      <c r="B225" s="25">
        <v>68.489999999999995</v>
      </c>
      <c r="C225" s="25">
        <v>69.650000000000006</v>
      </c>
      <c r="D225" s="25">
        <v>70.7</v>
      </c>
      <c r="E225" s="4" t="s">
        <v>8</v>
      </c>
      <c r="F225" s="4">
        <f t="shared" si="9"/>
        <v>1</v>
      </c>
      <c r="G225" s="4" t="str">
        <f t="shared" si="10"/>
        <v>WTI Crude</v>
      </c>
      <c r="H225" s="25">
        <f t="shared" si="11"/>
        <v>68.489999999999995</v>
      </c>
      <c r="I225" s="25">
        <v>2.2568999999999999</v>
      </c>
      <c r="J225" s="88"/>
      <c r="K225" s="106">
        <f>Table1[[#This Row],[GasP]]-Table1[[#This Row],[Gasoline]]</f>
        <v>-2.2568999999999999</v>
      </c>
    </row>
    <row r="226" spans="1:11">
      <c r="A226" s="15">
        <v>44421</v>
      </c>
      <c r="B226" s="25">
        <v>69.099999999999994</v>
      </c>
      <c r="C226" s="25">
        <v>70.900000000000006</v>
      </c>
      <c r="D226" s="25">
        <v>71.290000000000006</v>
      </c>
      <c r="E226" s="4" t="s">
        <v>8</v>
      </c>
      <c r="F226" s="4">
        <f t="shared" si="9"/>
        <v>1</v>
      </c>
      <c r="G226" s="4" t="str">
        <f t="shared" si="10"/>
        <v>WTI Crude</v>
      </c>
      <c r="H226" s="25">
        <f t="shared" si="11"/>
        <v>69.099999999999994</v>
      </c>
      <c r="I226" s="25">
        <v>2.294</v>
      </c>
      <c r="J226" s="88"/>
      <c r="K226" s="106">
        <f>Table1[[#This Row],[GasP]]-Table1[[#This Row],[Gasoline]]</f>
        <v>-2.294</v>
      </c>
    </row>
    <row r="227" spans="1:11">
      <c r="A227" s="15">
        <v>44420</v>
      </c>
      <c r="B227" s="25">
        <v>68.290000000000006</v>
      </c>
      <c r="C227" s="25">
        <v>71.319999999999993</v>
      </c>
      <c r="D227" s="25">
        <v>70.38</v>
      </c>
      <c r="E227" s="4" t="s">
        <v>8</v>
      </c>
      <c r="F227" s="4">
        <f t="shared" si="9"/>
        <v>1</v>
      </c>
      <c r="G227" s="4" t="str">
        <f t="shared" si="10"/>
        <v>WTI Crude</v>
      </c>
      <c r="H227" s="25">
        <f t="shared" si="11"/>
        <v>68.290000000000006</v>
      </c>
      <c r="I227" s="25">
        <v>2.25</v>
      </c>
      <c r="J227" s="88"/>
      <c r="K227" s="106">
        <f>Table1[[#This Row],[GasP]]-Table1[[#This Row],[Gasoline]]</f>
        <v>-2.25</v>
      </c>
    </row>
    <row r="228" spans="1:11">
      <c r="A228" s="15">
        <v>44419</v>
      </c>
      <c r="B228" s="25">
        <v>70.42</v>
      </c>
      <c r="C228" s="25">
        <v>70.52</v>
      </c>
      <c r="D228" s="25">
        <v>72.41</v>
      </c>
      <c r="E228" s="4" t="s">
        <v>8</v>
      </c>
      <c r="F228" s="4">
        <f t="shared" si="9"/>
        <v>1</v>
      </c>
      <c r="G228" s="4" t="str">
        <f t="shared" si="10"/>
        <v>WTI Crude</v>
      </c>
      <c r="H228" s="25">
        <f t="shared" si="11"/>
        <v>70.42</v>
      </c>
      <c r="I228" s="25">
        <v>2.2707999999999999</v>
      </c>
      <c r="J228" s="88"/>
      <c r="K228" s="106">
        <f>Table1[[#This Row],[GasP]]-Table1[[#This Row],[Gasoline]]</f>
        <v>-2.2707999999999999</v>
      </c>
    </row>
    <row r="229" spans="1:11">
      <c r="A229" s="15">
        <v>44418</v>
      </c>
      <c r="B229" s="25">
        <v>71.05</v>
      </c>
      <c r="C229" s="25">
        <v>70.13</v>
      </c>
      <c r="D229" s="25">
        <v>72.89</v>
      </c>
      <c r="E229" s="4" t="s">
        <v>8</v>
      </c>
      <c r="F229" s="4">
        <f t="shared" si="9"/>
        <v>2</v>
      </c>
      <c r="G229" s="4" t="str">
        <f t="shared" si="10"/>
        <v>Opec Basket</v>
      </c>
      <c r="H229" s="25">
        <f t="shared" si="11"/>
        <v>70.13</v>
      </c>
      <c r="I229" s="25">
        <v>2.2747000000000002</v>
      </c>
      <c r="J229" s="88"/>
      <c r="K229" s="106">
        <f>Table1[[#This Row],[GasP]]-Table1[[#This Row],[Gasoline]]</f>
        <v>-2.2747000000000002</v>
      </c>
    </row>
    <row r="230" spans="1:11">
      <c r="A230" s="15">
        <v>44417</v>
      </c>
      <c r="B230" s="25">
        <v>72.430000000000007</v>
      </c>
      <c r="C230" s="25">
        <v>70.66</v>
      </c>
      <c r="D230" s="25">
        <v>76.33</v>
      </c>
      <c r="E230" s="4" t="s">
        <v>8</v>
      </c>
      <c r="F230" s="4">
        <f t="shared" si="9"/>
        <v>2</v>
      </c>
      <c r="G230" s="4" t="str">
        <f t="shared" si="10"/>
        <v>Opec Basket</v>
      </c>
      <c r="H230" s="25">
        <f t="shared" si="11"/>
        <v>70.66</v>
      </c>
      <c r="I230" s="25">
        <v>2.3347000000000002</v>
      </c>
      <c r="J230" s="88"/>
      <c r="K230" s="106">
        <f>Table1[[#This Row],[GasP]]-Table1[[#This Row],[Gasoline]]</f>
        <v>-2.3347000000000002</v>
      </c>
    </row>
    <row r="231" spans="1:11">
      <c r="A231" s="15">
        <v>44414</v>
      </c>
      <c r="B231" s="25">
        <v>72.41</v>
      </c>
      <c r="C231" s="25">
        <v>71.3</v>
      </c>
      <c r="D231" s="25">
        <v>76.05</v>
      </c>
      <c r="E231" s="4" t="s">
        <v>8</v>
      </c>
      <c r="F231" s="4">
        <f t="shared" si="9"/>
        <v>2</v>
      </c>
      <c r="G231" s="4" t="str">
        <f t="shared" si="10"/>
        <v>Opec Basket</v>
      </c>
      <c r="H231" s="25">
        <f t="shared" si="11"/>
        <v>71.3</v>
      </c>
      <c r="I231" s="25">
        <v>2.3250999999999999</v>
      </c>
      <c r="J231" s="88"/>
      <c r="K231" s="106">
        <f>Table1[[#This Row],[GasP]]-Table1[[#This Row],[Gasoline]]</f>
        <v>-2.3250999999999999</v>
      </c>
    </row>
    <row r="232" spans="1:11">
      <c r="A232" s="15">
        <v>44413</v>
      </c>
      <c r="B232" s="25">
        <v>72.3</v>
      </c>
      <c r="C232" s="25">
        <v>70.34</v>
      </c>
      <c r="D232" s="25">
        <v>74.739999999999995</v>
      </c>
      <c r="E232" s="4" t="s">
        <v>8</v>
      </c>
      <c r="F232" s="4">
        <f t="shared" si="9"/>
        <v>2</v>
      </c>
      <c r="G232" s="4" t="str">
        <f t="shared" si="10"/>
        <v>Opec Basket</v>
      </c>
      <c r="H232" s="25">
        <f t="shared" si="11"/>
        <v>70.34</v>
      </c>
      <c r="I232" s="25">
        <v>2.282</v>
      </c>
      <c r="J232" s="88"/>
      <c r="K232" s="106">
        <f>Table1[[#This Row],[GasP]]-Table1[[#This Row],[Gasoline]]</f>
        <v>-2.282</v>
      </c>
    </row>
    <row r="233" spans="1:11">
      <c r="A233" s="15">
        <v>44412</v>
      </c>
      <c r="B233" s="25">
        <v>72.19</v>
      </c>
      <c r="C233" s="25">
        <v>71.83</v>
      </c>
      <c r="D233" s="25">
        <v>74.48</v>
      </c>
      <c r="E233" s="4" t="s">
        <v>8</v>
      </c>
      <c r="F233" s="4">
        <f t="shared" si="9"/>
        <v>2</v>
      </c>
      <c r="G233" s="4" t="str">
        <f t="shared" si="10"/>
        <v>Opec Basket</v>
      </c>
      <c r="H233" s="25">
        <f t="shared" si="11"/>
        <v>71.83</v>
      </c>
      <c r="I233" s="25">
        <v>2.2812999999999999</v>
      </c>
      <c r="J233" s="88"/>
      <c r="K233" s="106">
        <f>Table1[[#This Row],[GasP]]-Table1[[#This Row],[Gasoline]]</f>
        <v>-2.2812999999999999</v>
      </c>
    </row>
    <row r="234" spans="1:11">
      <c r="A234" s="15">
        <v>44411</v>
      </c>
      <c r="B234" s="25">
        <v>72.239999999999995</v>
      </c>
      <c r="C234" s="25">
        <v>72.709999999999994</v>
      </c>
      <c r="D234" s="25">
        <v>74.5</v>
      </c>
      <c r="E234" s="4" t="s">
        <v>8</v>
      </c>
      <c r="F234" s="4">
        <f t="shared" si="9"/>
        <v>1</v>
      </c>
      <c r="G234" s="4" t="str">
        <f t="shared" si="10"/>
        <v>WTI Crude</v>
      </c>
      <c r="H234" s="25">
        <f t="shared" si="11"/>
        <v>72.239999999999995</v>
      </c>
      <c r="I234" s="25">
        <v>2.2753999999999999</v>
      </c>
      <c r="J234" s="88"/>
      <c r="K234" s="106">
        <f>Table1[[#This Row],[GasP]]-Table1[[#This Row],[Gasoline]]</f>
        <v>-2.2753999999999999</v>
      </c>
    </row>
    <row r="235" spans="1:11">
      <c r="A235" s="15">
        <v>44410</v>
      </c>
      <c r="B235" s="25">
        <v>72.28</v>
      </c>
      <c r="C235" s="25">
        <v>73.89</v>
      </c>
      <c r="D235" s="25">
        <v>74.099999999999994</v>
      </c>
      <c r="E235" s="4">
        <v>54.47</v>
      </c>
      <c r="F235" s="4">
        <f t="shared" si="9"/>
        <v>4</v>
      </c>
      <c r="G235" s="4" t="str">
        <f t="shared" si="10"/>
        <v>WCS</v>
      </c>
      <c r="H235" s="25">
        <f t="shared" si="11"/>
        <v>54.47</v>
      </c>
      <c r="I235" s="25">
        <v>2.2612000000000001</v>
      </c>
      <c r="J235" s="88"/>
      <c r="K235" s="106">
        <f>Table1[[#This Row],[GasP]]-Table1[[#This Row],[Gasoline]]</f>
        <v>-2.2612000000000001</v>
      </c>
    </row>
    <row r="236" spans="1:11">
      <c r="A236" s="15">
        <v>44407</v>
      </c>
      <c r="B236" s="25">
        <v>72.23</v>
      </c>
      <c r="C236" s="25">
        <v>74.98</v>
      </c>
      <c r="D236" s="25">
        <v>73.790000000000006</v>
      </c>
      <c r="E236" s="4" t="s">
        <v>8</v>
      </c>
      <c r="F236" s="4">
        <f t="shared" si="9"/>
        <v>1</v>
      </c>
      <c r="G236" s="4" t="str">
        <f t="shared" si="10"/>
        <v>WTI Crude</v>
      </c>
      <c r="H236" s="25">
        <f t="shared" si="11"/>
        <v>72.23</v>
      </c>
      <c r="I236" s="25">
        <v>2.2473999999999998</v>
      </c>
      <c r="J236" s="88"/>
      <c r="K236" s="106">
        <f>Table1[[#This Row],[GasP]]-Table1[[#This Row],[Gasoline]]</f>
        <v>-2.2473999999999998</v>
      </c>
    </row>
    <row r="237" spans="1:11">
      <c r="A237" s="15">
        <v>44406</v>
      </c>
      <c r="B237" s="25">
        <v>71.7</v>
      </c>
      <c r="C237" s="25">
        <v>74.42</v>
      </c>
      <c r="D237" s="25">
        <v>72.23</v>
      </c>
      <c r="E237" s="4" t="s">
        <v>8</v>
      </c>
      <c r="F237" s="4">
        <f t="shared" si="9"/>
        <v>1</v>
      </c>
      <c r="G237" s="4" t="str">
        <f t="shared" si="10"/>
        <v>WTI Crude</v>
      </c>
      <c r="H237" s="25">
        <f t="shared" si="11"/>
        <v>71.7</v>
      </c>
      <c r="I237" s="25">
        <v>2.1941000000000002</v>
      </c>
      <c r="J237" s="88"/>
      <c r="K237" s="106">
        <f>Table1[[#This Row],[GasP]]-Table1[[#This Row],[Gasoline]]</f>
        <v>-2.1941000000000002</v>
      </c>
    </row>
    <row r="238" spans="1:11">
      <c r="A238" s="15">
        <v>44405</v>
      </c>
      <c r="B238" s="25">
        <v>70.52</v>
      </c>
      <c r="C238" s="25">
        <v>73.569999999999993</v>
      </c>
      <c r="D238" s="25">
        <v>69.349999999999994</v>
      </c>
      <c r="E238" s="4" t="s">
        <v>8</v>
      </c>
      <c r="F238" s="4">
        <f t="shared" si="9"/>
        <v>3</v>
      </c>
      <c r="G238" s="4" t="str">
        <f t="shared" si="10"/>
        <v>Brent Crude</v>
      </c>
      <c r="H238" s="25">
        <f t="shared" si="11"/>
        <v>69.349999999999994</v>
      </c>
      <c r="I238" s="25">
        <v>2.1103999999999998</v>
      </c>
      <c r="J238" s="88"/>
      <c r="K238" s="106">
        <f>Table1[[#This Row],[GasP]]-Table1[[#This Row],[Gasoline]]</f>
        <v>-2.1103999999999998</v>
      </c>
    </row>
    <row r="239" spans="1:11">
      <c r="A239" s="15">
        <v>44404</v>
      </c>
      <c r="B239" s="25">
        <v>70.14</v>
      </c>
      <c r="C239" s="25">
        <v>73.62</v>
      </c>
      <c r="D239" s="25">
        <v>68.62</v>
      </c>
      <c r="E239" s="4" t="s">
        <v>8</v>
      </c>
      <c r="F239" s="4">
        <f t="shared" si="9"/>
        <v>3</v>
      </c>
      <c r="G239" s="4" t="str">
        <f t="shared" si="10"/>
        <v>Brent Crude</v>
      </c>
      <c r="H239" s="25">
        <f t="shared" si="11"/>
        <v>68.62</v>
      </c>
      <c r="I239" s="25">
        <v>2.0903</v>
      </c>
      <c r="J239" s="88"/>
      <c r="K239" s="106">
        <f>Table1[[#This Row],[GasP]]-Table1[[#This Row],[Gasoline]]</f>
        <v>-2.0903</v>
      </c>
    </row>
    <row r="240" spans="1:11">
      <c r="A240" s="15">
        <v>44403</v>
      </c>
      <c r="B240" s="25">
        <v>72.64</v>
      </c>
      <c r="C240" s="25">
        <v>72.680000000000007</v>
      </c>
      <c r="D240" s="25">
        <v>73.59</v>
      </c>
      <c r="E240" s="4" t="s">
        <v>8</v>
      </c>
      <c r="F240" s="4">
        <f t="shared" si="9"/>
        <v>1</v>
      </c>
      <c r="G240" s="4" t="str">
        <f t="shared" si="10"/>
        <v>WTI Crude</v>
      </c>
      <c r="H240" s="25">
        <f t="shared" si="11"/>
        <v>72.64</v>
      </c>
      <c r="I240" s="25">
        <v>2.2345000000000002</v>
      </c>
      <c r="J240" s="88"/>
      <c r="K240" s="106">
        <f>Table1[[#This Row],[GasP]]-Table1[[#This Row],[Gasoline]]</f>
        <v>-2.2345000000000002</v>
      </c>
    </row>
    <row r="241" spans="1:11">
      <c r="A241" s="15">
        <v>44400</v>
      </c>
      <c r="B241" s="25">
        <v>72.55</v>
      </c>
      <c r="C241" s="25">
        <v>73.03</v>
      </c>
      <c r="D241" s="25">
        <v>73.47</v>
      </c>
      <c r="E241" s="4" t="s">
        <v>8</v>
      </c>
      <c r="F241" s="4">
        <f t="shared" si="9"/>
        <v>1</v>
      </c>
      <c r="G241" s="4" t="str">
        <f t="shared" si="10"/>
        <v>WTI Crude</v>
      </c>
      <c r="H241" s="25">
        <f t="shared" si="11"/>
        <v>72.55</v>
      </c>
      <c r="I241" s="25">
        <v>2.2317999999999998</v>
      </c>
      <c r="J241" s="88"/>
      <c r="K241" s="106">
        <f>Table1[[#This Row],[GasP]]-Table1[[#This Row],[Gasoline]]</f>
        <v>-2.2317999999999998</v>
      </c>
    </row>
    <row r="242" spans="1:11">
      <c r="A242" s="15">
        <v>44399</v>
      </c>
      <c r="B242" s="25">
        <v>73.31</v>
      </c>
      <c r="C242" s="25">
        <v>72.09</v>
      </c>
      <c r="D242" s="25">
        <v>74.760000000000005</v>
      </c>
      <c r="E242" s="4" t="s">
        <v>8</v>
      </c>
      <c r="F242" s="4">
        <f t="shared" si="9"/>
        <v>2</v>
      </c>
      <c r="G242" s="4" t="str">
        <f t="shared" si="10"/>
        <v>Opec Basket</v>
      </c>
      <c r="H242" s="25">
        <f t="shared" si="11"/>
        <v>72.09</v>
      </c>
      <c r="I242" s="25">
        <v>2.2722000000000002</v>
      </c>
      <c r="J242" s="88"/>
      <c r="K242" s="106">
        <f>Table1[[#This Row],[GasP]]-Table1[[#This Row],[Gasoline]]</f>
        <v>-2.2722000000000002</v>
      </c>
    </row>
    <row r="243" spans="1:11">
      <c r="A243" s="15">
        <v>44398</v>
      </c>
      <c r="B243" s="25">
        <v>74.599999999999994</v>
      </c>
      <c r="C243" s="25">
        <v>69.930000000000007</v>
      </c>
      <c r="D243" s="25">
        <v>76.489999999999995</v>
      </c>
      <c r="E243" s="4" t="s">
        <v>8</v>
      </c>
      <c r="F243" s="4">
        <f t="shared" si="9"/>
        <v>2</v>
      </c>
      <c r="G243" s="4" t="str">
        <f t="shared" si="10"/>
        <v>Opec Basket</v>
      </c>
      <c r="H243" s="25">
        <f t="shared" si="11"/>
        <v>69.930000000000007</v>
      </c>
      <c r="I243" s="25">
        <v>2.3016999999999999</v>
      </c>
      <c r="J243" s="88"/>
      <c r="K243" s="106">
        <f>Table1[[#This Row],[GasP]]-Table1[[#This Row],[Gasoline]]</f>
        <v>-2.3016999999999999</v>
      </c>
    </row>
    <row r="244" spans="1:11">
      <c r="A244" s="15">
        <v>44397</v>
      </c>
      <c r="B244" s="25">
        <v>73.790000000000006</v>
      </c>
      <c r="C244" s="25">
        <v>70.5</v>
      </c>
      <c r="D244" s="25">
        <v>75.16</v>
      </c>
      <c r="E244" s="4" t="s">
        <v>8</v>
      </c>
      <c r="F244" s="4">
        <f t="shared" si="9"/>
        <v>2</v>
      </c>
      <c r="G244" s="4" t="str">
        <f t="shared" si="10"/>
        <v>Opec Basket</v>
      </c>
      <c r="H244" s="25">
        <f t="shared" si="11"/>
        <v>70.5</v>
      </c>
      <c r="I244" s="25">
        <v>2.2772000000000001</v>
      </c>
      <c r="J244" s="88"/>
      <c r="K244" s="106">
        <f>Table1[[#This Row],[GasP]]-Table1[[#This Row],[Gasoline]]</f>
        <v>-2.2772000000000001</v>
      </c>
    </row>
    <row r="245" spans="1:11">
      <c r="A245" s="15">
        <v>44396</v>
      </c>
      <c r="B245" s="25">
        <v>74.09</v>
      </c>
      <c r="C245" s="25">
        <v>70.540000000000006</v>
      </c>
      <c r="D245" s="25">
        <v>75.55</v>
      </c>
      <c r="E245" s="4" t="s">
        <v>8</v>
      </c>
      <c r="F245" s="4">
        <f t="shared" si="9"/>
        <v>2</v>
      </c>
      <c r="G245" s="4" t="str">
        <f t="shared" si="10"/>
        <v>Opec Basket</v>
      </c>
      <c r="H245" s="25">
        <f t="shared" si="11"/>
        <v>70.540000000000006</v>
      </c>
      <c r="I245" s="25">
        <v>2.2919999999999998</v>
      </c>
      <c r="J245" s="88"/>
      <c r="K245" s="106">
        <f>Table1[[#This Row],[GasP]]-Table1[[#This Row],[Gasoline]]</f>
        <v>-2.2919999999999998</v>
      </c>
    </row>
    <row r="246" spans="1:11">
      <c r="A246" s="15">
        <v>44393</v>
      </c>
      <c r="B246" s="25">
        <v>72.87</v>
      </c>
      <c r="C246" s="25">
        <v>72.84</v>
      </c>
      <c r="D246" s="25">
        <v>74.12</v>
      </c>
      <c r="E246" s="4" t="s">
        <v>8</v>
      </c>
      <c r="F246" s="4">
        <f t="shared" si="9"/>
        <v>2</v>
      </c>
      <c r="G246" s="4" t="str">
        <f t="shared" si="10"/>
        <v>Opec Basket</v>
      </c>
      <c r="H246" s="25">
        <f t="shared" si="11"/>
        <v>72.84</v>
      </c>
      <c r="I246" s="25">
        <v>2.2551999999999999</v>
      </c>
      <c r="J246" s="88"/>
      <c r="K246" s="106">
        <f>Table1[[#This Row],[GasP]]-Table1[[#This Row],[Gasoline]]</f>
        <v>-2.2551999999999999</v>
      </c>
    </row>
    <row r="247" spans="1:11">
      <c r="A247" s="15">
        <v>44392</v>
      </c>
      <c r="B247" s="25">
        <v>72.27</v>
      </c>
      <c r="C247" s="25">
        <v>73.150000000000006</v>
      </c>
      <c r="D247" s="25">
        <v>73.430000000000007</v>
      </c>
      <c r="E247" s="4" t="s">
        <v>8</v>
      </c>
      <c r="F247" s="4">
        <f t="shared" si="9"/>
        <v>1</v>
      </c>
      <c r="G247" s="4" t="str">
        <f t="shared" si="10"/>
        <v>WTI Crude</v>
      </c>
      <c r="H247" s="25">
        <f t="shared" si="11"/>
        <v>72.27</v>
      </c>
      <c r="I247" s="25">
        <v>2.206</v>
      </c>
      <c r="J247" s="88"/>
      <c r="K247" s="106">
        <f>Table1[[#This Row],[GasP]]-Table1[[#This Row],[Gasoline]]</f>
        <v>-2.206</v>
      </c>
    </row>
    <row r="248" spans="1:11">
      <c r="A248" s="15">
        <v>44391</v>
      </c>
      <c r="B248" s="25">
        <v>73.239999999999995</v>
      </c>
      <c r="C248" s="25">
        <v>75.290000000000006</v>
      </c>
      <c r="D248" s="25">
        <v>74.53</v>
      </c>
      <c r="E248" s="4" t="s">
        <v>8</v>
      </c>
      <c r="F248" s="4">
        <f t="shared" si="9"/>
        <v>1</v>
      </c>
      <c r="G248" s="4" t="str">
        <f t="shared" si="10"/>
        <v>WTI Crude</v>
      </c>
      <c r="H248" s="25">
        <f t="shared" si="11"/>
        <v>73.239999999999995</v>
      </c>
      <c r="I248" s="25">
        <v>2.2282000000000002</v>
      </c>
      <c r="J248" s="88">
        <v>3.3</v>
      </c>
      <c r="K248" s="106">
        <f>Table1[[#This Row],[GasP]]-Table1[[#This Row],[Gasoline]]</f>
        <v>1.0717999999999996</v>
      </c>
    </row>
    <row r="249" spans="1:11">
      <c r="A249" s="15">
        <v>44390</v>
      </c>
      <c r="B249" s="25">
        <v>74.86</v>
      </c>
      <c r="C249" s="25">
        <v>75.13</v>
      </c>
      <c r="D249" s="25">
        <v>76.17</v>
      </c>
      <c r="E249" s="4" t="s">
        <v>8</v>
      </c>
      <c r="F249" s="4">
        <f t="shared" si="9"/>
        <v>1</v>
      </c>
      <c r="G249" s="4" t="str">
        <f t="shared" si="10"/>
        <v>WTI Crude</v>
      </c>
      <c r="H249" s="25">
        <f t="shared" si="11"/>
        <v>74.86</v>
      </c>
      <c r="I249" s="25">
        <v>2.2997999999999998</v>
      </c>
      <c r="J249" s="88"/>
      <c r="K249" s="106">
        <f>Table1[[#This Row],[GasP]]-Table1[[#This Row],[Gasoline]]</f>
        <v>-2.2997999999999998</v>
      </c>
    </row>
    <row r="250" spans="1:11">
      <c r="A250" s="15">
        <v>44389</v>
      </c>
      <c r="B250" s="25">
        <v>74.89</v>
      </c>
      <c r="C250" s="25">
        <v>74.33</v>
      </c>
      <c r="D250" s="25">
        <v>75.84</v>
      </c>
      <c r="E250" s="4" t="s">
        <v>8</v>
      </c>
      <c r="F250" s="4">
        <f t="shared" si="9"/>
        <v>2</v>
      </c>
      <c r="G250" s="4" t="str">
        <f t="shared" si="10"/>
        <v>Opec Basket</v>
      </c>
      <c r="H250" s="25">
        <f t="shared" si="11"/>
        <v>74.33</v>
      </c>
      <c r="I250" s="25">
        <v>2.2675999999999998</v>
      </c>
      <c r="J250" s="88"/>
      <c r="K250" s="106">
        <f>Table1[[#This Row],[GasP]]-Table1[[#This Row],[Gasoline]]</f>
        <v>-2.2675999999999998</v>
      </c>
    </row>
    <row r="251" spans="1:11">
      <c r="A251" s="15">
        <v>44386</v>
      </c>
      <c r="B251" s="25">
        <v>71.349999999999994</v>
      </c>
      <c r="C251" s="25">
        <v>74.180000000000007</v>
      </c>
      <c r="D251" s="25">
        <v>75.13</v>
      </c>
      <c r="E251" s="4" t="s">
        <v>8</v>
      </c>
      <c r="F251" s="4">
        <f t="shared" si="9"/>
        <v>1</v>
      </c>
      <c r="G251" s="4" t="str">
        <f t="shared" si="10"/>
        <v>WTI Crude</v>
      </c>
      <c r="H251" s="25">
        <f t="shared" si="11"/>
        <v>71.349999999999994</v>
      </c>
      <c r="I251" s="25">
        <v>2.2418</v>
      </c>
      <c r="J251" s="88"/>
      <c r="K251" s="106">
        <f>Table1[[#This Row],[GasP]]-Table1[[#This Row],[Gasoline]]</f>
        <v>-2.2418</v>
      </c>
    </row>
    <row r="252" spans="1:11">
      <c r="A252" s="15">
        <v>44385</v>
      </c>
      <c r="B252" s="25">
        <v>71.33</v>
      </c>
      <c r="C252" s="25">
        <v>71.97</v>
      </c>
      <c r="D252" s="25">
        <v>74.760000000000005</v>
      </c>
      <c r="E252" s="4" t="s">
        <v>8</v>
      </c>
      <c r="F252" s="4">
        <f t="shared" si="9"/>
        <v>1</v>
      </c>
      <c r="G252" s="4" t="str">
        <f t="shared" si="10"/>
        <v>WTI Crude</v>
      </c>
      <c r="H252" s="25">
        <f t="shared" si="11"/>
        <v>71.33</v>
      </c>
      <c r="I252" s="25">
        <v>2.2414999999999998</v>
      </c>
      <c r="J252" s="88"/>
      <c r="K252" s="106">
        <f>Table1[[#This Row],[GasP]]-Table1[[#This Row],[Gasoline]]</f>
        <v>-2.2414999999999998</v>
      </c>
    </row>
    <row r="253" spans="1:11">
      <c r="A253" s="15">
        <v>44384</v>
      </c>
      <c r="B253" s="25">
        <v>71.319999999999993</v>
      </c>
      <c r="C253" s="25">
        <v>73.58</v>
      </c>
      <c r="D253" s="25">
        <v>74.680000000000007</v>
      </c>
      <c r="E253" s="4" t="s">
        <v>8</v>
      </c>
      <c r="F253" s="4">
        <f t="shared" si="9"/>
        <v>1</v>
      </c>
      <c r="G253" s="4" t="str">
        <f t="shared" si="10"/>
        <v>WTI Crude</v>
      </c>
      <c r="H253" s="25">
        <f t="shared" si="11"/>
        <v>71.319999999999993</v>
      </c>
      <c r="I253" s="25">
        <v>2.2176999999999998</v>
      </c>
      <c r="J253" s="88"/>
      <c r="K253" s="106">
        <f>Table1[[#This Row],[GasP]]-Table1[[#This Row],[Gasoline]]</f>
        <v>-2.2176999999999998</v>
      </c>
    </row>
    <row r="254" spans="1:11">
      <c r="A254" s="15">
        <v>44383</v>
      </c>
      <c r="B254" s="25">
        <v>71.48</v>
      </c>
      <c r="C254" s="25">
        <v>75.94</v>
      </c>
      <c r="D254" s="25">
        <v>76.180000000000007</v>
      </c>
      <c r="E254" s="4" t="s">
        <v>8</v>
      </c>
      <c r="F254" s="4">
        <f t="shared" si="9"/>
        <v>1</v>
      </c>
      <c r="G254" s="4" t="str">
        <f t="shared" si="10"/>
        <v>WTI Crude</v>
      </c>
      <c r="H254" s="25">
        <f t="shared" si="11"/>
        <v>71.48</v>
      </c>
      <c r="I254" s="25">
        <v>2.2612000000000001</v>
      </c>
      <c r="J254" s="88"/>
      <c r="K254" s="106">
        <f>Table1[[#This Row],[GasP]]-Table1[[#This Row],[Gasoline]]</f>
        <v>-2.2612000000000001</v>
      </c>
    </row>
    <row r="255" spans="1:11">
      <c r="A255" s="15">
        <v>44382</v>
      </c>
      <c r="B255" s="25">
        <v>71.34</v>
      </c>
      <c r="C255" s="25">
        <v>75.709999999999994</v>
      </c>
      <c r="D255" s="25">
        <v>75.56</v>
      </c>
      <c r="E255" s="4" t="s">
        <v>8</v>
      </c>
      <c r="F255" s="4">
        <f t="shared" si="9"/>
        <v>1</v>
      </c>
      <c r="G255" s="4" t="str">
        <f t="shared" si="10"/>
        <v>WTI Crude</v>
      </c>
      <c r="H255" s="25">
        <f t="shared" si="11"/>
        <v>71.34</v>
      </c>
      <c r="I255" s="25">
        <v>2.2799999999999998</v>
      </c>
      <c r="J255" s="88"/>
      <c r="K255" s="106">
        <f>Table1[[#This Row],[GasP]]-Table1[[#This Row],[Gasoline]]</f>
        <v>-2.2799999999999998</v>
      </c>
    </row>
    <row r="256" spans="1:11">
      <c r="A256" s="15">
        <v>44379</v>
      </c>
      <c r="B256" s="25">
        <v>71.290000000000006</v>
      </c>
      <c r="C256" s="25">
        <v>75.209999999999994</v>
      </c>
      <c r="D256" s="25">
        <v>75.19</v>
      </c>
      <c r="E256" s="4" t="s">
        <v>8</v>
      </c>
      <c r="F256" s="4">
        <f t="shared" si="9"/>
        <v>1</v>
      </c>
      <c r="G256" s="4" t="str">
        <f t="shared" si="10"/>
        <v>WTI Crude</v>
      </c>
      <c r="H256" s="25">
        <f t="shared" si="11"/>
        <v>71.290000000000006</v>
      </c>
      <c r="I256" s="25">
        <v>2.2698999999999998</v>
      </c>
      <c r="J256" s="88">
        <v>2.89</v>
      </c>
      <c r="K256" s="106">
        <f>Table1[[#This Row],[GasP]]-Table1[[#This Row],[Gasoline]]</f>
        <v>0.62010000000000032</v>
      </c>
    </row>
    <row r="257" spans="1:11">
      <c r="A257" s="15">
        <v>44378</v>
      </c>
      <c r="B257" s="25">
        <v>71.23</v>
      </c>
      <c r="C257" s="25">
        <v>74.87</v>
      </c>
      <c r="D257" s="25">
        <v>74.81</v>
      </c>
      <c r="E257" s="4">
        <v>58.46</v>
      </c>
      <c r="F257" s="4">
        <f t="shared" si="9"/>
        <v>4</v>
      </c>
      <c r="G257" s="4" t="str">
        <f t="shared" si="10"/>
        <v>WCS</v>
      </c>
      <c r="H257" s="25">
        <f t="shared" si="11"/>
        <v>58.46</v>
      </c>
      <c r="I257" s="25">
        <v>2.2301000000000002</v>
      </c>
      <c r="J257" s="88"/>
      <c r="K257" s="106">
        <f>Table1[[#This Row],[GasP]]-Table1[[#This Row],[Gasoline]]</f>
        <v>-2.2301000000000002</v>
      </c>
    </row>
    <row r="258" spans="1:11">
      <c r="A258" s="15">
        <v>44377</v>
      </c>
      <c r="B258" s="25">
        <v>71.33</v>
      </c>
      <c r="C258" s="25">
        <v>73.599999999999994</v>
      </c>
      <c r="D258" s="25">
        <v>74.900000000000006</v>
      </c>
      <c r="F258" s="4">
        <f t="shared" ref="F258:F321" si="12">IF(MIN(B258:E258)=B258,1,IF(MIN(B258:E258)=C258,2,IF(MIN(B258:E258)=D258,3,IF(MIN(B258:E258)=E258,4,))))</f>
        <v>1</v>
      </c>
      <c r="G258" s="4" t="str">
        <f t="shared" ref="G258:G321" si="13">IF(MIN(B258:E258)=B258,$B$1,IF(MIN(B258:E258)=C258,$C$1,IF(MIN(B258:E258)=D258,$D$1,IF(MIN(B258:E258)=E258,$E$1,))))</f>
        <v>WTI Crude</v>
      </c>
      <c r="H258" s="25">
        <f t="shared" ref="H258:H321" si="14">IF(MIN(B258:E258)=B258,B258,IF(MIN(B258:E258)=C258,C258,IF(MIN(B258:E258)=D258,D258,IF(MIN(B258:E258)=E258,E258,))))</f>
        <v>71.33</v>
      </c>
      <c r="I258" s="25">
        <v>2.2031000000000001</v>
      </c>
      <c r="J258" s="88"/>
      <c r="K258" s="106">
        <f>Table1[[#This Row],[GasP]]-Table1[[#This Row],[Gasoline]]</f>
        <v>-2.2031000000000001</v>
      </c>
    </row>
    <row r="259" spans="1:11">
      <c r="A259" s="15">
        <v>44376</v>
      </c>
      <c r="B259" s="25">
        <v>70.650000000000006</v>
      </c>
      <c r="C259" s="25">
        <v>73.34</v>
      </c>
      <c r="D259" s="25">
        <v>73.510000000000005</v>
      </c>
      <c r="F259" s="4">
        <f t="shared" si="12"/>
        <v>1</v>
      </c>
      <c r="G259" s="4" t="str">
        <f t="shared" si="13"/>
        <v>WTI Crude</v>
      </c>
      <c r="H259" s="25">
        <f t="shared" si="14"/>
        <v>70.650000000000006</v>
      </c>
      <c r="I259" s="25">
        <v>2.1739999999999999</v>
      </c>
      <c r="J259" s="88"/>
      <c r="K259" s="106">
        <f>Table1[[#This Row],[GasP]]-Table1[[#This Row],[Gasoline]]</f>
        <v>-2.1739999999999999</v>
      </c>
    </row>
    <row r="260" spans="1:11">
      <c r="A260" s="15">
        <v>44375</v>
      </c>
      <c r="B260" s="25">
        <v>70.430000000000007</v>
      </c>
      <c r="C260" s="25">
        <v>73.84</v>
      </c>
      <c r="D260" s="25">
        <v>73.08</v>
      </c>
      <c r="F260" s="4">
        <f t="shared" si="12"/>
        <v>1</v>
      </c>
      <c r="G260" s="4" t="str">
        <f t="shared" si="13"/>
        <v>WTI Crude</v>
      </c>
      <c r="H260" s="25">
        <f t="shared" si="14"/>
        <v>70.430000000000007</v>
      </c>
      <c r="I260" s="25">
        <v>2.1387999999999998</v>
      </c>
      <c r="J260" s="88"/>
      <c r="K260" s="106">
        <f>Table1[[#This Row],[GasP]]-Table1[[#This Row],[Gasoline]]</f>
        <v>-2.1387999999999998</v>
      </c>
    </row>
    <row r="261" spans="1:11">
      <c r="A261" s="15">
        <v>44372</v>
      </c>
      <c r="B261" s="25">
        <v>70.95</v>
      </c>
      <c r="C261" s="25">
        <v>74.19</v>
      </c>
      <c r="D261" s="25">
        <v>74.39</v>
      </c>
      <c r="F261" s="4">
        <f t="shared" si="12"/>
        <v>1</v>
      </c>
      <c r="G261" s="4" t="str">
        <f t="shared" si="13"/>
        <v>WTI Crude</v>
      </c>
      <c r="H261" s="25">
        <f t="shared" si="14"/>
        <v>70.95</v>
      </c>
      <c r="I261" s="25">
        <v>2.16</v>
      </c>
      <c r="J261" s="88"/>
      <c r="K261" s="106">
        <f>Table1[[#This Row],[GasP]]-Table1[[#This Row],[Gasoline]]</f>
        <v>-2.16</v>
      </c>
    </row>
    <row r="262" spans="1:11">
      <c r="A262" s="15">
        <v>44371</v>
      </c>
      <c r="B262" s="25">
        <v>70.92</v>
      </c>
      <c r="C262" s="25">
        <v>74.09</v>
      </c>
      <c r="D262" s="25">
        <v>73.989999999999995</v>
      </c>
      <c r="F262" s="4">
        <f t="shared" si="12"/>
        <v>1</v>
      </c>
      <c r="G262" s="4" t="str">
        <f t="shared" si="13"/>
        <v>WTI Crude</v>
      </c>
      <c r="H262" s="25">
        <f t="shared" si="14"/>
        <v>70.92</v>
      </c>
      <c r="I262" s="25">
        <v>2.1728999999999998</v>
      </c>
      <c r="J262" s="88"/>
      <c r="K262" s="106">
        <f>Table1[[#This Row],[GasP]]-Table1[[#This Row],[Gasoline]]</f>
        <v>-2.1728999999999998</v>
      </c>
    </row>
    <row r="263" spans="1:11">
      <c r="A263" s="15">
        <v>44370</v>
      </c>
      <c r="B263" s="25">
        <v>70.239999999999995</v>
      </c>
      <c r="C263" s="25">
        <v>74.010000000000005</v>
      </c>
      <c r="D263" s="25">
        <v>72.86</v>
      </c>
      <c r="F263" s="4">
        <f t="shared" si="12"/>
        <v>1</v>
      </c>
      <c r="G263" s="4" t="str">
        <f t="shared" si="13"/>
        <v>WTI Crude</v>
      </c>
      <c r="H263" s="25">
        <f t="shared" si="14"/>
        <v>70.239999999999995</v>
      </c>
      <c r="I263" s="25">
        <v>2.173</v>
      </c>
      <c r="J263" s="88"/>
      <c r="K263" s="106">
        <f>Table1[[#This Row],[GasP]]-Table1[[#This Row],[Gasoline]]</f>
        <v>-2.173</v>
      </c>
    </row>
    <row r="264" spans="1:11">
      <c r="A264" s="15">
        <v>44369</v>
      </c>
      <c r="B264" s="25">
        <v>70.25</v>
      </c>
      <c r="C264" s="25">
        <v>73.13</v>
      </c>
      <c r="D264" s="25">
        <v>72.69</v>
      </c>
      <c r="F264" s="4">
        <f t="shared" si="12"/>
        <v>1</v>
      </c>
      <c r="G264" s="4" t="str">
        <f t="shared" si="13"/>
        <v>WTI Crude</v>
      </c>
      <c r="H264" s="25">
        <f t="shared" si="14"/>
        <v>70.25</v>
      </c>
      <c r="I264" s="25">
        <v>2.1861000000000002</v>
      </c>
      <c r="J264" s="88"/>
      <c r="K264" s="106">
        <f>Table1[[#This Row],[GasP]]-Table1[[#This Row],[Gasoline]]</f>
        <v>-2.1861000000000002</v>
      </c>
    </row>
    <row r="265" spans="1:11">
      <c r="A265" s="15">
        <v>44368</v>
      </c>
      <c r="B265" s="25">
        <v>69.88</v>
      </c>
      <c r="C265" s="25">
        <v>72.45</v>
      </c>
      <c r="D265" s="25">
        <v>72.52</v>
      </c>
      <c r="F265" s="4">
        <f t="shared" si="12"/>
        <v>1</v>
      </c>
      <c r="G265" s="4" t="str">
        <f t="shared" si="13"/>
        <v>WTI Crude</v>
      </c>
      <c r="H265" s="25">
        <f t="shared" si="14"/>
        <v>69.88</v>
      </c>
      <c r="I265" s="25">
        <v>2.2122000000000002</v>
      </c>
      <c r="J265" s="88"/>
      <c r="K265" s="106">
        <f>Table1[[#This Row],[GasP]]-Table1[[#This Row],[Gasoline]]</f>
        <v>-2.2122000000000002</v>
      </c>
    </row>
    <row r="266" spans="1:11">
      <c r="A266" s="15">
        <v>44365</v>
      </c>
      <c r="B266" s="25">
        <v>69.66</v>
      </c>
      <c r="C266" s="25">
        <v>71.56</v>
      </c>
      <c r="D266" s="25">
        <v>72.03</v>
      </c>
      <c r="F266" s="4">
        <f t="shared" si="12"/>
        <v>1</v>
      </c>
      <c r="G266" s="4" t="str">
        <f t="shared" si="13"/>
        <v>WTI Crude</v>
      </c>
      <c r="H266" s="25">
        <f t="shared" si="14"/>
        <v>69.66</v>
      </c>
      <c r="I266" s="25">
        <v>2.2025000000000001</v>
      </c>
      <c r="J266" s="88"/>
      <c r="K266" s="106">
        <f>Table1[[#This Row],[GasP]]-Table1[[#This Row],[Gasoline]]</f>
        <v>-2.2025000000000001</v>
      </c>
    </row>
    <row r="267" spans="1:11">
      <c r="A267" s="15">
        <v>44364</v>
      </c>
      <c r="B267" s="25">
        <v>69.73</v>
      </c>
      <c r="C267" s="25">
        <v>72.290000000000006</v>
      </c>
      <c r="D267" s="25">
        <v>72.22</v>
      </c>
      <c r="F267" s="4">
        <f t="shared" si="12"/>
        <v>1</v>
      </c>
      <c r="G267" s="4" t="str">
        <f t="shared" si="13"/>
        <v>WTI Crude</v>
      </c>
      <c r="H267" s="25">
        <f t="shared" si="14"/>
        <v>69.73</v>
      </c>
      <c r="I267" s="25">
        <v>2.2189999999999999</v>
      </c>
      <c r="J267" s="88"/>
      <c r="K267" s="106">
        <f>Table1[[#This Row],[GasP]]-Table1[[#This Row],[Gasoline]]</f>
        <v>-2.2189999999999999</v>
      </c>
    </row>
    <row r="268" spans="1:11">
      <c r="A268" s="15">
        <v>44363</v>
      </c>
      <c r="B268" s="25">
        <v>69.09</v>
      </c>
      <c r="C268" s="25">
        <v>73.16</v>
      </c>
      <c r="D268" s="25">
        <v>71.489999999999995</v>
      </c>
      <c r="F268" s="4">
        <f t="shared" si="12"/>
        <v>1</v>
      </c>
      <c r="G268" s="4" t="str">
        <f t="shared" si="13"/>
        <v>WTI Crude</v>
      </c>
      <c r="H268" s="25">
        <f t="shared" si="14"/>
        <v>69.09</v>
      </c>
      <c r="I268" s="25">
        <v>2.1930999999999998</v>
      </c>
      <c r="J268" s="88"/>
      <c r="K268" s="106">
        <f>Table1[[#This Row],[GasP]]-Table1[[#This Row],[Gasoline]]</f>
        <v>-2.1930999999999998</v>
      </c>
    </row>
    <row r="269" spans="1:11">
      <c r="A269" s="15">
        <v>44362</v>
      </c>
      <c r="B269" s="25">
        <v>69.400000000000006</v>
      </c>
      <c r="C269" s="25">
        <v>72.05</v>
      </c>
      <c r="D269" s="25">
        <v>71.89</v>
      </c>
      <c r="F269" s="4">
        <f t="shared" si="12"/>
        <v>1</v>
      </c>
      <c r="G269" s="4" t="str">
        <f t="shared" si="13"/>
        <v>WTI Crude</v>
      </c>
      <c r="H269" s="25">
        <f t="shared" si="14"/>
        <v>69.400000000000006</v>
      </c>
      <c r="I269" s="25">
        <v>2.2115</v>
      </c>
      <c r="J269" s="88"/>
      <c r="K269" s="106">
        <f>Table1[[#This Row],[GasP]]-Table1[[#This Row],[Gasoline]]</f>
        <v>-2.2115</v>
      </c>
    </row>
    <row r="270" spans="1:11">
      <c r="A270" s="15">
        <v>44361</v>
      </c>
      <c r="B270" s="25">
        <v>68.7</v>
      </c>
      <c r="C270" s="25">
        <v>71.989999999999995</v>
      </c>
      <c r="D270" s="25">
        <v>71.31</v>
      </c>
      <c r="F270" s="4">
        <f t="shared" si="12"/>
        <v>1</v>
      </c>
      <c r="G270" s="4" t="str">
        <f t="shared" si="13"/>
        <v>WTI Crude</v>
      </c>
      <c r="H270" s="25">
        <f t="shared" si="14"/>
        <v>68.7</v>
      </c>
      <c r="I270" s="25">
        <v>2.2018</v>
      </c>
      <c r="J270" s="88"/>
      <c r="K270" s="106">
        <f>Table1[[#This Row],[GasP]]-Table1[[#This Row],[Gasoline]]</f>
        <v>-2.2018</v>
      </c>
    </row>
    <row r="271" spans="1:11">
      <c r="A271" s="15">
        <v>44358</v>
      </c>
      <c r="B271" s="25">
        <v>68.73</v>
      </c>
      <c r="C271" s="25">
        <v>71.31</v>
      </c>
      <c r="D271" s="25">
        <v>71.349999999999994</v>
      </c>
      <c r="F271" s="4">
        <f t="shared" si="12"/>
        <v>1</v>
      </c>
      <c r="G271" s="4" t="str">
        <f t="shared" si="13"/>
        <v>WTI Crude</v>
      </c>
      <c r="H271" s="25">
        <f t="shared" si="14"/>
        <v>68.73</v>
      </c>
      <c r="I271" s="25">
        <v>2.1941000000000002</v>
      </c>
      <c r="J271" s="88"/>
      <c r="K271" s="106">
        <f>Table1[[#This Row],[GasP]]-Table1[[#This Row],[Gasoline]]</f>
        <v>-2.1941000000000002</v>
      </c>
    </row>
    <row r="272" spans="1:11">
      <c r="A272" s="15">
        <v>44357</v>
      </c>
      <c r="B272" s="25">
        <v>67.67</v>
      </c>
      <c r="C272" s="25">
        <v>70.900000000000006</v>
      </c>
      <c r="D272" s="25">
        <v>70.25</v>
      </c>
      <c r="F272" s="4">
        <f t="shared" si="12"/>
        <v>1</v>
      </c>
      <c r="G272" s="4" t="str">
        <f t="shared" si="13"/>
        <v>WTI Crude</v>
      </c>
      <c r="H272" s="25">
        <f t="shared" si="14"/>
        <v>67.67</v>
      </c>
      <c r="I272" s="25">
        <v>2.1703999999999999</v>
      </c>
      <c r="J272" s="88"/>
      <c r="K272" s="106">
        <f>Table1[[#This Row],[GasP]]-Table1[[#This Row],[Gasoline]]</f>
        <v>-2.1703999999999999</v>
      </c>
    </row>
    <row r="273" spans="1:11">
      <c r="A273" s="15">
        <v>44356</v>
      </c>
      <c r="B273" s="25">
        <v>65.16</v>
      </c>
      <c r="C273" s="25">
        <v>71.209999999999994</v>
      </c>
      <c r="D273" s="25">
        <v>69.63</v>
      </c>
      <c r="F273" s="4">
        <f t="shared" si="12"/>
        <v>1</v>
      </c>
      <c r="G273" s="4" t="str">
        <f t="shared" si="13"/>
        <v>WTI Crude</v>
      </c>
      <c r="H273" s="25">
        <f t="shared" si="14"/>
        <v>65.16</v>
      </c>
      <c r="I273" s="25">
        <v>2.1368999999999998</v>
      </c>
      <c r="J273" s="88">
        <v>2.9</v>
      </c>
      <c r="K273" s="106">
        <f>Table1[[#This Row],[GasP]]-Table1[[#This Row],[Gasoline]]</f>
        <v>0.76310000000000011</v>
      </c>
    </row>
    <row r="274" spans="1:11">
      <c r="A274" s="15">
        <v>44355</v>
      </c>
      <c r="B274" s="25">
        <v>65.180000000000007</v>
      </c>
      <c r="C274" s="25">
        <v>69.83</v>
      </c>
      <c r="D274" s="25">
        <v>69.459999999999994</v>
      </c>
      <c r="F274" s="4">
        <f t="shared" si="12"/>
        <v>1</v>
      </c>
      <c r="G274" s="4" t="str">
        <f t="shared" si="13"/>
        <v>WTI Crude</v>
      </c>
      <c r="H274" s="25">
        <f t="shared" si="14"/>
        <v>65.180000000000007</v>
      </c>
      <c r="I274" s="25">
        <v>2.1551999999999998</v>
      </c>
      <c r="J274" s="88"/>
      <c r="K274" s="106">
        <f>Table1[[#This Row],[GasP]]-Table1[[#This Row],[Gasoline]]</f>
        <v>-2.1551999999999998</v>
      </c>
    </row>
    <row r="275" spans="1:11">
      <c r="A275" s="15">
        <v>44354</v>
      </c>
      <c r="B275" s="25">
        <v>65.12</v>
      </c>
      <c r="C275" s="25">
        <v>70.150000000000006</v>
      </c>
      <c r="D275" s="25">
        <v>68.87</v>
      </c>
      <c r="F275" s="4">
        <f t="shared" si="12"/>
        <v>1</v>
      </c>
      <c r="G275" s="4" t="str">
        <f t="shared" si="13"/>
        <v>WTI Crude</v>
      </c>
      <c r="H275" s="25">
        <f t="shared" si="14"/>
        <v>65.12</v>
      </c>
      <c r="I275" s="25">
        <v>2.1511999999999998</v>
      </c>
      <c r="J275" s="88">
        <v>2.83</v>
      </c>
      <c r="K275" s="106">
        <f>Table1[[#This Row],[GasP]]-Table1[[#This Row],[Gasoline]]</f>
        <v>0.67880000000000029</v>
      </c>
    </row>
    <row r="276" spans="1:11">
      <c r="A276" s="15">
        <v>44351</v>
      </c>
      <c r="B276" s="25">
        <v>65.099999999999994</v>
      </c>
      <c r="C276" s="25">
        <v>70.23</v>
      </c>
      <c r="D276" s="25">
        <v>68.650000000000006</v>
      </c>
      <c r="F276" s="4">
        <f t="shared" si="12"/>
        <v>1</v>
      </c>
      <c r="G276" s="4" t="str">
        <f t="shared" si="13"/>
        <v>WTI Crude</v>
      </c>
      <c r="H276" s="25">
        <f t="shared" si="14"/>
        <v>65.099999999999994</v>
      </c>
      <c r="I276" s="25">
        <v>2.1229</v>
      </c>
      <c r="J276" s="88"/>
      <c r="K276" s="106">
        <f>Table1[[#This Row],[GasP]]-Table1[[#This Row],[Gasoline]]</f>
        <v>-2.1229</v>
      </c>
    </row>
    <row r="277" spans="1:11">
      <c r="A277" s="15">
        <v>44350</v>
      </c>
      <c r="B277" s="25">
        <v>65.09</v>
      </c>
      <c r="C277" s="25">
        <v>69.91</v>
      </c>
      <c r="D277" s="25">
        <v>68.459999999999994</v>
      </c>
      <c r="F277" s="4">
        <f t="shared" si="12"/>
        <v>1</v>
      </c>
      <c r="G277" s="4" t="str">
        <f t="shared" si="13"/>
        <v>WTI Crude</v>
      </c>
      <c r="H277" s="25">
        <f t="shared" si="14"/>
        <v>65.09</v>
      </c>
      <c r="I277" s="25">
        <v>2.1217000000000001</v>
      </c>
      <c r="J277" s="88"/>
      <c r="K277" s="106">
        <f>Table1[[#This Row],[GasP]]-Table1[[#This Row],[Gasoline]]</f>
        <v>-2.1217000000000001</v>
      </c>
    </row>
    <row r="278" spans="1:11">
      <c r="A278" s="15">
        <v>44349</v>
      </c>
      <c r="B278" s="25">
        <v>64.48</v>
      </c>
      <c r="C278" s="25">
        <v>69.39</v>
      </c>
      <c r="D278" s="25">
        <v>66.44</v>
      </c>
      <c r="F278" s="4">
        <f t="shared" si="12"/>
        <v>1</v>
      </c>
      <c r="G278" s="4" t="str">
        <f t="shared" si="13"/>
        <v>WTI Crude</v>
      </c>
      <c r="H278" s="25">
        <f t="shared" si="14"/>
        <v>64.48</v>
      </c>
      <c r="I278" s="25">
        <v>2.0709</v>
      </c>
      <c r="J278" s="88"/>
      <c r="K278" s="106">
        <f>Table1[[#This Row],[GasP]]-Table1[[#This Row],[Gasoline]]</f>
        <v>-2.0709</v>
      </c>
    </row>
    <row r="279" spans="1:11">
      <c r="A279" s="15">
        <v>44348</v>
      </c>
      <c r="B279" s="25">
        <v>63.99</v>
      </c>
      <c r="C279" s="25">
        <v>69.03</v>
      </c>
      <c r="D279" s="25">
        <v>65.11</v>
      </c>
      <c r="E279" s="4">
        <v>58.46</v>
      </c>
      <c r="F279" s="4">
        <f t="shared" si="12"/>
        <v>4</v>
      </c>
      <c r="G279" s="4" t="str">
        <f t="shared" si="13"/>
        <v>WCS</v>
      </c>
      <c r="H279" s="25">
        <f t="shared" si="14"/>
        <v>58.46</v>
      </c>
      <c r="I279" s="25">
        <v>2.0461999999999998</v>
      </c>
      <c r="J279" s="88"/>
      <c r="K279" s="106">
        <f>Table1[[#This Row],[GasP]]-Table1[[#This Row],[Gasoline]]</f>
        <v>-2.0461999999999998</v>
      </c>
    </row>
    <row r="280" spans="1:11">
      <c r="A280" s="15">
        <v>44347</v>
      </c>
      <c r="B280" s="25">
        <v>64.47</v>
      </c>
      <c r="C280" s="25">
        <v>68.53</v>
      </c>
      <c r="D280" s="25">
        <v>66.66</v>
      </c>
      <c r="F280" s="4">
        <f t="shared" si="12"/>
        <v>1</v>
      </c>
      <c r="G280" s="4" t="str">
        <f t="shared" si="13"/>
        <v>WTI Crude</v>
      </c>
      <c r="H280" s="25">
        <f t="shared" si="14"/>
        <v>64.47</v>
      </c>
      <c r="I280" s="25">
        <v>2.0979000000000001</v>
      </c>
      <c r="J280" s="88"/>
      <c r="K280" s="106">
        <f>Table1[[#This Row],[GasP]]-Table1[[#This Row],[Gasoline]]</f>
        <v>-2.0979000000000001</v>
      </c>
    </row>
    <row r="281" spans="1:11">
      <c r="A281" s="15">
        <v>44344</v>
      </c>
      <c r="B281" s="25">
        <v>65.33</v>
      </c>
      <c r="C281" s="25">
        <v>68.2</v>
      </c>
      <c r="D281" s="25">
        <v>68.709999999999994</v>
      </c>
      <c r="F281" s="4">
        <f t="shared" si="12"/>
        <v>1</v>
      </c>
      <c r="G281" s="4" t="str">
        <f t="shared" si="13"/>
        <v>WTI Crude</v>
      </c>
      <c r="H281" s="25">
        <f t="shared" si="14"/>
        <v>65.33</v>
      </c>
      <c r="I281" s="25">
        <v>2.1554000000000002</v>
      </c>
      <c r="J281" s="88"/>
      <c r="K281" s="106">
        <f>Table1[[#This Row],[GasP]]-Table1[[#This Row],[Gasoline]]</f>
        <v>-2.1554000000000002</v>
      </c>
    </row>
    <row r="282" spans="1:11">
      <c r="A282" s="15">
        <v>44343</v>
      </c>
      <c r="B282" s="25">
        <v>65.680000000000007</v>
      </c>
      <c r="C282" s="25">
        <v>67.319999999999993</v>
      </c>
      <c r="D282" s="25">
        <v>69.459999999999994</v>
      </c>
      <c r="F282" s="4">
        <f t="shared" si="12"/>
        <v>1</v>
      </c>
      <c r="G282" s="4" t="str">
        <f t="shared" si="13"/>
        <v>WTI Crude</v>
      </c>
      <c r="H282" s="25">
        <f t="shared" si="14"/>
        <v>65.680000000000007</v>
      </c>
      <c r="I282" s="25">
        <v>2.1536</v>
      </c>
      <c r="J282" s="88"/>
      <c r="K282" s="106">
        <f>Table1[[#This Row],[GasP]]-Table1[[#This Row],[Gasoline]]</f>
        <v>-2.1536</v>
      </c>
    </row>
    <row r="283" spans="1:11">
      <c r="A283" s="15">
        <v>44342</v>
      </c>
      <c r="B283" s="25">
        <v>65.23</v>
      </c>
      <c r="C283" s="25">
        <v>67.47</v>
      </c>
      <c r="D283" s="25">
        <v>68.709999999999994</v>
      </c>
      <c r="F283" s="4">
        <f t="shared" si="12"/>
        <v>1</v>
      </c>
      <c r="G283" s="4" t="str">
        <f t="shared" si="13"/>
        <v>WTI Crude</v>
      </c>
      <c r="H283" s="25">
        <f t="shared" si="14"/>
        <v>65.23</v>
      </c>
      <c r="I283" s="25">
        <v>2.1223999999999998</v>
      </c>
      <c r="J283" s="88"/>
      <c r="K283" s="106">
        <f>Table1[[#This Row],[GasP]]-Table1[[#This Row],[Gasoline]]</f>
        <v>-2.1223999999999998</v>
      </c>
    </row>
    <row r="284" spans="1:11">
      <c r="A284" s="15">
        <v>44341</v>
      </c>
      <c r="B284" s="25">
        <v>64.38</v>
      </c>
      <c r="C284" s="25">
        <v>67.41</v>
      </c>
      <c r="D284" s="25">
        <v>67.05</v>
      </c>
      <c r="F284" s="4">
        <f t="shared" si="12"/>
        <v>1</v>
      </c>
      <c r="G284" s="4" t="str">
        <f t="shared" si="13"/>
        <v>WTI Crude</v>
      </c>
      <c r="H284" s="25">
        <f t="shared" si="14"/>
        <v>64.38</v>
      </c>
      <c r="I284" s="25">
        <v>2.093</v>
      </c>
      <c r="J284" s="88"/>
      <c r="K284" s="106">
        <f>Table1[[#This Row],[GasP]]-Table1[[#This Row],[Gasoline]]</f>
        <v>-2.093</v>
      </c>
    </row>
    <row r="285" spans="1:11">
      <c r="A285" s="15">
        <v>44340</v>
      </c>
      <c r="B285" s="25">
        <v>65.739999999999995</v>
      </c>
      <c r="C285" s="25">
        <v>66.930000000000007</v>
      </c>
      <c r="D285" s="25">
        <v>69.319999999999993</v>
      </c>
      <c r="F285" s="4">
        <f t="shared" si="12"/>
        <v>1</v>
      </c>
      <c r="G285" s="4" t="str">
        <f t="shared" si="13"/>
        <v>WTI Crude</v>
      </c>
      <c r="H285" s="25">
        <f t="shared" si="14"/>
        <v>65.739999999999995</v>
      </c>
      <c r="I285" s="25">
        <v>2.161</v>
      </c>
      <c r="J285" s="88"/>
      <c r="K285" s="106">
        <f>Table1[[#This Row],[GasP]]-Table1[[#This Row],[Gasoline]]</f>
        <v>-2.161</v>
      </c>
    </row>
    <row r="286" spans="1:11">
      <c r="A286" s="15">
        <v>44337</v>
      </c>
      <c r="B286" s="25">
        <v>65.22</v>
      </c>
      <c r="C286" s="25">
        <v>64.180000000000007</v>
      </c>
      <c r="D286" s="25">
        <v>68.55</v>
      </c>
      <c r="F286" s="4">
        <f t="shared" si="12"/>
        <v>2</v>
      </c>
      <c r="G286" s="4" t="str">
        <f t="shared" si="13"/>
        <v>Opec Basket</v>
      </c>
      <c r="H286" s="25">
        <f t="shared" si="14"/>
        <v>64.180000000000007</v>
      </c>
      <c r="I286" s="25">
        <v>2.1398999999999999</v>
      </c>
      <c r="J286" s="88"/>
      <c r="K286" s="106">
        <f>Table1[[#This Row],[GasP]]-Table1[[#This Row],[Gasoline]]</f>
        <v>-2.1398999999999999</v>
      </c>
    </row>
    <row r="287" spans="1:11">
      <c r="A287" s="15">
        <v>44336</v>
      </c>
      <c r="B287" s="25">
        <v>64.959999999999994</v>
      </c>
      <c r="C287" s="25">
        <v>65.290000000000006</v>
      </c>
      <c r="D287" s="25">
        <v>68.319999999999993</v>
      </c>
      <c r="F287" s="4">
        <f t="shared" si="12"/>
        <v>1</v>
      </c>
      <c r="G287" s="4" t="str">
        <f t="shared" si="13"/>
        <v>WTI Crude</v>
      </c>
      <c r="H287" s="25">
        <f t="shared" si="14"/>
        <v>64.959999999999994</v>
      </c>
      <c r="I287" s="25">
        <v>2.1334</v>
      </c>
      <c r="J287" s="88"/>
      <c r="K287" s="106">
        <f>Table1[[#This Row],[GasP]]-Table1[[#This Row],[Gasoline]]</f>
        <v>-2.1334</v>
      </c>
    </row>
    <row r="288" spans="1:11">
      <c r="A288" s="15">
        <v>44335</v>
      </c>
      <c r="B288" s="25">
        <v>64.94</v>
      </c>
      <c r="C288" s="25">
        <v>65.95</v>
      </c>
      <c r="D288" s="25">
        <v>68.28</v>
      </c>
      <c r="F288" s="4">
        <f t="shared" si="12"/>
        <v>1</v>
      </c>
      <c r="G288" s="4" t="str">
        <f t="shared" si="13"/>
        <v>WTI Crude</v>
      </c>
      <c r="H288" s="25">
        <f t="shared" si="14"/>
        <v>64.94</v>
      </c>
      <c r="I288" s="25">
        <v>2.1269</v>
      </c>
      <c r="J288" s="88"/>
      <c r="K288" s="106">
        <f>Table1[[#This Row],[GasP]]-Table1[[#This Row],[Gasoline]]</f>
        <v>-2.1269</v>
      </c>
    </row>
    <row r="289" spans="1:11">
      <c r="A289" s="15">
        <v>44334</v>
      </c>
      <c r="B289" s="25">
        <v>64.78</v>
      </c>
      <c r="C289" s="25">
        <v>68.39</v>
      </c>
      <c r="D289" s="25">
        <v>68.09</v>
      </c>
      <c r="F289" s="4">
        <f t="shared" si="12"/>
        <v>1</v>
      </c>
      <c r="G289" s="4" t="str">
        <f t="shared" si="13"/>
        <v>WTI Crude</v>
      </c>
      <c r="H289" s="25">
        <f t="shared" si="14"/>
        <v>64.78</v>
      </c>
      <c r="I289" s="25">
        <v>2.1137000000000001</v>
      </c>
      <c r="J289" s="88"/>
      <c r="K289" s="106">
        <f>Table1[[#This Row],[GasP]]-Table1[[#This Row],[Gasoline]]</f>
        <v>-2.1137000000000001</v>
      </c>
    </row>
    <row r="290" spans="1:11">
      <c r="A290" s="15">
        <v>44333</v>
      </c>
      <c r="B290" s="25">
        <v>65.56</v>
      </c>
      <c r="C290" s="25">
        <v>67.52</v>
      </c>
      <c r="D290" s="25">
        <v>68.959999999999994</v>
      </c>
      <c r="F290" s="4">
        <f t="shared" si="12"/>
        <v>1</v>
      </c>
      <c r="G290" s="4" t="str">
        <f t="shared" si="13"/>
        <v>WTI Crude</v>
      </c>
      <c r="H290" s="25">
        <f t="shared" si="14"/>
        <v>65.56</v>
      </c>
      <c r="I290" s="25">
        <v>2.1513</v>
      </c>
      <c r="J290" s="88"/>
      <c r="K290" s="106">
        <f>Table1[[#This Row],[GasP]]-Table1[[#This Row],[Gasoline]]</f>
        <v>-2.1513</v>
      </c>
    </row>
    <row r="291" spans="1:11">
      <c r="A291" s="15">
        <v>44330</v>
      </c>
      <c r="B291" s="25">
        <v>65.61</v>
      </c>
      <c r="C291" s="25">
        <v>66.16</v>
      </c>
      <c r="D291" s="25">
        <v>68.88</v>
      </c>
      <c r="F291" s="4">
        <f t="shared" si="12"/>
        <v>1</v>
      </c>
      <c r="G291" s="4" t="str">
        <f t="shared" si="13"/>
        <v>WTI Crude</v>
      </c>
      <c r="H291" s="25">
        <f t="shared" si="14"/>
        <v>65.61</v>
      </c>
      <c r="I291" s="25">
        <v>2.1511999999999998</v>
      </c>
      <c r="J291" s="88"/>
      <c r="K291" s="106">
        <f>Table1[[#This Row],[GasP]]-Table1[[#This Row],[Gasoline]]</f>
        <v>-2.1511999999999998</v>
      </c>
    </row>
    <row r="292" spans="1:11">
      <c r="A292" s="15">
        <v>44329</v>
      </c>
      <c r="B292" s="25">
        <v>64.47</v>
      </c>
      <c r="C292" s="25">
        <v>66.78</v>
      </c>
      <c r="D292" s="25">
        <v>67.56</v>
      </c>
      <c r="F292" s="4">
        <f t="shared" si="12"/>
        <v>1</v>
      </c>
      <c r="G292" s="4" t="str">
        <f t="shared" si="13"/>
        <v>WTI Crude</v>
      </c>
      <c r="H292" s="25">
        <f t="shared" si="14"/>
        <v>64.47</v>
      </c>
      <c r="I292" s="25">
        <v>2.1015000000000001</v>
      </c>
      <c r="J292" s="88"/>
      <c r="K292" s="106">
        <f>Table1[[#This Row],[GasP]]-Table1[[#This Row],[Gasoline]]</f>
        <v>-2.1015000000000001</v>
      </c>
    </row>
    <row r="293" spans="1:11">
      <c r="A293" s="15">
        <v>44328</v>
      </c>
      <c r="B293" s="25">
        <v>61.7</v>
      </c>
      <c r="C293" s="25">
        <v>67.459999999999994</v>
      </c>
      <c r="D293" s="25">
        <v>67.25</v>
      </c>
      <c r="F293" s="4">
        <f t="shared" si="12"/>
        <v>1</v>
      </c>
      <c r="G293" s="4" t="str">
        <f t="shared" si="13"/>
        <v>WTI Crude</v>
      </c>
      <c r="H293" s="25">
        <f t="shared" si="14"/>
        <v>61.7</v>
      </c>
      <c r="I293" s="25">
        <v>2.0762999999999998</v>
      </c>
      <c r="J293" s="88"/>
      <c r="K293" s="106">
        <f>Table1[[#This Row],[GasP]]-Table1[[#This Row],[Gasoline]]</f>
        <v>-2.0762999999999998</v>
      </c>
    </row>
    <row r="294" spans="1:11">
      <c r="A294" s="15">
        <v>44327</v>
      </c>
      <c r="B294" s="25">
        <v>61.77</v>
      </c>
      <c r="C294" s="25">
        <v>66.39</v>
      </c>
      <c r="D294" s="25">
        <v>68.56</v>
      </c>
      <c r="F294" s="4">
        <f t="shared" si="12"/>
        <v>1</v>
      </c>
      <c r="G294" s="4" t="str">
        <f t="shared" si="13"/>
        <v>WTI Crude</v>
      </c>
      <c r="H294" s="25">
        <f t="shared" si="14"/>
        <v>61.77</v>
      </c>
      <c r="I294" s="25">
        <v>2.0988000000000002</v>
      </c>
      <c r="J294" s="88"/>
      <c r="K294" s="106">
        <f>Table1[[#This Row],[GasP]]-Table1[[#This Row],[Gasoline]]</f>
        <v>-2.0988000000000002</v>
      </c>
    </row>
    <row r="295" spans="1:11">
      <c r="A295" s="15">
        <v>44326</v>
      </c>
      <c r="B295" s="25">
        <v>61.66</v>
      </c>
      <c r="C295" s="25">
        <v>67.099999999999994</v>
      </c>
      <c r="D295" s="25">
        <v>67.27</v>
      </c>
      <c r="F295" s="4">
        <f t="shared" si="12"/>
        <v>1</v>
      </c>
      <c r="G295" s="4" t="str">
        <f t="shared" si="13"/>
        <v>WTI Crude</v>
      </c>
      <c r="H295" s="25">
        <f t="shared" si="14"/>
        <v>61.66</v>
      </c>
      <c r="I295" s="25">
        <v>2.0743</v>
      </c>
      <c r="J295" s="88"/>
      <c r="K295" s="106">
        <f>Table1[[#This Row],[GasP]]-Table1[[#This Row],[Gasoline]]</f>
        <v>-2.0743</v>
      </c>
    </row>
    <row r="296" spans="1:11">
      <c r="A296" s="15">
        <v>44323</v>
      </c>
      <c r="B296" s="25">
        <v>61.53</v>
      </c>
      <c r="C296" s="25">
        <v>66.569999999999993</v>
      </c>
      <c r="D296" s="25">
        <v>66.42</v>
      </c>
      <c r="F296" s="4">
        <f t="shared" si="12"/>
        <v>1</v>
      </c>
      <c r="G296" s="4" t="str">
        <f t="shared" si="13"/>
        <v>WTI Crude</v>
      </c>
      <c r="H296" s="25">
        <f t="shared" si="14"/>
        <v>61.53</v>
      </c>
      <c r="I296" s="25">
        <v>2.0287999999999999</v>
      </c>
      <c r="J296" s="88"/>
      <c r="K296" s="106">
        <f>Table1[[#This Row],[GasP]]-Table1[[#This Row],[Gasoline]]</f>
        <v>-2.0287999999999999</v>
      </c>
    </row>
    <row r="297" spans="1:11">
      <c r="A297" s="15">
        <v>44322</v>
      </c>
      <c r="B297" s="25">
        <v>61.33</v>
      </c>
      <c r="C297" s="25">
        <v>67.489999999999995</v>
      </c>
      <c r="D297" s="25">
        <v>65.650000000000006</v>
      </c>
      <c r="F297" s="4">
        <f t="shared" si="12"/>
        <v>1</v>
      </c>
      <c r="G297" s="4" t="str">
        <f t="shared" si="13"/>
        <v>WTI Crude</v>
      </c>
      <c r="H297" s="25">
        <f t="shared" si="14"/>
        <v>61.33</v>
      </c>
      <c r="I297" s="25">
        <v>1.9902</v>
      </c>
      <c r="J297" s="88"/>
      <c r="K297" s="106">
        <f>Table1[[#This Row],[GasP]]-Table1[[#This Row],[Gasoline]]</f>
        <v>-1.9902</v>
      </c>
    </row>
    <row r="298" spans="1:11">
      <c r="A298" s="15">
        <v>44321</v>
      </c>
      <c r="B298" s="25">
        <v>61.39</v>
      </c>
      <c r="C298" s="25">
        <v>68.2</v>
      </c>
      <c r="D298" s="25">
        <v>66.11</v>
      </c>
      <c r="F298" s="4">
        <f t="shared" si="12"/>
        <v>1</v>
      </c>
      <c r="G298" s="4" t="str">
        <f t="shared" si="13"/>
        <v>WTI Crude</v>
      </c>
      <c r="H298" s="25">
        <f t="shared" si="14"/>
        <v>61.39</v>
      </c>
      <c r="I298" s="25">
        <v>2.0051000000000001</v>
      </c>
      <c r="J298" s="88"/>
      <c r="K298" s="106">
        <f>Table1[[#This Row],[GasP]]-Table1[[#This Row],[Gasoline]]</f>
        <v>-2.0051000000000001</v>
      </c>
    </row>
    <row r="299" spans="1:11">
      <c r="A299" s="15">
        <v>44320</v>
      </c>
      <c r="B299" s="25">
        <v>61.19</v>
      </c>
      <c r="C299" s="25">
        <v>66.67</v>
      </c>
      <c r="D299" s="25">
        <v>65.400000000000006</v>
      </c>
      <c r="F299" s="4">
        <f t="shared" si="12"/>
        <v>1</v>
      </c>
      <c r="G299" s="4" t="str">
        <f t="shared" si="13"/>
        <v>WTI Crude</v>
      </c>
      <c r="H299" s="25">
        <f t="shared" si="14"/>
        <v>61.19</v>
      </c>
      <c r="I299" s="25">
        <v>1.9811000000000001</v>
      </c>
      <c r="J299" s="88">
        <f>2.76+K304*0.5</f>
        <v>1.7336999999999998</v>
      </c>
      <c r="K299" s="106">
        <f>Table1[[#This Row],[GasP]]-Table1[[#This Row],[Gasoline]]</f>
        <v>-0.24740000000000029</v>
      </c>
    </row>
    <row r="300" spans="1:11">
      <c r="A300" s="15">
        <v>44319</v>
      </c>
      <c r="B300" s="25">
        <v>61.16</v>
      </c>
      <c r="C300" s="25">
        <v>65.09</v>
      </c>
      <c r="D300" s="25">
        <v>65.319999999999993</v>
      </c>
      <c r="E300" s="4">
        <v>54.78</v>
      </c>
      <c r="F300" s="4">
        <f t="shared" si="12"/>
        <v>4</v>
      </c>
      <c r="G300" s="4" t="str">
        <f t="shared" si="13"/>
        <v>WCS</v>
      </c>
      <c r="H300" s="25">
        <f t="shared" si="14"/>
        <v>54.78</v>
      </c>
      <c r="I300" s="25">
        <v>1.9881</v>
      </c>
      <c r="J300" s="88"/>
      <c r="K300" s="106">
        <f>Table1[[#This Row],[GasP]]-Table1[[#This Row],[Gasoline]]</f>
        <v>-1.9881</v>
      </c>
    </row>
    <row r="301" spans="1:11">
      <c r="A301" s="15">
        <v>44316</v>
      </c>
      <c r="B301" s="25">
        <v>61.66</v>
      </c>
      <c r="C301" s="25">
        <v>65.42</v>
      </c>
      <c r="D301" s="25">
        <v>66.569999999999993</v>
      </c>
      <c r="F301" s="4">
        <f t="shared" si="12"/>
        <v>1</v>
      </c>
      <c r="G301" s="4" t="str">
        <f t="shared" si="13"/>
        <v>WTI Crude</v>
      </c>
      <c r="H301" s="25">
        <f t="shared" si="14"/>
        <v>61.66</v>
      </c>
      <c r="I301" s="25">
        <v>2.0209000000000001</v>
      </c>
      <c r="J301" s="88"/>
      <c r="K301" s="106">
        <f>Table1[[#This Row],[GasP]]-Table1[[#This Row],[Gasoline]]</f>
        <v>-2.0209000000000001</v>
      </c>
    </row>
    <row r="302" spans="1:11">
      <c r="A302" s="15">
        <v>44315</v>
      </c>
      <c r="B302" s="25">
        <v>62</v>
      </c>
      <c r="C302" s="25">
        <v>65.709999999999994</v>
      </c>
      <c r="D302" s="25">
        <v>67.05</v>
      </c>
      <c r="F302" s="4">
        <f t="shared" si="12"/>
        <v>1</v>
      </c>
      <c r="G302" s="4" t="str">
        <f t="shared" si="13"/>
        <v>WTI Crude</v>
      </c>
      <c r="H302" s="25">
        <f t="shared" si="14"/>
        <v>62</v>
      </c>
      <c r="I302" s="25">
        <v>2.0463</v>
      </c>
      <c r="J302" s="88"/>
      <c r="K302" s="106">
        <f>Table1[[#This Row],[GasP]]-Table1[[#This Row],[Gasoline]]</f>
        <v>-2.0463</v>
      </c>
    </row>
    <row r="303" spans="1:11">
      <c r="A303" s="15">
        <v>44314</v>
      </c>
      <c r="B303" s="25">
        <v>61.88</v>
      </c>
      <c r="C303" s="25">
        <v>64.53</v>
      </c>
      <c r="D303" s="25">
        <v>66.77</v>
      </c>
      <c r="F303" s="4">
        <f t="shared" si="12"/>
        <v>1</v>
      </c>
      <c r="G303" s="4" t="str">
        <f t="shared" si="13"/>
        <v>WTI Crude</v>
      </c>
      <c r="H303" s="25">
        <f t="shared" si="14"/>
        <v>61.88</v>
      </c>
      <c r="I303" s="25">
        <v>2.0426000000000002</v>
      </c>
      <c r="J303" s="88"/>
      <c r="K303" s="106">
        <f>Table1[[#This Row],[GasP]]-Table1[[#This Row],[Gasoline]]</f>
        <v>-2.0426000000000002</v>
      </c>
    </row>
    <row r="304" spans="1:11">
      <c r="A304" s="15">
        <v>44313</v>
      </c>
      <c r="B304" s="25">
        <v>62.05</v>
      </c>
      <c r="C304" s="25">
        <v>63.91</v>
      </c>
      <c r="D304" s="25">
        <v>66.94</v>
      </c>
      <c r="F304" s="4">
        <f t="shared" si="12"/>
        <v>1</v>
      </c>
      <c r="G304" s="4" t="str">
        <f t="shared" si="13"/>
        <v>WTI Crude</v>
      </c>
      <c r="H304" s="25">
        <f t="shared" si="14"/>
        <v>62.05</v>
      </c>
      <c r="I304" s="25">
        <v>2.0526</v>
      </c>
      <c r="J304" s="88"/>
      <c r="K304" s="106">
        <f>Table1[[#This Row],[GasP]]-Table1[[#This Row],[Gasoline]]</f>
        <v>-2.0526</v>
      </c>
    </row>
    <row r="305" spans="1:11">
      <c r="A305" s="15">
        <v>44312</v>
      </c>
      <c r="B305" s="25">
        <v>61.88</v>
      </c>
      <c r="C305" s="25">
        <v>63.22</v>
      </c>
      <c r="D305" s="25">
        <v>66.58</v>
      </c>
      <c r="F305" s="4">
        <f t="shared" si="12"/>
        <v>1</v>
      </c>
      <c r="G305" s="4" t="str">
        <f t="shared" si="13"/>
        <v>WTI Crude</v>
      </c>
      <c r="H305" s="25">
        <f t="shared" si="14"/>
        <v>61.88</v>
      </c>
      <c r="I305" s="25">
        <v>2.0409000000000002</v>
      </c>
      <c r="J305" s="88"/>
      <c r="K305" s="106">
        <f>Table1[[#This Row],[GasP]]-Table1[[#This Row],[Gasoline]]</f>
        <v>-2.0409000000000002</v>
      </c>
    </row>
    <row r="306" spans="1:11">
      <c r="A306" s="15">
        <v>44309</v>
      </c>
      <c r="B306" s="25">
        <v>60.04</v>
      </c>
      <c r="C306" s="25">
        <v>63.63</v>
      </c>
      <c r="D306" s="25">
        <v>63.67</v>
      </c>
      <c r="F306" s="4">
        <f t="shared" si="12"/>
        <v>1</v>
      </c>
      <c r="G306" s="4" t="str">
        <f t="shared" si="13"/>
        <v>WTI Crude</v>
      </c>
      <c r="H306" s="25">
        <f t="shared" si="14"/>
        <v>60.04</v>
      </c>
      <c r="I306" s="25">
        <v>1.9757</v>
      </c>
      <c r="J306" s="88"/>
      <c r="K306" s="106">
        <f>Table1[[#This Row],[GasP]]-Table1[[#This Row],[Gasoline]]</f>
        <v>-1.9757</v>
      </c>
    </row>
    <row r="307" spans="1:11">
      <c r="A307" s="15">
        <v>44308</v>
      </c>
      <c r="B307" s="25">
        <v>59.72</v>
      </c>
      <c r="C307" s="25">
        <v>63.06</v>
      </c>
      <c r="D307" s="25">
        <v>63.28</v>
      </c>
      <c r="F307" s="4">
        <f t="shared" si="12"/>
        <v>1</v>
      </c>
      <c r="G307" s="4" t="str">
        <f t="shared" si="13"/>
        <v>WTI Crude</v>
      </c>
      <c r="H307" s="25">
        <f t="shared" si="14"/>
        <v>59.72</v>
      </c>
      <c r="I307" s="25">
        <v>1.97</v>
      </c>
      <c r="J307" s="88"/>
      <c r="K307" s="106">
        <f>Table1[[#This Row],[GasP]]-Table1[[#This Row],[Gasoline]]</f>
        <v>-1.97</v>
      </c>
    </row>
    <row r="308" spans="1:11">
      <c r="A308" s="15">
        <v>44307</v>
      </c>
      <c r="B308" s="25">
        <v>59.44</v>
      </c>
      <c r="C308" s="25">
        <v>64.02</v>
      </c>
      <c r="D308" s="25">
        <v>62.95</v>
      </c>
      <c r="F308" s="4">
        <f t="shared" si="12"/>
        <v>1</v>
      </c>
      <c r="G308" s="4" t="str">
        <f t="shared" si="13"/>
        <v>WTI Crude</v>
      </c>
      <c r="H308" s="25">
        <f t="shared" si="14"/>
        <v>59.44</v>
      </c>
      <c r="I308" s="25">
        <v>1.9621</v>
      </c>
      <c r="J308" s="88"/>
      <c r="K308" s="106">
        <f>Table1[[#This Row],[GasP]]-Table1[[#This Row],[Gasoline]]</f>
        <v>-1.9621</v>
      </c>
    </row>
    <row r="309" spans="1:11">
      <c r="A309" s="15">
        <v>44306</v>
      </c>
      <c r="B309" s="25">
        <v>59.65</v>
      </c>
      <c r="C309" s="25">
        <v>65.36</v>
      </c>
      <c r="D309" s="25">
        <v>63.2</v>
      </c>
      <c r="F309" s="4">
        <f t="shared" si="12"/>
        <v>1</v>
      </c>
      <c r="G309" s="4" t="str">
        <f t="shared" si="13"/>
        <v>WTI Crude</v>
      </c>
      <c r="H309" s="25">
        <f t="shared" si="14"/>
        <v>59.65</v>
      </c>
      <c r="I309" s="25">
        <v>1.9593</v>
      </c>
      <c r="J309" s="88"/>
      <c r="K309" s="106">
        <f>Table1[[#This Row],[GasP]]-Table1[[#This Row],[Gasoline]]</f>
        <v>-1.9593</v>
      </c>
    </row>
    <row r="310" spans="1:11">
      <c r="A310" s="15">
        <v>44305</v>
      </c>
      <c r="B310" s="25">
        <v>59.79</v>
      </c>
      <c r="C310" s="25">
        <v>65.099999999999994</v>
      </c>
      <c r="D310" s="25">
        <v>63.16</v>
      </c>
      <c r="F310" s="4">
        <f t="shared" si="12"/>
        <v>1</v>
      </c>
      <c r="G310" s="4" t="str">
        <f t="shared" si="13"/>
        <v>WTI Crude</v>
      </c>
      <c r="H310" s="25">
        <f t="shared" si="14"/>
        <v>59.79</v>
      </c>
      <c r="I310" s="25">
        <v>1.9518</v>
      </c>
      <c r="J310" s="88"/>
      <c r="K310" s="106">
        <f>Table1[[#This Row],[GasP]]-Table1[[#This Row],[Gasoline]]</f>
        <v>-1.9518</v>
      </c>
    </row>
    <row r="311" spans="1:11">
      <c r="A311" s="15">
        <v>44302</v>
      </c>
      <c r="B311" s="25">
        <v>59.41</v>
      </c>
      <c r="C311" s="25">
        <v>65.209999999999994</v>
      </c>
      <c r="D311" s="25">
        <v>62.74</v>
      </c>
      <c r="F311" s="4">
        <f t="shared" si="12"/>
        <v>1</v>
      </c>
      <c r="G311" s="4" t="str">
        <f t="shared" si="13"/>
        <v>WTI Crude</v>
      </c>
      <c r="H311" s="25">
        <f t="shared" si="14"/>
        <v>59.41</v>
      </c>
      <c r="I311" s="25">
        <v>1.9662999999999999</v>
      </c>
      <c r="J311" s="88"/>
      <c r="K311" s="106">
        <f>Table1[[#This Row],[GasP]]-Table1[[#This Row],[Gasoline]]</f>
        <v>-1.9662999999999999</v>
      </c>
    </row>
    <row r="312" spans="1:11">
      <c r="A312" s="15">
        <v>44301</v>
      </c>
      <c r="B312" s="25">
        <v>58.79</v>
      </c>
      <c r="C312" s="25">
        <v>64.48</v>
      </c>
      <c r="D312" s="25">
        <v>62.15</v>
      </c>
      <c r="F312" s="4">
        <f t="shared" si="12"/>
        <v>1</v>
      </c>
      <c r="G312" s="4" t="str">
        <f t="shared" si="13"/>
        <v>WTI Crude</v>
      </c>
      <c r="H312" s="25">
        <f t="shared" si="14"/>
        <v>58.79</v>
      </c>
      <c r="I312" s="25">
        <v>1.9611000000000001</v>
      </c>
      <c r="J312" s="88"/>
      <c r="K312" s="106">
        <f>Table1[[#This Row],[GasP]]-Table1[[#This Row],[Gasoline]]</f>
        <v>-1.9611000000000001</v>
      </c>
    </row>
    <row r="313" spans="1:11">
      <c r="A313" s="15">
        <v>44300</v>
      </c>
      <c r="B313" s="25">
        <v>61.46</v>
      </c>
      <c r="C313" s="25">
        <v>63.39</v>
      </c>
      <c r="D313" s="25">
        <v>64.86</v>
      </c>
      <c r="F313" s="4">
        <f t="shared" si="12"/>
        <v>1</v>
      </c>
      <c r="G313" s="4" t="str">
        <f t="shared" si="13"/>
        <v>WTI Crude</v>
      </c>
      <c r="H313" s="25">
        <f t="shared" si="14"/>
        <v>61.46</v>
      </c>
      <c r="I313" s="25">
        <v>2.0223</v>
      </c>
      <c r="J313" s="88"/>
      <c r="K313" s="106">
        <f>Table1[[#This Row],[GasP]]-Table1[[#This Row],[Gasoline]]</f>
        <v>-2.0223</v>
      </c>
    </row>
    <row r="314" spans="1:11">
      <c r="A314" s="15">
        <v>44299</v>
      </c>
      <c r="B314" s="25">
        <v>62.36</v>
      </c>
      <c r="C314" s="25">
        <v>61.85</v>
      </c>
      <c r="D314" s="25">
        <v>63.54</v>
      </c>
      <c r="F314" s="4">
        <f t="shared" si="12"/>
        <v>2</v>
      </c>
      <c r="G314" s="4" t="str">
        <f t="shared" si="13"/>
        <v>Opec Basket</v>
      </c>
      <c r="H314" s="25">
        <f t="shared" si="14"/>
        <v>61.85</v>
      </c>
      <c r="I314" s="25">
        <v>1.9597</v>
      </c>
      <c r="J314" s="88"/>
      <c r="K314" s="106">
        <f>Table1[[#This Row],[GasP]]-Table1[[#This Row],[Gasoline]]</f>
        <v>-1.9597</v>
      </c>
    </row>
    <row r="315" spans="1:11">
      <c r="A315" s="15">
        <v>44298</v>
      </c>
      <c r="B315" s="25">
        <v>62.42</v>
      </c>
      <c r="C315" s="25">
        <v>61.44</v>
      </c>
      <c r="D315" s="25">
        <v>64.14</v>
      </c>
      <c r="F315" s="4">
        <f t="shared" si="12"/>
        <v>2</v>
      </c>
      <c r="G315" s="4" t="str">
        <f t="shared" si="13"/>
        <v>Opec Basket</v>
      </c>
      <c r="H315" s="25">
        <f t="shared" si="14"/>
        <v>61.44</v>
      </c>
      <c r="I315" s="25">
        <v>1.9964</v>
      </c>
      <c r="J315" s="88"/>
      <c r="K315" s="106">
        <f>Table1[[#This Row],[GasP]]-Table1[[#This Row],[Gasoline]]</f>
        <v>-1.9964</v>
      </c>
    </row>
    <row r="316" spans="1:11">
      <c r="A316" s="15">
        <v>44295</v>
      </c>
      <c r="B316" s="25">
        <v>62.51</v>
      </c>
      <c r="C316" s="25">
        <v>61.12</v>
      </c>
      <c r="D316" s="25">
        <v>64.98</v>
      </c>
      <c r="F316" s="4">
        <f t="shared" si="12"/>
        <v>2</v>
      </c>
      <c r="G316" s="4" t="str">
        <f t="shared" si="13"/>
        <v>Opec Basket</v>
      </c>
      <c r="H316" s="25">
        <f t="shared" si="14"/>
        <v>61.12</v>
      </c>
      <c r="I316" s="25">
        <v>2.0009000000000001</v>
      </c>
      <c r="J316" s="88"/>
      <c r="K316" s="106">
        <f>Table1[[#This Row],[GasP]]-Table1[[#This Row],[Gasoline]]</f>
        <v>-2.0009000000000001</v>
      </c>
    </row>
    <row r="317" spans="1:11">
      <c r="A317" s="15">
        <v>44294</v>
      </c>
      <c r="B317" s="25">
        <v>62.43</v>
      </c>
      <c r="C317" s="25">
        <v>61.2</v>
      </c>
      <c r="D317" s="25">
        <v>64.569999999999993</v>
      </c>
      <c r="F317" s="4">
        <f t="shared" si="12"/>
        <v>2</v>
      </c>
      <c r="G317" s="4" t="str">
        <f t="shared" si="13"/>
        <v>Opec Basket</v>
      </c>
      <c r="H317" s="25">
        <f t="shared" si="14"/>
        <v>61.2</v>
      </c>
      <c r="I317" s="25">
        <v>1.9709000000000001</v>
      </c>
      <c r="J317" s="88"/>
      <c r="K317" s="106">
        <f>Table1[[#This Row],[GasP]]-Table1[[#This Row],[Gasoline]]</f>
        <v>-1.9709000000000001</v>
      </c>
    </row>
    <row r="318" spans="1:11">
      <c r="A318" s="15">
        <v>44293</v>
      </c>
      <c r="B318" s="25">
        <v>62.01</v>
      </c>
      <c r="C318" s="25">
        <v>60.67</v>
      </c>
      <c r="D318" s="25">
        <v>61.95</v>
      </c>
      <c r="F318" s="4">
        <f t="shared" si="12"/>
        <v>2</v>
      </c>
      <c r="G318" s="4" t="str">
        <f t="shared" si="13"/>
        <v>Opec Basket</v>
      </c>
      <c r="H318" s="25">
        <f t="shared" si="14"/>
        <v>60.67</v>
      </c>
      <c r="I318" s="25">
        <v>1.9196</v>
      </c>
      <c r="J318" s="88"/>
      <c r="K318" s="106">
        <f>Table1[[#This Row],[GasP]]-Table1[[#This Row],[Gasoline]]</f>
        <v>-1.9196</v>
      </c>
    </row>
    <row r="319" spans="1:11">
      <c r="A319" s="15">
        <v>44292</v>
      </c>
      <c r="B319" s="25">
        <v>62.58</v>
      </c>
      <c r="C319" s="25">
        <v>61.31</v>
      </c>
      <c r="D319" s="25">
        <v>64.41</v>
      </c>
      <c r="F319" s="4">
        <f t="shared" si="12"/>
        <v>2</v>
      </c>
      <c r="G319" s="4" t="str">
        <f t="shared" si="13"/>
        <v>Opec Basket</v>
      </c>
      <c r="H319" s="25">
        <f t="shared" si="14"/>
        <v>61.31</v>
      </c>
      <c r="I319" s="25">
        <v>1.9875</v>
      </c>
      <c r="J319" s="88"/>
      <c r="K319" s="106">
        <f>Table1[[#This Row],[GasP]]-Table1[[#This Row],[Gasoline]]</f>
        <v>-1.9875</v>
      </c>
    </row>
    <row r="320" spans="1:11">
      <c r="A320" s="15">
        <v>44291</v>
      </c>
      <c r="B320" s="25">
        <v>61.69</v>
      </c>
      <c r="C320" s="25">
        <v>61.68</v>
      </c>
      <c r="D320" s="25">
        <v>60.79</v>
      </c>
      <c r="F320" s="4">
        <f t="shared" si="12"/>
        <v>3</v>
      </c>
      <c r="G320" s="4" t="str">
        <f t="shared" si="13"/>
        <v>Brent Crude</v>
      </c>
      <c r="H320" s="25">
        <f t="shared" si="14"/>
        <v>60.79</v>
      </c>
      <c r="I320" s="25">
        <v>1.8958999999999999</v>
      </c>
      <c r="J320" s="88"/>
      <c r="K320" s="106">
        <f>Table1[[#This Row],[GasP]]-Table1[[#This Row],[Gasoline]]</f>
        <v>-1.8958999999999999</v>
      </c>
    </row>
    <row r="321" spans="1:11">
      <c r="A321" s="15">
        <v>44287</v>
      </c>
      <c r="B321" s="25">
        <v>62.84</v>
      </c>
      <c r="C321" s="25">
        <v>61.75</v>
      </c>
      <c r="D321" s="25">
        <v>64.62</v>
      </c>
      <c r="E321" s="4">
        <v>50.51</v>
      </c>
      <c r="F321" s="4">
        <f t="shared" si="12"/>
        <v>4</v>
      </c>
      <c r="G321" s="4" t="str">
        <f t="shared" si="13"/>
        <v>WCS</v>
      </c>
      <c r="H321" s="25">
        <f t="shared" si="14"/>
        <v>50.51</v>
      </c>
      <c r="I321" s="25">
        <v>1.9583999999999999</v>
      </c>
      <c r="J321" s="88"/>
      <c r="K321" s="106">
        <f>Table1[[#This Row],[GasP]]-Table1[[#This Row],[Gasoline]]</f>
        <v>-1.9583999999999999</v>
      </c>
    </row>
    <row r="322" spans="1:11">
      <c r="A322" s="15">
        <v>44286</v>
      </c>
      <c r="B322" s="25">
        <v>62.8</v>
      </c>
      <c r="C322" s="25">
        <v>63.07</v>
      </c>
      <c r="D322" s="25">
        <v>64.53</v>
      </c>
      <c r="F322" s="4">
        <f t="shared" ref="F322:F385" si="15">IF(MIN(B322:E322)=B322,1,IF(MIN(B322:E322)=C322,2,IF(MIN(B322:E322)=D322,3,IF(MIN(B322:E322)=E322,4,))))</f>
        <v>1</v>
      </c>
      <c r="G322" s="4" t="str">
        <f t="shared" ref="G322:G385" si="16">IF(MIN(B322:E322)=B322,$B$1,IF(MIN(B322:E322)=C322,$C$1,IF(MIN(B322:E322)=D322,$D$1,IF(MIN(B322:E322)=E322,$E$1,))))</f>
        <v>WTI Crude</v>
      </c>
      <c r="H322" s="25">
        <f t="shared" ref="H322:H385" si="17">IF(MIN(B322:E322)=B322,B322,IF(MIN(B322:E322)=C322,C322,IF(MIN(B322:E322)=D322,D322,IF(MIN(B322:E322)=E322,E322,))))</f>
        <v>62.8</v>
      </c>
      <c r="I322" s="25">
        <v>1.9437</v>
      </c>
      <c r="J322" s="88"/>
      <c r="K322" s="106">
        <f>Table1[[#This Row],[GasP]]-Table1[[#This Row],[Gasoline]]</f>
        <v>-1.9437</v>
      </c>
    </row>
    <row r="323" spans="1:11">
      <c r="A323" s="15">
        <v>44285</v>
      </c>
      <c r="B323" s="25">
        <v>62.26</v>
      </c>
      <c r="C323" s="25">
        <v>63.37</v>
      </c>
      <c r="D323" s="25">
        <v>63.28</v>
      </c>
      <c r="F323" s="4">
        <f t="shared" si="15"/>
        <v>1</v>
      </c>
      <c r="G323" s="4" t="str">
        <f t="shared" si="16"/>
        <v>WTI Crude</v>
      </c>
      <c r="H323" s="25">
        <f t="shared" si="17"/>
        <v>62.26</v>
      </c>
      <c r="I323" s="25">
        <v>1.9407000000000001</v>
      </c>
      <c r="J323" s="88"/>
      <c r="K323" s="106">
        <f>Table1[[#This Row],[GasP]]-Table1[[#This Row],[Gasoline]]</f>
        <v>-1.9407000000000001</v>
      </c>
    </row>
    <row r="324" spans="1:11">
      <c r="A324" s="15">
        <v>44284</v>
      </c>
      <c r="B324" s="25">
        <v>64.25</v>
      </c>
      <c r="C324" s="25">
        <v>62.86</v>
      </c>
      <c r="D324" s="25">
        <v>68</v>
      </c>
      <c r="F324" s="4">
        <f t="shared" si="15"/>
        <v>2</v>
      </c>
      <c r="G324" s="4" t="str">
        <f t="shared" si="16"/>
        <v>Opec Basket</v>
      </c>
      <c r="H324" s="25">
        <f t="shared" si="17"/>
        <v>62.86</v>
      </c>
      <c r="I324" s="25">
        <v>2.0474999999999999</v>
      </c>
      <c r="J324" s="88">
        <v>1.93</v>
      </c>
      <c r="K324" s="106">
        <f>Table1[[#This Row],[GasP]]-Table1[[#This Row],[Gasoline]]</f>
        <v>-0.11749999999999994</v>
      </c>
    </row>
    <row r="325" spans="1:11">
      <c r="A325" s="15">
        <v>44281</v>
      </c>
      <c r="B325" s="25">
        <v>64.349999999999994</v>
      </c>
      <c r="C325" s="25">
        <v>62.56</v>
      </c>
      <c r="D325" s="25">
        <v>68.39</v>
      </c>
      <c r="F325" s="4">
        <f t="shared" si="15"/>
        <v>2</v>
      </c>
      <c r="G325" s="4" t="str">
        <f t="shared" si="16"/>
        <v>Opec Basket</v>
      </c>
      <c r="H325" s="25">
        <f t="shared" si="17"/>
        <v>62.56</v>
      </c>
      <c r="I325" s="25">
        <v>2.0956999999999999</v>
      </c>
      <c r="J325" s="88"/>
      <c r="K325" s="106">
        <f>Table1[[#This Row],[GasP]]-Table1[[#This Row],[Gasoline]]</f>
        <v>-2.0956999999999999</v>
      </c>
    </row>
    <row r="326" spans="1:11">
      <c r="A326" s="15">
        <v>44280</v>
      </c>
      <c r="B326" s="25">
        <v>64.66</v>
      </c>
      <c r="C326" s="25">
        <v>61.63</v>
      </c>
      <c r="D326" s="25">
        <v>68.88</v>
      </c>
      <c r="F326" s="4">
        <f t="shared" si="15"/>
        <v>2</v>
      </c>
      <c r="G326" s="4" t="str">
        <f t="shared" si="16"/>
        <v>Opec Basket</v>
      </c>
      <c r="H326" s="25">
        <f t="shared" si="17"/>
        <v>61.63</v>
      </c>
      <c r="I326" s="25">
        <v>2.0994000000000002</v>
      </c>
      <c r="J326" s="88"/>
      <c r="K326" s="106">
        <f>Table1[[#This Row],[GasP]]-Table1[[#This Row],[Gasoline]]</f>
        <v>-2.0994000000000002</v>
      </c>
    </row>
    <row r="327" spans="1:11">
      <c r="A327" s="15">
        <v>44279</v>
      </c>
      <c r="B327" s="25">
        <v>64.78</v>
      </c>
      <c r="C327" s="25">
        <v>61.61</v>
      </c>
      <c r="D327" s="25">
        <v>69.22</v>
      </c>
      <c r="F327" s="4">
        <f t="shared" si="15"/>
        <v>2</v>
      </c>
      <c r="G327" s="4" t="str">
        <f t="shared" si="16"/>
        <v>Opec Basket</v>
      </c>
      <c r="H327" s="25">
        <f t="shared" si="17"/>
        <v>61.61</v>
      </c>
      <c r="I327" s="25">
        <v>2.1347999999999998</v>
      </c>
      <c r="J327" s="88"/>
      <c r="K327" s="106">
        <f>Table1[[#This Row],[GasP]]-Table1[[#This Row],[Gasoline]]</f>
        <v>-2.1347999999999998</v>
      </c>
    </row>
    <row r="328" spans="1:11">
      <c r="A328" s="15">
        <v>44278</v>
      </c>
      <c r="B328" s="25">
        <v>65.010000000000005</v>
      </c>
      <c r="C328" s="25">
        <v>62.27</v>
      </c>
      <c r="D328" s="25">
        <v>69.63</v>
      </c>
      <c r="F328" s="4">
        <f t="shared" si="15"/>
        <v>2</v>
      </c>
      <c r="G328" s="4" t="str">
        <f t="shared" si="16"/>
        <v>Opec Basket</v>
      </c>
      <c r="H328" s="25">
        <f t="shared" si="17"/>
        <v>62.27</v>
      </c>
      <c r="I328" s="25">
        <v>2.1273</v>
      </c>
      <c r="J328" s="88"/>
      <c r="K328" s="106">
        <f>Table1[[#This Row],[GasP]]-Table1[[#This Row],[Gasoline]]</f>
        <v>-2.1273</v>
      </c>
    </row>
    <row r="329" spans="1:11">
      <c r="A329" s="15">
        <v>44277</v>
      </c>
      <c r="B329" s="25">
        <v>63.98</v>
      </c>
      <c r="C329" s="25">
        <v>63.22</v>
      </c>
      <c r="D329" s="25">
        <v>67.900000000000006</v>
      </c>
      <c r="F329" s="4">
        <f t="shared" si="15"/>
        <v>2</v>
      </c>
      <c r="G329" s="4" t="str">
        <f t="shared" si="16"/>
        <v>Opec Basket</v>
      </c>
      <c r="H329" s="25">
        <f t="shared" si="17"/>
        <v>63.22</v>
      </c>
      <c r="I329" s="25">
        <v>2.0747</v>
      </c>
      <c r="J329" s="88"/>
      <c r="K329" s="106">
        <f>Table1[[#This Row],[GasP]]-Table1[[#This Row],[Gasoline]]</f>
        <v>-2.0747</v>
      </c>
    </row>
    <row r="330" spans="1:11">
      <c r="A330" s="15">
        <v>44274</v>
      </c>
      <c r="B330" s="25">
        <v>63.68</v>
      </c>
      <c r="C330" s="25">
        <v>62.47</v>
      </c>
      <c r="D330" s="25">
        <v>67.52</v>
      </c>
      <c r="F330" s="4">
        <f t="shared" si="15"/>
        <v>2</v>
      </c>
      <c r="G330" s="4" t="str">
        <f t="shared" si="16"/>
        <v>Opec Basket</v>
      </c>
      <c r="H330" s="25">
        <f t="shared" si="17"/>
        <v>62.47</v>
      </c>
      <c r="I330" s="25">
        <v>2.0501999999999998</v>
      </c>
      <c r="J330" s="88"/>
      <c r="K330" s="106">
        <f>Table1[[#This Row],[GasP]]-Table1[[#This Row],[Gasoline]]</f>
        <v>-2.0501999999999998</v>
      </c>
    </row>
    <row r="331" spans="1:11">
      <c r="A331" s="15">
        <v>44273</v>
      </c>
      <c r="B331" s="25">
        <v>64.42</v>
      </c>
      <c r="C331" s="25">
        <v>64.790000000000006</v>
      </c>
      <c r="D331" s="25">
        <v>68.239999999999995</v>
      </c>
      <c r="F331" s="4">
        <f t="shared" si="15"/>
        <v>1</v>
      </c>
      <c r="G331" s="4" t="str">
        <f t="shared" si="16"/>
        <v>WTI Crude</v>
      </c>
      <c r="H331" s="25">
        <f t="shared" si="17"/>
        <v>64.42</v>
      </c>
      <c r="I331" s="25">
        <v>2.0487000000000002</v>
      </c>
      <c r="J331" s="88"/>
      <c r="K331" s="106">
        <f>Table1[[#This Row],[GasP]]-Table1[[#This Row],[Gasoline]]</f>
        <v>-2.0487000000000002</v>
      </c>
    </row>
    <row r="332" spans="1:11">
      <c r="A332" s="15">
        <v>44272</v>
      </c>
      <c r="B332" s="25">
        <v>65.22</v>
      </c>
      <c r="C332" s="25">
        <v>66.760000000000005</v>
      </c>
      <c r="D332" s="25">
        <v>69.36</v>
      </c>
      <c r="F332" s="4">
        <f t="shared" si="15"/>
        <v>1</v>
      </c>
      <c r="G332" s="4" t="str">
        <f t="shared" si="16"/>
        <v>WTI Crude</v>
      </c>
      <c r="H332" s="25">
        <f t="shared" si="17"/>
        <v>65.22</v>
      </c>
      <c r="I332" s="25">
        <v>2.0647000000000002</v>
      </c>
      <c r="J332" s="88"/>
      <c r="K332" s="106">
        <f>Table1[[#This Row],[GasP]]-Table1[[#This Row],[Gasoline]]</f>
        <v>-2.0647000000000002</v>
      </c>
    </row>
    <row r="333" spans="1:11">
      <c r="A333" s="15">
        <v>44271</v>
      </c>
      <c r="B333" s="25">
        <v>63.34</v>
      </c>
      <c r="C333" s="25">
        <v>66.89</v>
      </c>
      <c r="D333" s="25">
        <v>66.739999999999995</v>
      </c>
      <c r="F333" s="4">
        <f t="shared" si="15"/>
        <v>1</v>
      </c>
      <c r="G333" s="4" t="str">
        <f t="shared" si="16"/>
        <v>WTI Crude</v>
      </c>
      <c r="H333" s="25">
        <f t="shared" si="17"/>
        <v>63.34</v>
      </c>
      <c r="I333" s="25">
        <v>1.9979</v>
      </c>
      <c r="J333" s="88"/>
      <c r="K333" s="106">
        <f>Table1[[#This Row],[GasP]]-Table1[[#This Row],[Gasoline]]</f>
        <v>-1.9979</v>
      </c>
    </row>
    <row r="334" spans="1:11">
      <c r="A334" s="15">
        <v>44270</v>
      </c>
      <c r="B334" s="25">
        <v>61.13</v>
      </c>
      <c r="C334" s="25">
        <v>68.180000000000007</v>
      </c>
      <c r="D334" s="25">
        <v>64.069999999999993</v>
      </c>
      <c r="F334" s="4">
        <f t="shared" si="15"/>
        <v>1</v>
      </c>
      <c r="G334" s="4" t="str">
        <f t="shared" si="16"/>
        <v>WTI Crude</v>
      </c>
      <c r="H334" s="25">
        <f t="shared" si="17"/>
        <v>61.13</v>
      </c>
      <c r="I334" s="25">
        <v>1.9518</v>
      </c>
      <c r="J334" s="88"/>
      <c r="K334" s="106">
        <f>Table1[[#This Row],[GasP]]-Table1[[#This Row],[Gasoline]]</f>
        <v>-1.9518</v>
      </c>
    </row>
    <row r="335" spans="1:11">
      <c r="A335" s="15">
        <v>44267</v>
      </c>
      <c r="B335" s="25">
        <v>59.73</v>
      </c>
      <c r="C335" s="25">
        <v>68.14</v>
      </c>
      <c r="D335" s="25">
        <v>62.7</v>
      </c>
      <c r="F335" s="4">
        <f t="shared" si="15"/>
        <v>1</v>
      </c>
      <c r="G335" s="4" t="str">
        <f t="shared" si="16"/>
        <v>WTI Crude</v>
      </c>
      <c r="H335" s="25">
        <f t="shared" si="17"/>
        <v>59.73</v>
      </c>
      <c r="I335" s="25">
        <v>1.9363999999999999</v>
      </c>
      <c r="J335" s="88"/>
      <c r="K335" s="106">
        <f>Table1[[#This Row],[GasP]]-Table1[[#This Row],[Gasoline]]</f>
        <v>-1.9363999999999999</v>
      </c>
    </row>
    <row r="336" spans="1:11">
      <c r="A336" s="15">
        <v>44266</v>
      </c>
      <c r="B336" s="25">
        <v>60.57</v>
      </c>
      <c r="C336" s="25">
        <v>67.39</v>
      </c>
      <c r="D336" s="25">
        <v>63.69</v>
      </c>
      <c r="F336" s="4">
        <f t="shared" si="15"/>
        <v>1</v>
      </c>
      <c r="G336" s="4" t="str">
        <f t="shared" si="16"/>
        <v>WTI Crude</v>
      </c>
      <c r="H336" s="25">
        <f t="shared" si="17"/>
        <v>60.57</v>
      </c>
      <c r="I336" s="25">
        <v>1.9429000000000001</v>
      </c>
      <c r="J336" s="88"/>
      <c r="K336" s="106">
        <f>Table1[[#This Row],[GasP]]-Table1[[#This Row],[Gasoline]]</f>
        <v>-1.9429000000000001</v>
      </c>
    </row>
    <row r="337" spans="1:13">
      <c r="A337" s="15">
        <v>44265</v>
      </c>
      <c r="B337" s="25">
        <v>59.06</v>
      </c>
      <c r="C337" s="25">
        <v>65.599999999999994</v>
      </c>
      <c r="D337" s="25">
        <v>66.13</v>
      </c>
      <c r="F337" s="4">
        <f t="shared" si="15"/>
        <v>1</v>
      </c>
      <c r="G337" s="4" t="str">
        <f t="shared" si="16"/>
        <v>WTI Crude</v>
      </c>
      <c r="H337" s="25">
        <f t="shared" si="17"/>
        <v>59.06</v>
      </c>
      <c r="I337" s="25">
        <v>1.9504999999999999</v>
      </c>
      <c r="J337" s="88"/>
      <c r="K337" s="106">
        <f>Table1[[#This Row],[GasP]]-Table1[[#This Row],[Gasoline]]</f>
        <v>-1.9504999999999999</v>
      </c>
    </row>
    <row r="338" spans="1:13">
      <c r="A338" s="15">
        <v>44264</v>
      </c>
      <c r="B338" s="25">
        <v>59.17</v>
      </c>
      <c r="C338" s="25">
        <v>66.38</v>
      </c>
      <c r="D338" s="25">
        <v>66.88</v>
      </c>
      <c r="F338" s="4">
        <f t="shared" si="15"/>
        <v>1</v>
      </c>
      <c r="G338" s="4" t="str">
        <f t="shared" si="16"/>
        <v>WTI Crude</v>
      </c>
      <c r="H338" s="25">
        <f t="shared" si="17"/>
        <v>59.17</v>
      </c>
      <c r="I338" s="25">
        <v>1.9763999999999999</v>
      </c>
      <c r="J338" s="88"/>
      <c r="K338" s="106">
        <f>Table1[[#This Row],[GasP]]-Table1[[#This Row],[Gasoline]]</f>
        <v>-1.9763999999999999</v>
      </c>
    </row>
    <row r="339" spans="1:13">
      <c r="A339" s="15">
        <v>44263</v>
      </c>
      <c r="B339" s="25">
        <v>59.14</v>
      </c>
      <c r="C339" s="25">
        <v>68.17</v>
      </c>
      <c r="D339" s="25">
        <v>67.040000000000006</v>
      </c>
      <c r="F339" s="4">
        <f t="shared" si="15"/>
        <v>1</v>
      </c>
      <c r="G339" s="4" t="str">
        <f t="shared" si="16"/>
        <v>WTI Crude</v>
      </c>
      <c r="H339" s="25">
        <f t="shared" si="17"/>
        <v>59.14</v>
      </c>
      <c r="I339" s="25">
        <v>1.9777</v>
      </c>
      <c r="J339" s="88"/>
      <c r="K339" s="106">
        <f>Table1[[#This Row],[GasP]]-Table1[[#This Row],[Gasoline]]</f>
        <v>-1.9777</v>
      </c>
    </row>
    <row r="340" spans="1:13">
      <c r="A340" s="15">
        <v>44260</v>
      </c>
      <c r="B340" s="25">
        <v>58.89</v>
      </c>
      <c r="C340" s="25">
        <v>67.03</v>
      </c>
      <c r="D340" s="25">
        <v>65.37</v>
      </c>
      <c r="F340" s="4">
        <f t="shared" si="15"/>
        <v>1</v>
      </c>
      <c r="G340" s="4" t="str">
        <f t="shared" si="16"/>
        <v>WTI Crude</v>
      </c>
      <c r="H340" s="25">
        <f t="shared" si="17"/>
        <v>58.89</v>
      </c>
      <c r="I340" s="25">
        <v>1.9424999999999999</v>
      </c>
      <c r="J340" s="88"/>
      <c r="K340" s="106">
        <f>Table1[[#This Row],[GasP]]-Table1[[#This Row],[Gasoline]]</f>
        <v>-1.9424999999999999</v>
      </c>
      <c r="L340" s="7"/>
    </row>
    <row r="341" spans="1:13">
      <c r="A341" s="15">
        <v>44259</v>
      </c>
      <c r="B341" s="25">
        <v>58.9</v>
      </c>
      <c r="C341" s="25">
        <v>64.23</v>
      </c>
      <c r="D341" s="25">
        <v>65.239999999999995</v>
      </c>
      <c r="F341" s="4">
        <f t="shared" si="15"/>
        <v>1</v>
      </c>
      <c r="G341" s="4" t="str">
        <f t="shared" si="16"/>
        <v>WTI Crude</v>
      </c>
      <c r="H341" s="25">
        <f t="shared" si="17"/>
        <v>58.9</v>
      </c>
      <c r="I341" s="25">
        <v>1.9309000000000001</v>
      </c>
      <c r="J341" s="88"/>
      <c r="K341" s="106">
        <f>Table1[[#This Row],[GasP]]-Table1[[#This Row],[Gasoline]]</f>
        <v>-1.9309000000000001</v>
      </c>
    </row>
    <row r="342" spans="1:13">
      <c r="A342" s="15">
        <v>44258</v>
      </c>
      <c r="B342" s="25">
        <v>58.26</v>
      </c>
      <c r="C342" s="25">
        <v>62.12</v>
      </c>
      <c r="D342" s="25">
        <v>62.91</v>
      </c>
      <c r="F342" s="4">
        <f t="shared" si="15"/>
        <v>1</v>
      </c>
      <c r="G342" s="4" t="str">
        <f t="shared" si="16"/>
        <v>WTI Crude</v>
      </c>
      <c r="H342" s="25">
        <f t="shared" si="17"/>
        <v>58.26</v>
      </c>
      <c r="I342" s="25">
        <v>1.8889</v>
      </c>
      <c r="J342" s="88"/>
      <c r="K342" s="106">
        <f>Table1[[#This Row],[GasP]]-Table1[[#This Row],[Gasoline]]</f>
        <v>-1.8889</v>
      </c>
      <c r="L342" s="8"/>
      <c r="M342" t="s">
        <v>7</v>
      </c>
    </row>
    <row r="343" spans="1:13">
      <c r="A343" s="15">
        <v>44257</v>
      </c>
      <c r="B343" s="25">
        <v>58.67</v>
      </c>
      <c r="C343" s="25">
        <v>61.94</v>
      </c>
      <c r="D343" s="25">
        <v>63.93</v>
      </c>
      <c r="F343" s="4">
        <f t="shared" si="15"/>
        <v>1</v>
      </c>
      <c r="G343" s="4" t="str">
        <f t="shared" si="16"/>
        <v>WTI Crude</v>
      </c>
      <c r="H343" s="25">
        <f t="shared" si="17"/>
        <v>58.67</v>
      </c>
      <c r="I343" s="25">
        <v>1.8872</v>
      </c>
      <c r="J343" s="88"/>
      <c r="K343" s="106">
        <f>Table1[[#This Row],[GasP]]-Table1[[#This Row],[Gasoline]]</f>
        <v>-1.8872</v>
      </c>
    </row>
    <row r="344" spans="1:13">
      <c r="A344" s="15">
        <v>44256</v>
      </c>
      <c r="B344" s="25">
        <v>58.9</v>
      </c>
      <c r="C344" s="25">
        <v>64.209999999999994</v>
      </c>
      <c r="D344" s="25">
        <v>64.34</v>
      </c>
      <c r="E344" s="4">
        <v>50.94</v>
      </c>
      <c r="F344" s="4">
        <f t="shared" si="15"/>
        <v>4</v>
      </c>
      <c r="G344" s="4" t="str">
        <f t="shared" si="16"/>
        <v>WCS</v>
      </c>
      <c r="H344" s="25">
        <f t="shared" si="17"/>
        <v>50.94</v>
      </c>
      <c r="I344" s="25">
        <v>1.8937999999999999</v>
      </c>
      <c r="J344" s="88"/>
      <c r="K344" s="106">
        <f>Table1[[#This Row],[GasP]]-Table1[[#This Row],[Gasoline]]</f>
        <v>-1.8937999999999999</v>
      </c>
    </row>
    <row r="345" spans="1:13">
      <c r="A345" s="15">
        <v>44253</v>
      </c>
      <c r="B345" s="25">
        <v>58.44</v>
      </c>
      <c r="C345" s="25">
        <v>64.37</v>
      </c>
      <c r="D345" s="25">
        <v>63.35</v>
      </c>
      <c r="F345" s="4">
        <f t="shared" si="15"/>
        <v>1</v>
      </c>
      <c r="G345" s="4" t="str">
        <f t="shared" si="16"/>
        <v>WTI Crude</v>
      </c>
      <c r="H345" s="25">
        <f t="shared" si="17"/>
        <v>58.44</v>
      </c>
      <c r="I345" s="25">
        <v>1.8636999999999999</v>
      </c>
      <c r="J345" s="88"/>
      <c r="K345" s="106">
        <f>Table1[[#This Row],[GasP]]-Table1[[#This Row],[Gasoline]]</f>
        <v>-1.8636999999999999</v>
      </c>
    </row>
    <row r="346" spans="1:13">
      <c r="A346" s="15">
        <v>44252</v>
      </c>
      <c r="B346" s="25">
        <v>58.14</v>
      </c>
      <c r="C346" s="25">
        <v>65.42</v>
      </c>
      <c r="D346" s="25">
        <v>62.43</v>
      </c>
      <c r="F346" s="4">
        <f t="shared" si="15"/>
        <v>1</v>
      </c>
      <c r="G346" s="4" t="str">
        <f t="shared" si="16"/>
        <v>WTI Crude</v>
      </c>
      <c r="H346" s="25">
        <f t="shared" si="17"/>
        <v>58.14</v>
      </c>
      <c r="I346" s="25">
        <v>1.8139000000000001</v>
      </c>
      <c r="J346" s="88"/>
      <c r="K346" s="106">
        <f>Table1[[#This Row],[GasP]]-Table1[[#This Row],[Gasoline]]</f>
        <v>-1.8139000000000001</v>
      </c>
    </row>
    <row r="347" spans="1:13">
      <c r="A347" s="15">
        <v>44251</v>
      </c>
      <c r="B347" s="25">
        <v>57.49</v>
      </c>
      <c r="C347" s="25">
        <v>64</v>
      </c>
      <c r="D347" s="25">
        <v>61.14</v>
      </c>
      <c r="F347" s="4">
        <f t="shared" si="15"/>
        <v>1</v>
      </c>
      <c r="G347" s="4" t="str">
        <f t="shared" si="16"/>
        <v>WTI Crude</v>
      </c>
      <c r="H347" s="25">
        <f t="shared" si="17"/>
        <v>57.49</v>
      </c>
      <c r="I347" s="25">
        <v>1.7786</v>
      </c>
      <c r="J347" s="88"/>
      <c r="K347" s="106">
        <f>Table1[[#This Row],[GasP]]-Table1[[#This Row],[Gasoline]]</f>
        <v>-1.7786</v>
      </c>
    </row>
    <row r="348" spans="1:13">
      <c r="A348" s="15">
        <v>44250</v>
      </c>
      <c r="B348" s="25">
        <v>57.74</v>
      </c>
      <c r="C348" s="25">
        <v>63.73</v>
      </c>
      <c r="D348" s="25">
        <v>61.47</v>
      </c>
      <c r="F348" s="4">
        <f t="shared" si="15"/>
        <v>1</v>
      </c>
      <c r="G348" s="4" t="str">
        <f t="shared" si="16"/>
        <v>WTI Crude</v>
      </c>
      <c r="H348" s="25">
        <f t="shared" si="17"/>
        <v>57.74</v>
      </c>
      <c r="I348" s="25">
        <v>1.7841</v>
      </c>
      <c r="J348" s="88"/>
      <c r="K348" s="106">
        <f>Table1[[#This Row],[GasP]]-Table1[[#This Row],[Gasoline]]</f>
        <v>-1.7841</v>
      </c>
    </row>
    <row r="349" spans="1:13">
      <c r="A349" s="15">
        <v>44249</v>
      </c>
      <c r="B349" s="25">
        <v>57.54</v>
      </c>
      <c r="C349" s="25">
        <v>62.01</v>
      </c>
      <c r="D349" s="25">
        <v>61.09</v>
      </c>
      <c r="F349" s="4">
        <f t="shared" si="15"/>
        <v>1</v>
      </c>
      <c r="G349" s="4" t="str">
        <f t="shared" si="16"/>
        <v>WTI Crude</v>
      </c>
      <c r="H349" s="78">
        <f t="shared" si="17"/>
        <v>57.54</v>
      </c>
      <c r="I349" s="25">
        <v>1.6736</v>
      </c>
      <c r="J349" s="88">
        <f>2.76+0.5*K354</f>
        <v>1.9519999999999997</v>
      </c>
      <c r="K349" s="106">
        <f>Table1[[#This Row],[GasP]]-Table1[[#This Row],[Gasoline]]</f>
        <v>0.27839999999999976</v>
      </c>
    </row>
    <row r="350" spans="1:13">
      <c r="A350" s="15">
        <v>44246</v>
      </c>
      <c r="B350" s="25">
        <v>57.27</v>
      </c>
      <c r="C350" s="25">
        <v>61.32</v>
      </c>
      <c r="D350" s="25">
        <v>60.56</v>
      </c>
      <c r="F350" s="4">
        <f t="shared" si="15"/>
        <v>1</v>
      </c>
      <c r="G350" s="4" t="str">
        <f t="shared" si="16"/>
        <v>WTI Crude</v>
      </c>
      <c r="H350" s="25">
        <f t="shared" si="17"/>
        <v>57.27</v>
      </c>
      <c r="I350" s="25">
        <v>1.6748000000000001</v>
      </c>
      <c r="J350" s="88"/>
      <c r="K350" s="106">
        <f>Table1[[#This Row],[GasP]]-Table1[[#This Row],[Gasoline]]</f>
        <v>-1.6748000000000001</v>
      </c>
    </row>
    <row r="351" spans="1:13">
      <c r="A351" s="15">
        <v>44245</v>
      </c>
      <c r="B351" s="25">
        <v>56.44</v>
      </c>
      <c r="C351" s="25">
        <v>63.44</v>
      </c>
      <c r="D351" s="25">
        <v>59.34</v>
      </c>
      <c r="F351" s="4">
        <f t="shared" si="15"/>
        <v>1</v>
      </c>
      <c r="G351" s="4" t="str">
        <f t="shared" si="16"/>
        <v>WTI Crude</v>
      </c>
      <c r="H351" s="25">
        <f t="shared" si="17"/>
        <v>56.44</v>
      </c>
      <c r="I351" s="25">
        <v>1.6493</v>
      </c>
      <c r="J351" s="88"/>
      <c r="K351" s="106">
        <f>Table1[[#This Row],[GasP]]-Table1[[#This Row],[Gasoline]]</f>
        <v>-1.6493</v>
      </c>
    </row>
    <row r="352" spans="1:13">
      <c r="A352" s="15">
        <v>44244</v>
      </c>
      <c r="B352" s="25">
        <v>55.95</v>
      </c>
      <c r="C352" s="25">
        <v>63.06</v>
      </c>
      <c r="D352" s="25">
        <v>58.84</v>
      </c>
      <c r="F352" s="4">
        <f t="shared" si="15"/>
        <v>1</v>
      </c>
      <c r="G352" s="4" t="str">
        <f t="shared" si="16"/>
        <v>WTI Crude</v>
      </c>
      <c r="H352" s="25">
        <f t="shared" si="17"/>
        <v>55.95</v>
      </c>
      <c r="I352" s="25">
        <v>1.6448</v>
      </c>
      <c r="J352" s="88"/>
      <c r="K352" s="106">
        <f>Table1[[#This Row],[GasP]]-Table1[[#This Row],[Gasoline]]</f>
        <v>-1.6448</v>
      </c>
    </row>
    <row r="353" spans="1:11">
      <c r="A353" s="15">
        <v>44243</v>
      </c>
      <c r="B353" s="25">
        <v>55.5</v>
      </c>
      <c r="C353" s="25">
        <v>62.49</v>
      </c>
      <c r="D353" s="25">
        <v>58.46</v>
      </c>
      <c r="F353" s="4">
        <f t="shared" si="15"/>
        <v>1</v>
      </c>
      <c r="G353" s="4" t="str">
        <f t="shared" si="16"/>
        <v>WTI Crude</v>
      </c>
      <c r="H353" s="25">
        <f t="shared" si="17"/>
        <v>55.5</v>
      </c>
      <c r="I353" s="25">
        <v>1.6486000000000001</v>
      </c>
      <c r="J353" s="88"/>
      <c r="K353" s="106">
        <f>Table1[[#This Row],[GasP]]-Table1[[#This Row],[Gasoline]]</f>
        <v>-1.6486000000000001</v>
      </c>
    </row>
    <row r="354" spans="1:11">
      <c r="A354" s="15">
        <v>44242</v>
      </c>
      <c r="B354" s="25">
        <v>54.67</v>
      </c>
      <c r="C354" s="25">
        <v>62.61</v>
      </c>
      <c r="D354" s="25">
        <v>57.46</v>
      </c>
      <c r="F354" s="4">
        <f t="shared" si="15"/>
        <v>1</v>
      </c>
      <c r="G354" s="4" t="str">
        <f t="shared" si="16"/>
        <v>WTI Crude</v>
      </c>
      <c r="H354" s="25">
        <f t="shared" si="17"/>
        <v>54.67</v>
      </c>
      <c r="I354" s="25">
        <v>1.6160000000000001</v>
      </c>
      <c r="J354" s="88"/>
      <c r="K354" s="106">
        <f>Table1[[#This Row],[GasP]]-Table1[[#This Row],[Gasoline]]</f>
        <v>-1.6160000000000001</v>
      </c>
    </row>
    <row r="355" spans="1:11">
      <c r="A355" s="15">
        <v>44239</v>
      </c>
      <c r="B355" s="25">
        <v>53.52</v>
      </c>
      <c r="C355" s="25">
        <v>60.79</v>
      </c>
      <c r="D355" s="25">
        <v>56.35</v>
      </c>
      <c r="F355" s="4">
        <f t="shared" si="15"/>
        <v>1</v>
      </c>
      <c r="G355" s="4" t="str">
        <f t="shared" si="16"/>
        <v>WTI Crude</v>
      </c>
      <c r="H355" s="25">
        <f t="shared" si="17"/>
        <v>53.52</v>
      </c>
      <c r="I355" s="25">
        <v>1.5901000000000001</v>
      </c>
      <c r="J355" s="88"/>
      <c r="K355" s="106">
        <f>Table1[[#This Row],[GasP]]-Table1[[#This Row],[Gasoline]]</f>
        <v>-1.5901000000000001</v>
      </c>
    </row>
    <row r="356" spans="1:11">
      <c r="A356" s="15">
        <v>44238</v>
      </c>
      <c r="B356" s="25">
        <v>52.1</v>
      </c>
      <c r="C356" s="25">
        <v>60.55</v>
      </c>
      <c r="D356" s="25">
        <v>55.88</v>
      </c>
      <c r="F356" s="4">
        <f t="shared" si="15"/>
        <v>1</v>
      </c>
      <c r="G356" s="4" t="str">
        <f t="shared" si="16"/>
        <v>WTI Crude</v>
      </c>
      <c r="H356" s="25">
        <f t="shared" si="17"/>
        <v>52.1</v>
      </c>
      <c r="I356" s="25">
        <v>1.5527</v>
      </c>
      <c r="J356" s="88"/>
      <c r="K356" s="106">
        <f>Table1[[#This Row],[GasP]]-Table1[[#This Row],[Gasoline]]</f>
        <v>-1.5527</v>
      </c>
    </row>
    <row r="357" spans="1:11">
      <c r="A357" s="15">
        <v>44237</v>
      </c>
      <c r="B357" s="25">
        <v>52.11</v>
      </c>
      <c r="C357" s="25">
        <v>60.47</v>
      </c>
      <c r="D357" s="25">
        <v>55.53</v>
      </c>
      <c r="F357" s="4">
        <f t="shared" si="15"/>
        <v>1</v>
      </c>
      <c r="G357" s="4" t="str">
        <f t="shared" si="16"/>
        <v>WTI Crude</v>
      </c>
      <c r="H357" s="25">
        <f t="shared" si="17"/>
        <v>52.11</v>
      </c>
      <c r="I357" s="25">
        <v>1.5753999999999999</v>
      </c>
      <c r="J357" s="88"/>
      <c r="K357" s="106">
        <f>Table1[[#This Row],[GasP]]-Table1[[#This Row],[Gasoline]]</f>
        <v>-1.5753999999999999</v>
      </c>
    </row>
    <row r="358" spans="1:11">
      <c r="A358" s="15">
        <v>44236</v>
      </c>
      <c r="B358" s="25">
        <v>52.16</v>
      </c>
      <c r="C358" s="25">
        <v>60.3</v>
      </c>
      <c r="D358" s="25">
        <v>55.81</v>
      </c>
      <c r="F358" s="4">
        <f t="shared" si="15"/>
        <v>1</v>
      </c>
      <c r="G358" s="4" t="str">
        <f t="shared" si="16"/>
        <v>WTI Crude</v>
      </c>
      <c r="H358" s="25">
        <f t="shared" si="17"/>
        <v>52.16</v>
      </c>
      <c r="I358" s="25">
        <v>1.5716000000000001</v>
      </c>
      <c r="J358" s="88"/>
      <c r="K358" s="106">
        <f>Table1[[#This Row],[GasP]]-Table1[[#This Row],[Gasoline]]</f>
        <v>-1.5716000000000001</v>
      </c>
    </row>
    <row r="359" spans="1:11">
      <c r="A359" s="15">
        <v>44235</v>
      </c>
      <c r="B359" s="25">
        <v>52.13</v>
      </c>
      <c r="C359" s="25">
        <v>59.59</v>
      </c>
      <c r="D359" s="25">
        <v>55.91</v>
      </c>
      <c r="F359" s="4">
        <f t="shared" si="15"/>
        <v>1</v>
      </c>
      <c r="G359" s="4" t="str">
        <f t="shared" si="16"/>
        <v>WTI Crude</v>
      </c>
      <c r="H359" s="25">
        <f t="shared" si="17"/>
        <v>52.13</v>
      </c>
      <c r="I359" s="25">
        <v>1.5748</v>
      </c>
      <c r="J359" s="88"/>
      <c r="K359" s="106">
        <f>Table1[[#This Row],[GasP]]-Table1[[#This Row],[Gasoline]]</f>
        <v>-1.5748</v>
      </c>
    </row>
    <row r="360" spans="1:11">
      <c r="A360" s="15">
        <v>44232</v>
      </c>
      <c r="B360" s="25">
        <v>52.16</v>
      </c>
      <c r="C360" s="25">
        <v>58.94</v>
      </c>
      <c r="D360" s="25">
        <v>55.88</v>
      </c>
      <c r="F360" s="4">
        <f t="shared" si="15"/>
        <v>1</v>
      </c>
      <c r="G360" s="4" t="str">
        <f t="shared" si="16"/>
        <v>WTI Crude</v>
      </c>
      <c r="H360" s="25">
        <f t="shared" si="17"/>
        <v>52.16</v>
      </c>
      <c r="I360" s="25">
        <v>1.5579000000000001</v>
      </c>
      <c r="J360" s="88"/>
      <c r="K360" s="106">
        <f>Table1[[#This Row],[GasP]]-Table1[[#This Row],[Gasoline]]</f>
        <v>-1.5579000000000001</v>
      </c>
    </row>
    <row r="361" spans="1:11">
      <c r="A361" s="15">
        <v>44231</v>
      </c>
      <c r="B361" s="25">
        <v>52.03</v>
      </c>
      <c r="C361" s="25">
        <v>58.26</v>
      </c>
      <c r="D361" s="25">
        <v>55.41</v>
      </c>
      <c r="F361" s="4">
        <f t="shared" si="15"/>
        <v>1</v>
      </c>
      <c r="G361" s="4" t="str">
        <f t="shared" si="16"/>
        <v>WTI Crude</v>
      </c>
      <c r="H361" s="25">
        <f t="shared" si="17"/>
        <v>52.03</v>
      </c>
      <c r="I361" s="25">
        <v>1.5449999999999999</v>
      </c>
      <c r="J361" s="88"/>
      <c r="K361" s="106">
        <f>Table1[[#This Row],[GasP]]-Table1[[#This Row],[Gasoline]]</f>
        <v>-1.5449999999999999</v>
      </c>
    </row>
    <row r="362" spans="1:11">
      <c r="A362" s="15">
        <v>44230</v>
      </c>
      <c r="B362" s="25">
        <v>52.3</v>
      </c>
      <c r="C362" s="25">
        <v>57.74</v>
      </c>
      <c r="D362" s="25">
        <v>56.1</v>
      </c>
      <c r="F362" s="4">
        <f t="shared" si="15"/>
        <v>1</v>
      </c>
      <c r="G362" s="4" t="str">
        <f t="shared" si="16"/>
        <v>WTI Crude</v>
      </c>
      <c r="H362" s="25">
        <f t="shared" si="17"/>
        <v>52.3</v>
      </c>
      <c r="I362" s="25">
        <v>1.5471999999999999</v>
      </c>
      <c r="J362" s="88"/>
      <c r="K362" s="106">
        <f>Table1[[#This Row],[GasP]]-Table1[[#This Row],[Gasoline]]</f>
        <v>-1.5471999999999999</v>
      </c>
    </row>
    <row r="363" spans="1:11">
      <c r="A363" s="15">
        <v>44229</v>
      </c>
      <c r="B363" s="25">
        <v>52.37</v>
      </c>
      <c r="C363" s="25">
        <v>56.82</v>
      </c>
      <c r="D363" s="25">
        <v>56.08</v>
      </c>
      <c r="F363" s="4">
        <f t="shared" si="15"/>
        <v>1</v>
      </c>
      <c r="G363" s="4" t="str">
        <f t="shared" si="16"/>
        <v>WTI Crude</v>
      </c>
      <c r="H363" s="25">
        <f t="shared" si="17"/>
        <v>52.37</v>
      </c>
      <c r="I363" s="25">
        <v>1.5437000000000001</v>
      </c>
      <c r="J363" s="88"/>
      <c r="K363" s="106">
        <f>Table1[[#This Row],[GasP]]-Table1[[#This Row],[Gasoline]]</f>
        <v>-1.5437000000000001</v>
      </c>
    </row>
    <row r="364" spans="1:11">
      <c r="A364" s="15">
        <v>44228</v>
      </c>
      <c r="B364" s="25">
        <v>52.23</v>
      </c>
      <c r="C364" s="25">
        <v>55.14</v>
      </c>
      <c r="D364" s="25">
        <v>55.9</v>
      </c>
      <c r="E364" s="4">
        <v>45.13</v>
      </c>
      <c r="F364" s="4">
        <f t="shared" si="15"/>
        <v>4</v>
      </c>
      <c r="G364" s="4" t="str">
        <f t="shared" si="16"/>
        <v>WCS</v>
      </c>
      <c r="H364" s="25">
        <f t="shared" si="17"/>
        <v>45.13</v>
      </c>
      <c r="I364" s="25">
        <v>1.5379</v>
      </c>
      <c r="J364" s="88"/>
      <c r="K364" s="106">
        <f>Table1[[#This Row],[GasP]]-Table1[[#This Row],[Gasoline]]</f>
        <v>-1.5379</v>
      </c>
    </row>
    <row r="365" spans="1:11">
      <c r="A365" s="15">
        <v>44225</v>
      </c>
      <c r="B365" s="25">
        <v>51.96</v>
      </c>
      <c r="C365" s="25">
        <v>54.41</v>
      </c>
      <c r="D365" s="25">
        <v>55.1</v>
      </c>
      <c r="F365" s="4">
        <f t="shared" si="15"/>
        <v>1</v>
      </c>
      <c r="G365" s="4" t="str">
        <f t="shared" si="16"/>
        <v>WTI Crude</v>
      </c>
      <c r="H365" s="25">
        <f t="shared" si="17"/>
        <v>51.96</v>
      </c>
      <c r="I365" s="25">
        <v>1.5277000000000001</v>
      </c>
      <c r="J365" s="88"/>
      <c r="K365" s="106">
        <f>Table1[[#This Row],[GasP]]-Table1[[#This Row],[Gasoline]]</f>
        <v>-1.5277000000000001</v>
      </c>
    </row>
    <row r="366" spans="1:11">
      <c r="A366" s="15">
        <v>44224</v>
      </c>
      <c r="B366" s="25">
        <v>52.59</v>
      </c>
      <c r="C366" s="25">
        <v>54.36</v>
      </c>
      <c r="D366" s="25">
        <v>56.42</v>
      </c>
      <c r="F366" s="4">
        <f t="shared" si="15"/>
        <v>1</v>
      </c>
      <c r="G366" s="4" t="str">
        <f t="shared" si="16"/>
        <v>WTI Crude</v>
      </c>
      <c r="H366" s="25">
        <f t="shared" si="17"/>
        <v>52.59</v>
      </c>
      <c r="I366" s="25">
        <v>1.5538000000000001</v>
      </c>
      <c r="J366" s="88"/>
      <c r="K366" s="106">
        <f>Table1[[#This Row],[GasP]]-Table1[[#This Row],[Gasoline]]</f>
        <v>-1.5538000000000001</v>
      </c>
    </row>
    <row r="367" spans="1:11">
      <c r="A367" s="15">
        <v>44223</v>
      </c>
      <c r="B367" s="25">
        <v>52.21</v>
      </c>
      <c r="C367" s="25">
        <v>55.31</v>
      </c>
      <c r="D367" s="25">
        <v>56.06</v>
      </c>
      <c r="F367" s="4">
        <f t="shared" si="15"/>
        <v>1</v>
      </c>
      <c r="G367" s="4" t="str">
        <f t="shared" si="16"/>
        <v>WTI Crude</v>
      </c>
      <c r="H367" s="25">
        <f t="shared" si="17"/>
        <v>52.21</v>
      </c>
      <c r="I367" s="25">
        <v>1.5467</v>
      </c>
      <c r="J367" s="88"/>
      <c r="K367" s="106">
        <f>Table1[[#This Row],[GasP]]-Table1[[#This Row],[Gasoline]]</f>
        <v>-1.5467</v>
      </c>
    </row>
    <row r="368" spans="1:11">
      <c r="A368" s="15">
        <v>44222</v>
      </c>
      <c r="B368" s="25">
        <v>52.39</v>
      </c>
      <c r="C368" s="25">
        <v>54.87</v>
      </c>
      <c r="D368" s="25">
        <v>56.58</v>
      </c>
      <c r="F368" s="4">
        <f t="shared" si="15"/>
        <v>1</v>
      </c>
      <c r="G368" s="4" t="str">
        <f t="shared" si="16"/>
        <v>WTI Crude</v>
      </c>
      <c r="H368" s="25">
        <f t="shared" si="17"/>
        <v>52.39</v>
      </c>
      <c r="I368" s="25">
        <v>1.5518000000000001</v>
      </c>
      <c r="J368" s="88"/>
      <c r="K368" s="106">
        <f>Table1[[#This Row],[GasP]]-Table1[[#This Row],[Gasoline]]</f>
        <v>-1.5518000000000001</v>
      </c>
    </row>
    <row r="369" spans="1:11">
      <c r="A369" s="15">
        <v>44221</v>
      </c>
      <c r="B369" s="25">
        <v>51.73</v>
      </c>
      <c r="C369" s="25">
        <v>54.85</v>
      </c>
      <c r="D369" s="25">
        <v>55.66</v>
      </c>
      <c r="F369" s="4">
        <f t="shared" si="15"/>
        <v>1</v>
      </c>
      <c r="G369" s="4" t="str">
        <f t="shared" si="16"/>
        <v>WTI Crude</v>
      </c>
      <c r="H369" s="25">
        <f t="shared" si="17"/>
        <v>51.73</v>
      </c>
      <c r="I369" s="25">
        <v>1.5207999999999999</v>
      </c>
      <c r="J369" s="88"/>
      <c r="K369" s="106">
        <f>Table1[[#This Row],[GasP]]-Table1[[#This Row],[Gasoline]]</f>
        <v>-1.5207999999999999</v>
      </c>
    </row>
    <row r="370" spans="1:11">
      <c r="A370" s="15">
        <v>44218</v>
      </c>
      <c r="B370" s="25">
        <v>51.72</v>
      </c>
      <c r="C370" s="25">
        <v>54.69</v>
      </c>
      <c r="D370" s="25">
        <v>55.99</v>
      </c>
      <c r="F370" s="4">
        <f t="shared" si="15"/>
        <v>1</v>
      </c>
      <c r="G370" s="4" t="str">
        <f t="shared" si="16"/>
        <v>WTI Crude</v>
      </c>
      <c r="H370" s="25">
        <f t="shared" si="17"/>
        <v>51.72</v>
      </c>
      <c r="I370" s="25">
        <v>1.5423</v>
      </c>
      <c r="J370" s="88"/>
      <c r="K370" s="106">
        <f>Table1[[#This Row],[GasP]]-Table1[[#This Row],[Gasoline]]</f>
        <v>-1.5423</v>
      </c>
    </row>
    <row r="371" spans="1:11">
      <c r="A371" s="15">
        <v>44217</v>
      </c>
      <c r="B371" s="25">
        <v>50.62</v>
      </c>
      <c r="C371" s="25">
        <v>55.14</v>
      </c>
      <c r="D371" s="25">
        <v>54.38</v>
      </c>
      <c r="F371" s="4">
        <f t="shared" si="15"/>
        <v>1</v>
      </c>
      <c r="G371" s="4" t="str">
        <f t="shared" si="16"/>
        <v>WTI Crude</v>
      </c>
      <c r="H371" s="25">
        <f t="shared" si="17"/>
        <v>50.62</v>
      </c>
      <c r="I371" s="25">
        <v>1.4826999999999999</v>
      </c>
      <c r="J371" s="88"/>
      <c r="K371" s="106">
        <f>Table1[[#This Row],[GasP]]-Table1[[#This Row],[Gasoline]]</f>
        <v>-1.4826999999999999</v>
      </c>
    </row>
    <row r="372" spans="1:11">
      <c r="A372" s="15">
        <v>44216</v>
      </c>
      <c r="B372" s="25">
        <v>50.46</v>
      </c>
      <c r="C372" s="25">
        <v>55.75</v>
      </c>
      <c r="D372" s="25">
        <v>54.3</v>
      </c>
      <c r="F372" s="4">
        <f t="shared" si="15"/>
        <v>1</v>
      </c>
      <c r="G372" s="4" t="str">
        <f t="shared" si="16"/>
        <v>WTI Crude</v>
      </c>
      <c r="H372" s="25">
        <f t="shared" si="17"/>
        <v>50.46</v>
      </c>
      <c r="I372" s="25">
        <v>1.4750000000000001</v>
      </c>
      <c r="J372" s="88"/>
      <c r="K372" s="106">
        <f>Table1[[#This Row],[GasP]]-Table1[[#This Row],[Gasoline]]</f>
        <v>-1.4750000000000001</v>
      </c>
    </row>
    <row r="373" spans="1:11">
      <c r="A373" s="15">
        <v>44215</v>
      </c>
      <c r="B373" s="25">
        <v>49.84</v>
      </c>
      <c r="C373" s="25">
        <v>54.85</v>
      </c>
      <c r="D373" s="25">
        <v>53.6</v>
      </c>
      <c r="F373" s="4">
        <f t="shared" si="15"/>
        <v>1</v>
      </c>
      <c r="G373" s="4" t="str">
        <f t="shared" si="16"/>
        <v>WTI Crude</v>
      </c>
      <c r="H373" s="25">
        <f t="shared" si="17"/>
        <v>49.84</v>
      </c>
      <c r="I373" s="25">
        <v>1.4520999999999999</v>
      </c>
      <c r="J373" s="88"/>
      <c r="K373" s="106">
        <f>Table1[[#This Row],[GasP]]-Table1[[#This Row],[Gasoline]]</f>
        <v>-1.4520999999999999</v>
      </c>
    </row>
    <row r="374" spans="1:11">
      <c r="A374" s="15">
        <v>44214</v>
      </c>
      <c r="B374" s="25">
        <v>47.67</v>
      </c>
      <c r="C374" s="25">
        <v>53.92</v>
      </c>
      <c r="D374" s="25">
        <v>51.09</v>
      </c>
      <c r="F374" s="4">
        <f t="shared" si="15"/>
        <v>1</v>
      </c>
      <c r="G374" s="4" t="str">
        <f t="shared" si="16"/>
        <v>WTI Crude</v>
      </c>
      <c r="H374" s="25">
        <f t="shared" si="17"/>
        <v>47.67</v>
      </c>
      <c r="I374" s="25">
        <v>1.3729</v>
      </c>
      <c r="J374" s="88">
        <f>2.76+0.5*K379</f>
        <v>2.0738999999999996</v>
      </c>
      <c r="K374" s="106">
        <f>Table1[[#This Row],[GasP]]-Table1[[#This Row],[Gasoline]]</f>
        <v>0.70099999999999962</v>
      </c>
    </row>
    <row r="375" spans="1:11">
      <c r="A375" s="15">
        <v>44211</v>
      </c>
      <c r="B375" s="25">
        <v>47.07</v>
      </c>
      <c r="C375" s="25">
        <v>54.68</v>
      </c>
      <c r="D375" s="25">
        <v>51.8</v>
      </c>
      <c r="F375" s="4">
        <f t="shared" si="15"/>
        <v>1</v>
      </c>
      <c r="G375" s="4" t="str">
        <f t="shared" si="16"/>
        <v>WTI Crude</v>
      </c>
      <c r="H375" s="25">
        <f t="shared" si="17"/>
        <v>47.07</v>
      </c>
      <c r="I375" s="25">
        <v>1.4100999999999999</v>
      </c>
      <c r="J375" s="88"/>
      <c r="K375" s="106">
        <f>Table1[[#This Row],[GasP]]-Table1[[#This Row],[Gasoline]]</f>
        <v>-1.4100999999999999</v>
      </c>
    </row>
    <row r="376" spans="1:11">
      <c r="A376" s="15">
        <v>44210</v>
      </c>
      <c r="B376" s="25">
        <v>47.06</v>
      </c>
      <c r="C376" s="25">
        <v>55.19</v>
      </c>
      <c r="D376" s="25">
        <v>51.34</v>
      </c>
      <c r="F376" s="4">
        <f t="shared" si="15"/>
        <v>1</v>
      </c>
      <c r="G376" s="4" t="str">
        <f t="shared" si="16"/>
        <v>WTI Crude</v>
      </c>
      <c r="H376" s="25">
        <f t="shared" si="17"/>
        <v>47.06</v>
      </c>
      <c r="I376" s="25">
        <v>1.4013</v>
      </c>
      <c r="J376" s="88"/>
      <c r="K376" s="106">
        <f>Table1[[#This Row],[GasP]]-Table1[[#This Row],[Gasoline]]</f>
        <v>-1.4013</v>
      </c>
    </row>
    <row r="377" spans="1:11">
      <c r="A377" s="15">
        <v>44209</v>
      </c>
      <c r="B377" s="25">
        <v>47.03</v>
      </c>
      <c r="C377" s="25">
        <v>55.81</v>
      </c>
      <c r="D377" s="25">
        <v>51.09</v>
      </c>
      <c r="F377" s="4">
        <f t="shared" si="15"/>
        <v>1</v>
      </c>
      <c r="G377" s="4" t="str">
        <f t="shared" si="16"/>
        <v>WTI Crude</v>
      </c>
      <c r="H377" s="25">
        <f t="shared" si="17"/>
        <v>47.03</v>
      </c>
      <c r="I377" s="25">
        <v>1.3783000000000001</v>
      </c>
      <c r="J377" s="88"/>
      <c r="K377" s="106">
        <f>Table1[[#This Row],[GasP]]-Table1[[#This Row],[Gasoline]]</f>
        <v>-1.3783000000000001</v>
      </c>
    </row>
    <row r="378" spans="1:11">
      <c r="A378" s="15">
        <v>44208</v>
      </c>
      <c r="B378" s="25">
        <v>46.97</v>
      </c>
      <c r="C378" s="25">
        <v>55.41</v>
      </c>
      <c r="D378" s="25">
        <v>50.86</v>
      </c>
      <c r="F378" s="4">
        <f t="shared" si="15"/>
        <v>1</v>
      </c>
      <c r="G378" s="4" t="str">
        <f t="shared" si="16"/>
        <v>WTI Crude</v>
      </c>
      <c r="H378" s="25">
        <f t="shared" si="17"/>
        <v>46.97</v>
      </c>
      <c r="I378" s="25">
        <v>1.3607</v>
      </c>
      <c r="J378" s="88"/>
      <c r="K378" s="106">
        <f>Table1[[#This Row],[GasP]]-Table1[[#This Row],[Gasoline]]</f>
        <v>-1.3607</v>
      </c>
    </row>
    <row r="379" spans="1:11">
      <c r="A379" s="15">
        <v>44207</v>
      </c>
      <c r="B379" s="25">
        <v>47.09</v>
      </c>
      <c r="C379" s="25">
        <v>54.76</v>
      </c>
      <c r="D379" s="25">
        <v>51.29</v>
      </c>
      <c r="F379" s="4">
        <f t="shared" si="15"/>
        <v>1</v>
      </c>
      <c r="G379" s="4" t="str">
        <f t="shared" si="16"/>
        <v>WTI Crude</v>
      </c>
      <c r="H379" s="25">
        <f t="shared" si="17"/>
        <v>47.09</v>
      </c>
      <c r="I379" s="25">
        <v>1.3722000000000001</v>
      </c>
      <c r="J379" s="88"/>
      <c r="K379" s="106">
        <f>Table1[[#This Row],[GasP]]-Table1[[#This Row],[Gasoline]]</f>
        <v>-1.3722000000000001</v>
      </c>
    </row>
    <row r="380" spans="1:11">
      <c r="A380" s="15">
        <v>44204</v>
      </c>
      <c r="B380" s="25">
        <v>47.06</v>
      </c>
      <c r="C380" s="25">
        <v>54.39</v>
      </c>
      <c r="D380" s="25">
        <v>51.2</v>
      </c>
      <c r="F380" s="4">
        <f t="shared" si="15"/>
        <v>1</v>
      </c>
      <c r="G380" s="4" t="str">
        <f t="shared" si="16"/>
        <v>WTI Crude</v>
      </c>
      <c r="H380" s="25">
        <f t="shared" si="17"/>
        <v>47.06</v>
      </c>
      <c r="I380" s="25">
        <v>1.3762000000000001</v>
      </c>
      <c r="J380" s="88"/>
      <c r="K380" s="106">
        <f>Table1[[#This Row],[GasP]]-Table1[[#This Row],[Gasoline]]</f>
        <v>-1.3762000000000001</v>
      </c>
    </row>
    <row r="381" spans="1:11">
      <c r="A381" s="15">
        <v>44203</v>
      </c>
      <c r="B381" s="25">
        <v>46.76</v>
      </c>
      <c r="C381" s="25">
        <v>53.84</v>
      </c>
      <c r="D381" s="25">
        <v>50.08</v>
      </c>
      <c r="F381" s="4">
        <f t="shared" si="15"/>
        <v>1</v>
      </c>
      <c r="G381" s="4" t="str">
        <f t="shared" si="16"/>
        <v>WTI Crude</v>
      </c>
      <c r="H381" s="25">
        <f t="shared" si="17"/>
        <v>46.76</v>
      </c>
      <c r="I381" s="25">
        <v>1.3354999999999999</v>
      </c>
      <c r="J381" s="88"/>
      <c r="K381" s="106">
        <f>Table1[[#This Row],[GasP]]-Table1[[#This Row],[Gasoline]]</f>
        <v>-1.3354999999999999</v>
      </c>
    </row>
    <row r="382" spans="1:11">
      <c r="A382" s="15">
        <v>44202</v>
      </c>
      <c r="B382" s="25">
        <v>47.06</v>
      </c>
      <c r="C382" s="25">
        <v>53.29</v>
      </c>
      <c r="D382" s="25">
        <v>50.91</v>
      </c>
      <c r="F382" s="4">
        <f t="shared" si="15"/>
        <v>1</v>
      </c>
      <c r="G382" s="4" t="str">
        <f t="shared" si="16"/>
        <v>WTI Crude</v>
      </c>
      <c r="H382" s="25">
        <f t="shared" si="17"/>
        <v>47.06</v>
      </c>
      <c r="I382" s="25">
        <v>1.3548</v>
      </c>
      <c r="J382" s="88"/>
      <c r="K382" s="106">
        <f>Table1[[#This Row],[GasP]]-Table1[[#This Row],[Gasoline]]</f>
        <v>-1.3548</v>
      </c>
    </row>
    <row r="383" spans="1:11">
      <c r="A383" s="15">
        <v>44201</v>
      </c>
      <c r="B383" s="25">
        <v>47.53</v>
      </c>
      <c r="C383" s="25">
        <v>50.75</v>
      </c>
      <c r="D383" s="25">
        <v>52.26</v>
      </c>
      <c r="F383" s="4">
        <f t="shared" si="15"/>
        <v>1</v>
      </c>
      <c r="G383" s="4" t="str">
        <f t="shared" si="16"/>
        <v>WTI Crude</v>
      </c>
      <c r="H383" s="25">
        <f t="shared" si="17"/>
        <v>47.53</v>
      </c>
      <c r="I383" s="25">
        <v>1.391</v>
      </c>
      <c r="J383" s="88"/>
      <c r="K383" s="106">
        <f>Table1[[#This Row],[GasP]]-Table1[[#This Row],[Gasoline]]</f>
        <v>-1.391</v>
      </c>
    </row>
    <row r="384" spans="1:11">
      <c r="A384" s="15">
        <v>44200</v>
      </c>
      <c r="B384" s="25">
        <v>47.24</v>
      </c>
      <c r="C384" s="25">
        <v>51.35</v>
      </c>
      <c r="D384" s="25">
        <v>51.5</v>
      </c>
      <c r="F384" s="4">
        <f t="shared" si="15"/>
        <v>1</v>
      </c>
      <c r="G384" s="4" t="str">
        <f t="shared" si="16"/>
        <v>WTI Crude</v>
      </c>
      <c r="H384" s="25">
        <f t="shared" si="17"/>
        <v>47.24</v>
      </c>
      <c r="I384" s="25">
        <v>1.3816999999999999</v>
      </c>
      <c r="J384" s="88"/>
      <c r="K384" s="106">
        <f>Table1[[#This Row],[GasP]]-Table1[[#This Row],[Gasoline]]</f>
        <v>-1.3816999999999999</v>
      </c>
    </row>
    <row r="385" spans="1:11">
      <c r="A385" s="15">
        <v>44196</v>
      </c>
      <c r="B385" s="25">
        <v>46.99</v>
      </c>
      <c r="C385" s="25">
        <v>50.24</v>
      </c>
      <c r="D385" s="25">
        <v>51.08</v>
      </c>
      <c r="F385" s="4">
        <f t="shared" si="15"/>
        <v>1</v>
      </c>
      <c r="G385" s="4" t="str">
        <f t="shared" si="16"/>
        <v>WTI Crude</v>
      </c>
      <c r="H385" s="25">
        <f t="shared" si="17"/>
        <v>46.99</v>
      </c>
      <c r="I385" s="25">
        <v>1.3514999999999999</v>
      </c>
      <c r="J385" s="88"/>
      <c r="K385" s="106">
        <f>Table1[[#This Row],[GasP]]-Table1[[#This Row],[Gasoline]]</f>
        <v>-1.3514999999999999</v>
      </c>
    </row>
    <row r="386" spans="1:11">
      <c r="A386" s="15">
        <v>44195</v>
      </c>
      <c r="B386" s="25">
        <v>46.89</v>
      </c>
      <c r="C386" s="25">
        <v>50.22</v>
      </c>
      <c r="D386" s="25">
        <v>50.76</v>
      </c>
      <c r="F386" s="4">
        <f t="shared" ref="F386:F449" si="18">IF(MIN(B386:E386)=B386,1,IF(MIN(B386:E386)=C386,2,IF(MIN(B386:E386)=D386,3,IF(MIN(B386:E386)=E386,4,))))</f>
        <v>1</v>
      </c>
      <c r="G386" s="4" t="str">
        <f t="shared" ref="G386:G449" si="19">IF(MIN(B386:E386)=B386,$B$1,IF(MIN(B386:E386)=C386,$C$1,IF(MIN(B386:E386)=D386,$D$1,IF(MIN(B386:E386)=E386,$E$1,))))</f>
        <v>WTI Crude</v>
      </c>
      <c r="H386" s="25">
        <f t="shared" ref="H386:H449" si="20">IF(MIN(B386:E386)=B386,B386,IF(MIN(B386:E386)=C386,C386,IF(MIN(B386:E386)=D386,D386,IF(MIN(B386:E386)=E386,E386,))))</f>
        <v>46.89</v>
      </c>
      <c r="I386" s="25">
        <v>1.3268</v>
      </c>
      <c r="J386" s="88"/>
      <c r="K386" s="106">
        <f>Table1[[#This Row],[GasP]]-Table1[[#This Row],[Gasoline]]</f>
        <v>-1.3268</v>
      </c>
    </row>
    <row r="387" spans="1:11">
      <c r="A387" s="15">
        <v>44194</v>
      </c>
      <c r="B387" s="25">
        <v>46.54</v>
      </c>
      <c r="C387" s="25">
        <v>50.16</v>
      </c>
      <c r="D387" s="25">
        <v>50.29</v>
      </c>
      <c r="F387" s="4">
        <f t="shared" si="18"/>
        <v>1</v>
      </c>
      <c r="G387" s="4" t="str">
        <f t="shared" si="19"/>
        <v>WTI Crude</v>
      </c>
      <c r="H387" s="25">
        <f t="shared" si="20"/>
        <v>46.54</v>
      </c>
      <c r="I387" s="25">
        <v>1.3190999999999999</v>
      </c>
      <c r="J387" s="88"/>
      <c r="K387" s="106">
        <f>Table1[[#This Row],[GasP]]-Table1[[#This Row],[Gasoline]]</f>
        <v>-1.3190999999999999</v>
      </c>
    </row>
    <row r="388" spans="1:11">
      <c r="A388" s="15">
        <v>44193</v>
      </c>
      <c r="B388" s="25">
        <v>46.3</v>
      </c>
      <c r="C388" s="25">
        <v>50.1</v>
      </c>
      <c r="D388" s="25">
        <v>49.97</v>
      </c>
      <c r="F388" s="4">
        <f t="shared" si="18"/>
        <v>1</v>
      </c>
      <c r="G388" s="4" t="str">
        <f t="shared" si="19"/>
        <v>WTI Crude</v>
      </c>
      <c r="H388" s="25">
        <f t="shared" si="20"/>
        <v>46.3</v>
      </c>
      <c r="I388" s="25">
        <v>1.3077000000000001</v>
      </c>
      <c r="J388" s="88"/>
      <c r="K388" s="106">
        <f>Table1[[#This Row],[GasP]]-Table1[[#This Row],[Gasoline]]</f>
        <v>-1.3077000000000001</v>
      </c>
    </row>
    <row r="389" spans="1:11">
      <c r="A389" s="15">
        <v>44189</v>
      </c>
      <c r="B389" s="25">
        <v>46.44</v>
      </c>
      <c r="C389" s="25">
        <v>50.31</v>
      </c>
      <c r="D389" s="25">
        <v>50.25</v>
      </c>
      <c r="F389" s="4">
        <f t="shared" si="18"/>
        <v>1</v>
      </c>
      <c r="G389" s="4" t="str">
        <f t="shared" si="19"/>
        <v>WTI Crude</v>
      </c>
      <c r="H389" s="25">
        <f t="shared" si="20"/>
        <v>46.44</v>
      </c>
      <c r="I389" s="25">
        <v>1.3166</v>
      </c>
      <c r="J389" s="88"/>
      <c r="K389" s="106">
        <f>Table1[[#This Row],[GasP]]-Table1[[#This Row],[Gasoline]]</f>
        <v>-1.3166</v>
      </c>
    </row>
    <row r="390" spans="1:11">
      <c r="A390" s="15">
        <v>44188</v>
      </c>
      <c r="B390" s="25">
        <v>45.58</v>
      </c>
      <c r="C390" s="25">
        <v>49.46</v>
      </c>
      <c r="D390" s="25">
        <v>48.86</v>
      </c>
      <c r="F390" s="4">
        <f t="shared" si="18"/>
        <v>1</v>
      </c>
      <c r="G390" s="4" t="str">
        <f t="shared" si="19"/>
        <v>WTI Crude</v>
      </c>
      <c r="H390" s="25">
        <f t="shared" si="20"/>
        <v>45.58</v>
      </c>
      <c r="I390" s="25">
        <v>1.2759</v>
      </c>
      <c r="J390" s="88"/>
      <c r="K390" s="106">
        <f>Table1[[#This Row],[GasP]]-Table1[[#This Row],[Gasoline]]</f>
        <v>-1.2759</v>
      </c>
    </row>
    <row r="391" spans="1:11">
      <c r="A391" s="15">
        <v>44187</v>
      </c>
      <c r="B391" s="25">
        <v>45.64</v>
      </c>
      <c r="C391" s="25">
        <v>49.22</v>
      </c>
      <c r="D391" s="25">
        <v>48.84</v>
      </c>
      <c r="F391" s="4">
        <f t="shared" si="18"/>
        <v>1</v>
      </c>
      <c r="G391" s="4" t="str">
        <f t="shared" si="19"/>
        <v>WTI Crude</v>
      </c>
      <c r="H391" s="25">
        <f t="shared" si="20"/>
        <v>45.64</v>
      </c>
      <c r="I391" s="25">
        <v>1.2559</v>
      </c>
      <c r="J391" s="88"/>
      <c r="K391" s="106">
        <f>Table1[[#This Row],[GasP]]-Table1[[#This Row],[Gasoline]]</f>
        <v>-1.2559</v>
      </c>
    </row>
    <row r="392" spans="1:11">
      <c r="A392" s="15">
        <v>44186</v>
      </c>
      <c r="B392" s="25">
        <v>45.76</v>
      </c>
      <c r="C392" s="25">
        <v>49.57</v>
      </c>
      <c r="D392" s="25">
        <v>48.79</v>
      </c>
      <c r="F392" s="4">
        <f t="shared" si="18"/>
        <v>1</v>
      </c>
      <c r="G392" s="4" t="str">
        <f t="shared" si="19"/>
        <v>WTI Crude</v>
      </c>
      <c r="H392" s="25">
        <f t="shared" si="20"/>
        <v>45.76</v>
      </c>
      <c r="I392" s="25">
        <v>1.2558</v>
      </c>
      <c r="J392" s="88"/>
      <c r="K392" s="106">
        <f>Table1[[#This Row],[GasP]]-Table1[[#This Row],[Gasoline]]</f>
        <v>-1.2558</v>
      </c>
    </row>
    <row r="393" spans="1:11">
      <c r="A393" s="15">
        <v>44183</v>
      </c>
      <c r="B393" s="25">
        <v>46.16</v>
      </c>
      <c r="C393" s="25">
        <v>50.69</v>
      </c>
      <c r="D393" s="25">
        <v>49.25</v>
      </c>
      <c r="F393" s="4">
        <f t="shared" si="18"/>
        <v>1</v>
      </c>
      <c r="G393" s="4" t="str">
        <f t="shared" si="19"/>
        <v>WTI Crude</v>
      </c>
      <c r="H393" s="25">
        <f t="shared" si="20"/>
        <v>46.16</v>
      </c>
      <c r="I393" s="25">
        <v>1.2685</v>
      </c>
      <c r="J393" s="88"/>
      <c r="K393" s="106">
        <f>Table1[[#This Row],[GasP]]-Table1[[#This Row],[Gasoline]]</f>
        <v>-1.2685</v>
      </c>
    </row>
    <row r="394" spans="1:11">
      <c r="A394" s="15">
        <v>44182</v>
      </c>
      <c r="B394" s="25">
        <v>45.62</v>
      </c>
      <c r="C394" s="25">
        <v>50.78</v>
      </c>
      <c r="D394" s="25">
        <v>48.71</v>
      </c>
      <c r="F394" s="4">
        <f t="shared" si="18"/>
        <v>1</v>
      </c>
      <c r="G394" s="4" t="str">
        <f t="shared" si="19"/>
        <v>WTI Crude</v>
      </c>
      <c r="H394" s="25">
        <f t="shared" si="20"/>
        <v>45.62</v>
      </c>
      <c r="I394" s="25">
        <v>1.2617</v>
      </c>
      <c r="J394" s="88"/>
      <c r="K394" s="106">
        <f>Table1[[#This Row],[GasP]]-Table1[[#This Row],[Gasoline]]</f>
        <v>-1.2617</v>
      </c>
    </row>
    <row r="395" spans="1:11">
      <c r="A395" s="15">
        <v>44181</v>
      </c>
      <c r="B395" s="25">
        <v>45.3</v>
      </c>
      <c r="C395" s="25">
        <v>50.12</v>
      </c>
      <c r="D395" s="25">
        <v>48.25</v>
      </c>
      <c r="F395" s="4">
        <f t="shared" si="18"/>
        <v>1</v>
      </c>
      <c r="G395" s="4" t="str">
        <f t="shared" si="19"/>
        <v>WTI Crude</v>
      </c>
      <c r="H395" s="25">
        <f t="shared" si="20"/>
        <v>45.3</v>
      </c>
      <c r="I395" s="25">
        <v>1.2399</v>
      </c>
      <c r="J395" s="88"/>
      <c r="K395" s="106">
        <f>Table1[[#This Row],[GasP]]-Table1[[#This Row],[Gasoline]]</f>
        <v>-1.2399</v>
      </c>
    </row>
    <row r="396" spans="1:11">
      <c r="A396" s="15">
        <v>44180</v>
      </c>
      <c r="B396" s="25">
        <v>44.61</v>
      </c>
      <c r="C396" s="25">
        <v>49.61</v>
      </c>
      <c r="D396" s="25">
        <v>47.42</v>
      </c>
      <c r="F396" s="4">
        <f t="shared" si="18"/>
        <v>1</v>
      </c>
      <c r="G396" s="4" t="str">
        <f t="shared" si="19"/>
        <v>WTI Crude</v>
      </c>
      <c r="H396" s="25">
        <f t="shared" si="20"/>
        <v>44.61</v>
      </c>
      <c r="I396" s="25">
        <v>1.2203999999999999</v>
      </c>
      <c r="J396" s="88"/>
      <c r="K396" s="106">
        <f>Table1[[#This Row],[GasP]]-Table1[[#This Row],[Gasoline]]</f>
        <v>-1.2203999999999999</v>
      </c>
    </row>
    <row r="397" spans="1:11">
      <c r="A397" s="15">
        <v>44179</v>
      </c>
      <c r="B397" s="25">
        <v>41.35</v>
      </c>
      <c r="C397" s="25">
        <v>49.65</v>
      </c>
      <c r="D397" s="25">
        <v>47.59</v>
      </c>
      <c r="F397" s="4">
        <f t="shared" si="18"/>
        <v>1</v>
      </c>
      <c r="G397" s="4" t="str">
        <f t="shared" si="19"/>
        <v>WTI Crude</v>
      </c>
      <c r="H397" s="25">
        <f t="shared" si="20"/>
        <v>41.35</v>
      </c>
      <c r="I397" s="25">
        <v>1.2416</v>
      </c>
      <c r="J397" s="88"/>
      <c r="K397" s="106">
        <f>Table1[[#This Row],[GasP]]-Table1[[#This Row],[Gasoline]]</f>
        <v>-1.2416</v>
      </c>
    </row>
    <row r="398" spans="1:11">
      <c r="A398" s="15">
        <v>44176</v>
      </c>
      <c r="B398" s="25">
        <v>41.36</v>
      </c>
      <c r="C398" s="25">
        <v>49.58</v>
      </c>
      <c r="D398" s="25">
        <v>48.18</v>
      </c>
      <c r="F398" s="4">
        <f t="shared" si="18"/>
        <v>1</v>
      </c>
      <c r="G398" s="4" t="str">
        <f t="shared" si="19"/>
        <v>WTI Crude</v>
      </c>
      <c r="H398" s="25">
        <f t="shared" si="20"/>
        <v>41.36</v>
      </c>
      <c r="I398" s="25">
        <v>1.266</v>
      </c>
      <c r="J398" s="88"/>
      <c r="K398" s="106">
        <f>Table1[[#This Row],[GasP]]-Table1[[#This Row],[Gasoline]]</f>
        <v>-1.266</v>
      </c>
    </row>
    <row r="399" spans="1:11">
      <c r="A399" s="15">
        <v>44175</v>
      </c>
      <c r="B399" s="25">
        <v>41.37</v>
      </c>
      <c r="C399" s="25">
        <v>48.87</v>
      </c>
      <c r="D399" s="25">
        <v>48.61</v>
      </c>
      <c r="F399" s="4">
        <f t="shared" si="18"/>
        <v>1</v>
      </c>
      <c r="G399" s="4" t="str">
        <f t="shared" si="19"/>
        <v>WTI Crude</v>
      </c>
      <c r="H399" s="25">
        <f t="shared" si="20"/>
        <v>41.37</v>
      </c>
      <c r="I399" s="25">
        <v>1.2709999999999999</v>
      </c>
      <c r="J399" s="88">
        <f>2.76+0.65*K404</f>
        <v>2.0043099999999998</v>
      </c>
      <c r="K399" s="106">
        <f>Table1[[#This Row],[GasP]]-Table1[[#This Row],[Gasoline]]</f>
        <v>0.73330999999999991</v>
      </c>
    </row>
    <row r="400" spans="1:11">
      <c r="A400" s="15">
        <v>44174</v>
      </c>
      <c r="B400" s="25">
        <v>41.25</v>
      </c>
      <c r="C400" s="25">
        <v>48.31</v>
      </c>
      <c r="D400" s="25">
        <v>47.86</v>
      </c>
      <c r="F400" s="4">
        <f t="shared" si="18"/>
        <v>1</v>
      </c>
      <c r="G400" s="4" t="str">
        <f t="shared" si="19"/>
        <v>WTI Crude</v>
      </c>
      <c r="H400" s="25">
        <f t="shared" si="20"/>
        <v>41.25</v>
      </c>
      <c r="I400" s="25">
        <v>1.2509999999999999</v>
      </c>
      <c r="J400" s="88"/>
      <c r="K400" s="106">
        <f>Table1[[#This Row],[GasP]]-Table1[[#This Row],[Gasoline]]</f>
        <v>-1.2509999999999999</v>
      </c>
    </row>
    <row r="401" spans="1:11">
      <c r="A401" s="15">
        <v>44173</v>
      </c>
      <c r="B401" s="25">
        <v>40.880000000000003</v>
      </c>
      <c r="C401" s="25">
        <v>47.79</v>
      </c>
      <c r="D401" s="25">
        <v>46.06</v>
      </c>
      <c r="F401" s="4">
        <f t="shared" si="18"/>
        <v>1</v>
      </c>
      <c r="G401" s="4" t="str">
        <f t="shared" si="19"/>
        <v>WTI Crude</v>
      </c>
      <c r="H401" s="25">
        <f t="shared" si="20"/>
        <v>40.880000000000003</v>
      </c>
      <c r="I401" s="25">
        <v>1.1971000000000001</v>
      </c>
      <c r="J401" s="88"/>
      <c r="K401" s="106">
        <f>Table1[[#This Row],[GasP]]-Table1[[#This Row],[Gasoline]]</f>
        <v>-1.1971000000000001</v>
      </c>
    </row>
    <row r="402" spans="1:11">
      <c r="A402" s="15">
        <v>44172</v>
      </c>
      <c r="B402" s="25">
        <v>40.72</v>
      </c>
      <c r="C402" s="25">
        <v>47.77</v>
      </c>
      <c r="D402" s="25">
        <v>44.96</v>
      </c>
      <c r="F402" s="4">
        <f t="shared" si="18"/>
        <v>1</v>
      </c>
      <c r="G402" s="4" t="str">
        <f t="shared" si="19"/>
        <v>WTI Crude</v>
      </c>
      <c r="H402" s="25">
        <f t="shared" si="20"/>
        <v>40.72</v>
      </c>
      <c r="I402" s="25">
        <v>1.1702999999999999</v>
      </c>
      <c r="J402" s="88"/>
      <c r="K402" s="106">
        <f>Table1[[#This Row],[GasP]]-Table1[[#This Row],[Gasoline]]</f>
        <v>-1.1702999999999999</v>
      </c>
    </row>
    <row r="403" spans="1:11">
      <c r="A403" s="15">
        <v>44169</v>
      </c>
      <c r="B403" s="25">
        <v>40.57</v>
      </c>
      <c r="C403" s="25">
        <v>48.35</v>
      </c>
      <c r="D403" s="25">
        <v>44.2</v>
      </c>
      <c r="F403" s="4">
        <f t="shared" si="18"/>
        <v>1</v>
      </c>
      <c r="G403" s="4" t="str">
        <f t="shared" si="19"/>
        <v>WTI Crude</v>
      </c>
      <c r="H403" s="25">
        <f t="shared" si="20"/>
        <v>40.57</v>
      </c>
      <c r="I403" s="25">
        <v>1.1596</v>
      </c>
      <c r="J403" s="88"/>
      <c r="K403" s="106">
        <f>Table1[[#This Row],[GasP]]-Table1[[#This Row],[Gasoline]]</f>
        <v>-1.1596</v>
      </c>
    </row>
    <row r="404" spans="1:11">
      <c r="A404" s="15">
        <v>44168</v>
      </c>
      <c r="B404" s="25">
        <v>40.61</v>
      </c>
      <c r="C404" s="25">
        <v>47.46</v>
      </c>
      <c r="D404" s="25">
        <v>44.34</v>
      </c>
      <c r="F404" s="4">
        <f t="shared" si="18"/>
        <v>1</v>
      </c>
      <c r="G404" s="4" t="str">
        <f t="shared" si="19"/>
        <v>WTI Crude</v>
      </c>
      <c r="H404" s="25">
        <f t="shared" si="20"/>
        <v>40.61</v>
      </c>
      <c r="I404" s="25">
        <v>1.1626000000000001</v>
      </c>
      <c r="J404" s="88"/>
      <c r="K404" s="106">
        <f>Table1[[#This Row],[GasP]]-Table1[[#This Row],[Gasoline]]</f>
        <v>-1.1626000000000001</v>
      </c>
    </row>
    <row r="405" spans="1:11">
      <c r="A405" s="15">
        <v>44167</v>
      </c>
      <c r="B405" s="25">
        <v>40.46</v>
      </c>
      <c r="C405" s="25">
        <v>46.69</v>
      </c>
      <c r="D405" s="25">
        <v>43.75</v>
      </c>
      <c r="F405" s="4">
        <f t="shared" si="18"/>
        <v>1</v>
      </c>
      <c r="G405" s="4" t="str">
        <f t="shared" si="19"/>
        <v>WTI Crude</v>
      </c>
      <c r="H405" s="25">
        <f t="shared" si="20"/>
        <v>40.46</v>
      </c>
      <c r="I405" s="25">
        <v>1.1528</v>
      </c>
      <c r="J405" s="88"/>
      <c r="K405" s="106">
        <f>Table1[[#This Row],[GasP]]-Table1[[#This Row],[Gasoline]]</f>
        <v>-1.1528</v>
      </c>
    </row>
    <row r="406" spans="1:11">
      <c r="A406" s="15">
        <v>44166</v>
      </c>
      <c r="B406" s="25">
        <v>40.42</v>
      </c>
      <c r="C406" s="25">
        <v>46.73</v>
      </c>
      <c r="D406" s="25">
        <v>43.82</v>
      </c>
      <c r="F406" s="4">
        <f t="shared" si="18"/>
        <v>1</v>
      </c>
      <c r="G406" s="4" t="str">
        <f t="shared" si="19"/>
        <v>WTI Crude</v>
      </c>
      <c r="H406" s="25">
        <f t="shared" si="20"/>
        <v>40.42</v>
      </c>
      <c r="I406" s="25">
        <v>1.147</v>
      </c>
      <c r="J406" s="88"/>
      <c r="K406" s="106">
        <f>Table1[[#This Row],[GasP]]-Table1[[#This Row],[Gasoline]]</f>
        <v>-1.147</v>
      </c>
    </row>
    <row r="407" spans="1:11">
      <c r="A407" s="15">
        <v>44165</v>
      </c>
      <c r="B407" s="25">
        <v>39.83</v>
      </c>
      <c r="C407" s="25">
        <v>46.43</v>
      </c>
      <c r="D407" s="25">
        <v>42.78</v>
      </c>
      <c r="F407" s="4">
        <f t="shared" si="18"/>
        <v>1</v>
      </c>
      <c r="G407" s="4" t="str">
        <f t="shared" si="19"/>
        <v>WTI Crude</v>
      </c>
      <c r="H407" s="25">
        <f t="shared" si="20"/>
        <v>39.83</v>
      </c>
      <c r="I407" s="25">
        <v>1.125</v>
      </c>
      <c r="J407" s="88"/>
      <c r="K407" s="106">
        <f>Table1[[#This Row],[GasP]]-Table1[[#This Row],[Gasoline]]</f>
        <v>-1.125</v>
      </c>
    </row>
    <row r="408" spans="1:11">
      <c r="A408" s="15">
        <v>44162</v>
      </c>
      <c r="B408" s="25">
        <v>40.380000000000003</v>
      </c>
      <c r="C408" s="25">
        <v>46.79</v>
      </c>
      <c r="D408" s="25">
        <v>43.53</v>
      </c>
      <c r="F408" s="4">
        <f t="shared" si="18"/>
        <v>1</v>
      </c>
      <c r="G408" s="4" t="str">
        <f t="shared" si="19"/>
        <v>WTI Crude</v>
      </c>
      <c r="H408" s="25">
        <f t="shared" si="20"/>
        <v>40.380000000000003</v>
      </c>
      <c r="I408" s="25">
        <v>1.1557999999999999</v>
      </c>
      <c r="J408" s="88"/>
      <c r="K408" s="106">
        <f>Table1[[#This Row],[GasP]]-Table1[[#This Row],[Gasoline]]</f>
        <v>-1.1557999999999999</v>
      </c>
    </row>
    <row r="409" spans="1:11">
      <c r="A409" s="15">
        <v>44161</v>
      </c>
      <c r="B409" s="25">
        <v>40.58</v>
      </c>
      <c r="C409" s="25">
        <v>46.66</v>
      </c>
      <c r="D409" s="25">
        <v>43.8</v>
      </c>
      <c r="F409" s="4">
        <f t="shared" si="18"/>
        <v>1</v>
      </c>
      <c r="G409" s="4" t="str">
        <f t="shared" si="19"/>
        <v>WTI Crude</v>
      </c>
      <c r="H409" s="25">
        <f t="shared" si="20"/>
        <v>40.58</v>
      </c>
      <c r="I409" s="25">
        <v>1.1758999999999999</v>
      </c>
      <c r="J409" s="88"/>
      <c r="K409" s="106">
        <f>Table1[[#This Row],[GasP]]-Table1[[#This Row],[Gasoline]]</f>
        <v>-1.1758999999999999</v>
      </c>
    </row>
    <row r="410" spans="1:11">
      <c r="A410" s="15">
        <v>44160</v>
      </c>
      <c r="B410" s="25">
        <v>40.520000000000003</v>
      </c>
      <c r="C410" s="25">
        <v>46.91</v>
      </c>
      <c r="D410" s="25">
        <v>43.61</v>
      </c>
      <c r="F410" s="4">
        <f t="shared" si="18"/>
        <v>1</v>
      </c>
      <c r="G410" s="4" t="str">
        <f t="shared" si="19"/>
        <v>WTI Crude</v>
      </c>
      <c r="H410" s="25">
        <f t="shared" si="20"/>
        <v>40.520000000000003</v>
      </c>
      <c r="I410" s="25">
        <v>1.1940999999999999</v>
      </c>
      <c r="J410" s="88"/>
      <c r="K410" s="106">
        <f>Table1[[#This Row],[GasP]]-Table1[[#This Row],[Gasoline]]</f>
        <v>-1.1940999999999999</v>
      </c>
    </row>
    <row r="411" spans="1:11">
      <c r="A411" s="15">
        <v>44159</v>
      </c>
      <c r="B411" s="25">
        <v>39.78</v>
      </c>
      <c r="C411" s="25">
        <v>45.51</v>
      </c>
      <c r="D411" s="25">
        <v>42.4</v>
      </c>
      <c r="F411" s="4">
        <f t="shared" si="18"/>
        <v>1</v>
      </c>
      <c r="G411" s="4" t="str">
        <f t="shared" si="19"/>
        <v>WTI Crude</v>
      </c>
      <c r="H411" s="25">
        <f t="shared" si="20"/>
        <v>39.78</v>
      </c>
      <c r="I411" s="25">
        <v>1.1607000000000001</v>
      </c>
      <c r="J411" s="88"/>
      <c r="K411" s="106">
        <f>Table1[[#This Row],[GasP]]-Table1[[#This Row],[Gasoline]]</f>
        <v>-1.1607000000000001</v>
      </c>
    </row>
    <row r="412" spans="1:11">
      <c r="A412" s="15">
        <v>44158</v>
      </c>
      <c r="B412" s="25">
        <v>37.42</v>
      </c>
      <c r="C412" s="25">
        <v>44.75</v>
      </c>
      <c r="D412" s="25">
        <v>39.450000000000003</v>
      </c>
      <c r="F412" s="4">
        <f t="shared" si="18"/>
        <v>1</v>
      </c>
      <c r="G412" s="4" t="str">
        <f t="shared" si="19"/>
        <v>WTI Crude</v>
      </c>
      <c r="H412" s="25">
        <f t="shared" si="20"/>
        <v>37.42</v>
      </c>
      <c r="I412" s="25">
        <v>1.0844</v>
      </c>
      <c r="J412" s="88"/>
      <c r="K412" s="106">
        <f>Table1[[#This Row],[GasP]]-Table1[[#This Row],[Gasoline]]</f>
        <v>-1.0844</v>
      </c>
    </row>
    <row r="413" spans="1:11">
      <c r="A413" s="15">
        <v>44155</v>
      </c>
      <c r="B413" s="25">
        <v>38.729999999999997</v>
      </c>
      <c r="C413" s="25">
        <v>43.38</v>
      </c>
      <c r="D413" s="25">
        <v>40.93</v>
      </c>
      <c r="F413" s="4">
        <f t="shared" si="18"/>
        <v>1</v>
      </c>
      <c r="G413" s="4" t="str">
        <f t="shared" si="19"/>
        <v>WTI Crude</v>
      </c>
      <c r="H413" s="25">
        <f t="shared" si="20"/>
        <v>38.729999999999997</v>
      </c>
      <c r="I413" s="25">
        <v>1.1158999999999999</v>
      </c>
      <c r="J413" s="88"/>
      <c r="K413" s="106">
        <f>Table1[[#This Row],[GasP]]-Table1[[#This Row],[Gasoline]]</f>
        <v>-1.1158999999999999</v>
      </c>
    </row>
    <row r="414" spans="1:11">
      <c r="A414" s="15">
        <v>44154</v>
      </c>
      <c r="B414" s="25">
        <v>39.04</v>
      </c>
      <c r="C414" s="25">
        <v>43.12</v>
      </c>
      <c r="D414" s="25">
        <v>41.23</v>
      </c>
      <c r="F414" s="4">
        <f t="shared" si="18"/>
        <v>1</v>
      </c>
      <c r="G414" s="4" t="str">
        <f t="shared" si="19"/>
        <v>WTI Crude</v>
      </c>
      <c r="H414" s="25">
        <f t="shared" si="20"/>
        <v>39.04</v>
      </c>
      <c r="I414" s="25">
        <v>1.1081000000000001</v>
      </c>
      <c r="J414" s="88"/>
      <c r="K414" s="106">
        <f>Table1[[#This Row],[GasP]]-Table1[[#This Row],[Gasoline]]</f>
        <v>-1.1081000000000001</v>
      </c>
    </row>
    <row r="415" spans="1:11">
      <c r="A415" s="15">
        <v>44153</v>
      </c>
      <c r="B415" s="25">
        <v>37.700000000000003</v>
      </c>
      <c r="C415" s="25">
        <v>43.05</v>
      </c>
      <c r="D415" s="25">
        <v>39.71</v>
      </c>
      <c r="F415" s="4">
        <f t="shared" si="18"/>
        <v>1</v>
      </c>
      <c r="G415" s="4" t="str">
        <f t="shared" si="19"/>
        <v>WTI Crude</v>
      </c>
      <c r="H415" s="25">
        <f t="shared" si="20"/>
        <v>37.700000000000003</v>
      </c>
      <c r="I415" s="25">
        <v>1.0769</v>
      </c>
      <c r="J415" s="88"/>
      <c r="K415" s="106">
        <f>Table1[[#This Row],[GasP]]-Table1[[#This Row],[Gasoline]]</f>
        <v>-1.0769</v>
      </c>
    </row>
    <row r="416" spans="1:11">
      <c r="A416" s="15">
        <v>44152</v>
      </c>
      <c r="B416" s="25">
        <v>36.9</v>
      </c>
      <c r="C416" s="25">
        <v>42.76</v>
      </c>
      <c r="D416" s="25">
        <v>38.97</v>
      </c>
      <c r="F416" s="4">
        <f t="shared" si="18"/>
        <v>1</v>
      </c>
      <c r="G416" s="4" t="str">
        <f t="shared" si="19"/>
        <v>WTI Crude</v>
      </c>
      <c r="H416" s="25">
        <f t="shared" si="20"/>
        <v>36.9</v>
      </c>
      <c r="I416" s="25">
        <v>1.052</v>
      </c>
      <c r="J416" s="88"/>
      <c r="K416" s="106">
        <f>Table1[[#This Row],[GasP]]-Table1[[#This Row],[Gasoline]]</f>
        <v>-1.052</v>
      </c>
    </row>
    <row r="417" spans="1:11">
      <c r="A417" s="15">
        <v>44151</v>
      </c>
      <c r="B417" s="25">
        <v>39.549999999999997</v>
      </c>
      <c r="C417" s="25">
        <v>42.93</v>
      </c>
      <c r="D417" s="25">
        <v>37.46</v>
      </c>
      <c r="F417" s="4">
        <f t="shared" si="18"/>
        <v>3</v>
      </c>
      <c r="G417" s="4" t="str">
        <f t="shared" si="19"/>
        <v>Brent Crude</v>
      </c>
      <c r="H417" s="25">
        <f t="shared" si="20"/>
        <v>37.46</v>
      </c>
      <c r="I417" s="25">
        <v>1.0322</v>
      </c>
      <c r="J417" s="88"/>
      <c r="K417" s="106">
        <f>Table1[[#This Row],[GasP]]-Table1[[#This Row],[Gasoline]]</f>
        <v>-1.0322</v>
      </c>
    </row>
    <row r="418" spans="1:11">
      <c r="A418" s="15">
        <v>44148</v>
      </c>
      <c r="B418" s="25">
        <v>39.57</v>
      </c>
      <c r="C418" s="25">
        <v>42.05</v>
      </c>
      <c r="D418" s="25">
        <v>37.65</v>
      </c>
      <c r="F418" s="4">
        <f t="shared" si="18"/>
        <v>3</v>
      </c>
      <c r="G418" s="4" t="str">
        <f t="shared" si="19"/>
        <v>Brent Crude</v>
      </c>
      <c r="H418" s="25">
        <f t="shared" si="20"/>
        <v>37.65</v>
      </c>
      <c r="I418" s="25">
        <v>1.028</v>
      </c>
      <c r="J418" s="88"/>
      <c r="K418" s="106">
        <f>Table1[[#This Row],[GasP]]-Table1[[#This Row],[Gasoline]]</f>
        <v>-1.028</v>
      </c>
    </row>
    <row r="419" spans="1:11">
      <c r="A419" s="15">
        <v>44147</v>
      </c>
      <c r="B419" s="25">
        <v>39.68</v>
      </c>
      <c r="C419" s="25">
        <v>42.97</v>
      </c>
      <c r="D419" s="25">
        <v>39.119999999999997</v>
      </c>
      <c r="F419" s="4">
        <f t="shared" si="18"/>
        <v>3</v>
      </c>
      <c r="G419" s="4" t="str">
        <f t="shared" si="19"/>
        <v>Brent Crude</v>
      </c>
      <c r="H419" s="25">
        <f t="shared" si="20"/>
        <v>39.119999999999997</v>
      </c>
      <c r="I419" s="25">
        <v>1.0636000000000001</v>
      </c>
      <c r="J419" s="88"/>
      <c r="K419" s="106">
        <f>Table1[[#This Row],[GasP]]-Table1[[#This Row],[Gasoline]]</f>
        <v>-1.0636000000000001</v>
      </c>
    </row>
    <row r="420" spans="1:11">
      <c r="A420" s="15">
        <v>44146</v>
      </c>
      <c r="B420" s="25">
        <v>39.979999999999997</v>
      </c>
      <c r="C420" s="25">
        <v>43.42</v>
      </c>
      <c r="D420" s="25">
        <v>41.2</v>
      </c>
      <c r="F420" s="4">
        <f t="shared" si="18"/>
        <v>1</v>
      </c>
      <c r="G420" s="4" t="str">
        <f t="shared" si="19"/>
        <v>WTI Crude</v>
      </c>
      <c r="H420" s="25">
        <f t="shared" si="20"/>
        <v>39.979999999999997</v>
      </c>
      <c r="I420" s="25">
        <v>1.1288</v>
      </c>
      <c r="J420" s="88"/>
      <c r="K420" s="106">
        <f>Table1[[#This Row],[GasP]]-Table1[[#This Row],[Gasoline]]</f>
        <v>-1.1288</v>
      </c>
    </row>
    <row r="421" spans="1:11">
      <c r="A421" s="15">
        <v>44145</v>
      </c>
      <c r="B421" s="25">
        <v>39.799999999999997</v>
      </c>
      <c r="C421" s="25">
        <v>41.72</v>
      </c>
      <c r="D421" s="25">
        <v>40.46</v>
      </c>
      <c r="F421" s="4">
        <f t="shared" si="18"/>
        <v>1</v>
      </c>
      <c r="G421" s="4" t="str">
        <f t="shared" si="19"/>
        <v>WTI Crude</v>
      </c>
      <c r="H421" s="25">
        <f t="shared" si="20"/>
        <v>39.799999999999997</v>
      </c>
      <c r="I421" s="25">
        <v>1.0969</v>
      </c>
      <c r="J421" s="88"/>
      <c r="K421" s="106">
        <f>Table1[[#This Row],[GasP]]-Table1[[#This Row],[Gasoline]]</f>
        <v>-1.0969</v>
      </c>
    </row>
    <row r="422" spans="1:11">
      <c r="A422" s="15">
        <v>44144</v>
      </c>
      <c r="B422" s="25">
        <v>40.090000000000003</v>
      </c>
      <c r="C422" s="25">
        <v>39.97</v>
      </c>
      <c r="D422" s="25">
        <v>41.77</v>
      </c>
      <c r="F422" s="4">
        <f t="shared" si="18"/>
        <v>2</v>
      </c>
      <c r="G422" s="4" t="str">
        <f t="shared" si="19"/>
        <v>Opec Basket</v>
      </c>
      <c r="H422" s="25">
        <f t="shared" si="20"/>
        <v>39.97</v>
      </c>
      <c r="I422" s="25">
        <v>1.127</v>
      </c>
      <c r="J422" s="88"/>
      <c r="K422" s="106">
        <f>Table1[[#This Row],[GasP]]-Table1[[#This Row],[Gasoline]]</f>
        <v>-1.127</v>
      </c>
    </row>
    <row r="423" spans="1:11">
      <c r="A423" s="15">
        <v>44141</v>
      </c>
      <c r="B423" s="25">
        <v>40.31</v>
      </c>
      <c r="C423" s="25">
        <v>39.22</v>
      </c>
      <c r="D423" s="25">
        <v>42.46</v>
      </c>
      <c r="F423" s="4">
        <f t="shared" si="18"/>
        <v>2</v>
      </c>
      <c r="G423" s="4" t="str">
        <f t="shared" si="19"/>
        <v>Opec Basket</v>
      </c>
      <c r="H423" s="25">
        <f t="shared" si="20"/>
        <v>39.22</v>
      </c>
      <c r="I423" s="25">
        <v>1.1452</v>
      </c>
      <c r="J423" s="88"/>
      <c r="K423" s="106">
        <f>Table1[[#This Row],[GasP]]-Table1[[#This Row],[Gasoline]]</f>
        <v>-1.1452</v>
      </c>
    </row>
    <row r="424" spans="1:11">
      <c r="A424" s="15">
        <v>44140</v>
      </c>
      <c r="B424" s="25">
        <v>40.11</v>
      </c>
      <c r="C424" s="25">
        <v>39.79</v>
      </c>
      <c r="D424" s="25">
        <v>41.73</v>
      </c>
      <c r="F424" s="4">
        <f t="shared" si="18"/>
        <v>2</v>
      </c>
      <c r="G424" s="4" t="str">
        <f t="shared" si="19"/>
        <v>Opec Basket</v>
      </c>
      <c r="H424" s="25">
        <f t="shared" si="20"/>
        <v>39.79</v>
      </c>
      <c r="I424" s="25">
        <v>1.1271</v>
      </c>
      <c r="J424" s="88">
        <f>2.48+0.5*K429</f>
        <v>1.89025</v>
      </c>
      <c r="K424" s="106">
        <f>Table1[[#This Row],[GasP]]-Table1[[#This Row],[Gasoline]]</f>
        <v>0.76315</v>
      </c>
    </row>
    <row r="425" spans="1:11">
      <c r="A425" s="15">
        <v>44139</v>
      </c>
      <c r="B425" s="25">
        <v>40.72</v>
      </c>
      <c r="C425" s="25">
        <v>39.090000000000003</v>
      </c>
      <c r="D425" s="25">
        <v>43.16</v>
      </c>
      <c r="F425" s="4">
        <f t="shared" si="18"/>
        <v>2</v>
      </c>
      <c r="G425" s="4" t="str">
        <f t="shared" si="19"/>
        <v>Opec Basket</v>
      </c>
      <c r="H425" s="25">
        <f t="shared" si="20"/>
        <v>39.090000000000003</v>
      </c>
      <c r="I425" s="25">
        <v>1.1725000000000001</v>
      </c>
      <c r="J425" s="88"/>
      <c r="K425" s="106">
        <f>Table1[[#This Row],[GasP]]-Table1[[#This Row],[Gasoline]]</f>
        <v>-1.1725000000000001</v>
      </c>
    </row>
    <row r="426" spans="1:11">
      <c r="A426" s="15">
        <v>44138</v>
      </c>
      <c r="B426" s="25">
        <v>40.46</v>
      </c>
      <c r="C426" s="25">
        <v>38.44</v>
      </c>
      <c r="D426" s="25">
        <v>42.62</v>
      </c>
      <c r="F426" s="4">
        <f t="shared" si="18"/>
        <v>2</v>
      </c>
      <c r="G426" s="4" t="str">
        <f t="shared" si="19"/>
        <v>Opec Basket</v>
      </c>
      <c r="H426" s="25">
        <f t="shared" si="20"/>
        <v>38.44</v>
      </c>
      <c r="I426" s="25">
        <v>1.1485000000000001</v>
      </c>
      <c r="J426" s="88"/>
      <c r="K426" s="106">
        <f>Table1[[#This Row],[GasP]]-Table1[[#This Row],[Gasoline]]</f>
        <v>-1.1485000000000001</v>
      </c>
    </row>
    <row r="427" spans="1:11">
      <c r="A427" s="15">
        <v>44137</v>
      </c>
      <c r="B427" s="25">
        <v>40.479999999999997</v>
      </c>
      <c r="C427" s="25">
        <v>35.89</v>
      </c>
      <c r="D427" s="25">
        <v>42.93</v>
      </c>
      <c r="F427" s="4">
        <f t="shared" si="18"/>
        <v>2</v>
      </c>
      <c r="G427" s="4" t="str">
        <f t="shared" si="19"/>
        <v>Opec Basket</v>
      </c>
      <c r="H427" s="25">
        <f t="shared" si="20"/>
        <v>35.89</v>
      </c>
      <c r="I427" s="25">
        <v>1.1535</v>
      </c>
      <c r="J427" s="88"/>
      <c r="K427" s="106">
        <f>Table1[[#This Row],[GasP]]-Table1[[#This Row],[Gasoline]]</f>
        <v>-1.1535</v>
      </c>
    </row>
    <row r="428" spans="1:11">
      <c r="A428" s="15">
        <v>44134</v>
      </c>
      <c r="B428" s="25">
        <v>40.54</v>
      </c>
      <c r="C428" s="25">
        <v>36.5</v>
      </c>
      <c r="D428" s="25">
        <v>43.16</v>
      </c>
      <c r="F428" s="4">
        <f t="shared" si="18"/>
        <v>2</v>
      </c>
      <c r="G428" s="4" t="str">
        <f t="shared" si="19"/>
        <v>Opec Basket</v>
      </c>
      <c r="H428" s="25">
        <f t="shared" si="20"/>
        <v>36.5</v>
      </c>
      <c r="I428" s="25">
        <v>1.1637</v>
      </c>
      <c r="J428" s="88"/>
      <c r="K428" s="106">
        <f>Table1[[#This Row],[GasP]]-Table1[[#This Row],[Gasoline]]</f>
        <v>-1.1637</v>
      </c>
    </row>
    <row r="429" spans="1:11">
      <c r="A429" s="15">
        <v>44133</v>
      </c>
      <c r="B429" s="25">
        <v>40.590000000000003</v>
      </c>
      <c r="C429" s="25">
        <v>37.119999999999997</v>
      </c>
      <c r="D429" s="25">
        <v>43.32</v>
      </c>
      <c r="F429" s="4">
        <f t="shared" si="18"/>
        <v>2</v>
      </c>
      <c r="G429" s="4" t="str">
        <f t="shared" si="19"/>
        <v>Opec Basket</v>
      </c>
      <c r="H429" s="25">
        <f t="shared" si="20"/>
        <v>37.119999999999997</v>
      </c>
      <c r="I429" s="25">
        <v>1.1795</v>
      </c>
      <c r="J429" s="88"/>
      <c r="K429" s="106">
        <f>Table1[[#This Row],[GasP]]-Table1[[#This Row],[Gasoline]]</f>
        <v>-1.1795</v>
      </c>
    </row>
    <row r="430" spans="1:11">
      <c r="A430" s="15">
        <v>44132</v>
      </c>
      <c r="B430" s="25">
        <v>40.090000000000003</v>
      </c>
      <c r="C430" s="25">
        <v>38.42</v>
      </c>
      <c r="D430" s="25">
        <v>42.45</v>
      </c>
      <c r="F430" s="4">
        <f t="shared" si="18"/>
        <v>2</v>
      </c>
      <c r="G430" s="4" t="str">
        <f t="shared" si="19"/>
        <v>Opec Basket</v>
      </c>
      <c r="H430" s="25">
        <f t="shared" si="20"/>
        <v>38.42</v>
      </c>
      <c r="I430" s="25">
        <v>1.1633</v>
      </c>
      <c r="J430" s="88"/>
      <c r="K430" s="106">
        <f>Table1[[#This Row],[GasP]]-Table1[[#This Row],[Gasoline]]</f>
        <v>-1.1633</v>
      </c>
    </row>
    <row r="431" spans="1:11">
      <c r="A431" s="15">
        <v>44131</v>
      </c>
      <c r="B431" s="25">
        <v>39.6</v>
      </c>
      <c r="C431" s="25">
        <v>39.53</v>
      </c>
      <c r="D431" s="25">
        <v>41.72</v>
      </c>
      <c r="F431" s="4">
        <f t="shared" si="18"/>
        <v>2</v>
      </c>
      <c r="G431" s="4" t="str">
        <f t="shared" si="19"/>
        <v>Opec Basket</v>
      </c>
      <c r="H431" s="25">
        <f t="shared" si="20"/>
        <v>39.53</v>
      </c>
      <c r="I431" s="25">
        <v>1.1757</v>
      </c>
      <c r="J431" s="88"/>
      <c r="K431" s="106">
        <f>Table1[[#This Row],[GasP]]-Table1[[#This Row],[Gasoline]]</f>
        <v>-1.1757</v>
      </c>
    </row>
    <row r="432" spans="1:11">
      <c r="A432" s="15">
        <v>44130</v>
      </c>
      <c r="B432" s="25">
        <v>40.4</v>
      </c>
      <c r="C432" s="25">
        <v>39.22</v>
      </c>
      <c r="D432" s="25">
        <v>42.85</v>
      </c>
      <c r="F432" s="4">
        <f t="shared" si="18"/>
        <v>2</v>
      </c>
      <c r="G432" s="4" t="str">
        <f t="shared" si="19"/>
        <v>Opec Basket</v>
      </c>
      <c r="H432" s="25">
        <f t="shared" si="20"/>
        <v>39.22</v>
      </c>
      <c r="I432" s="25">
        <v>1.2032</v>
      </c>
      <c r="J432" s="88"/>
      <c r="K432" s="106">
        <f>Table1[[#This Row],[GasP]]-Table1[[#This Row],[Gasoline]]</f>
        <v>-1.2032</v>
      </c>
    </row>
    <row r="433" spans="1:11">
      <c r="A433" s="15">
        <v>44127</v>
      </c>
      <c r="B433" s="25">
        <v>40.82</v>
      </c>
      <c r="C433" s="25">
        <v>41.05</v>
      </c>
      <c r="D433" s="25">
        <v>43.34</v>
      </c>
      <c r="F433" s="4">
        <f t="shared" si="18"/>
        <v>1</v>
      </c>
      <c r="G433" s="4" t="str">
        <f t="shared" si="19"/>
        <v>WTI Crude</v>
      </c>
      <c r="H433" s="25">
        <f t="shared" si="20"/>
        <v>40.82</v>
      </c>
      <c r="I433" s="25">
        <v>1.2316</v>
      </c>
      <c r="J433" s="88"/>
      <c r="K433" s="106">
        <f>Table1[[#This Row],[GasP]]-Table1[[#This Row],[Gasoline]]</f>
        <v>-1.2316</v>
      </c>
    </row>
    <row r="434" spans="1:11">
      <c r="A434" s="15">
        <v>44126</v>
      </c>
      <c r="B434" s="25">
        <v>39.86</v>
      </c>
      <c r="C434" s="25">
        <v>40.909999999999997</v>
      </c>
      <c r="D434" s="25">
        <v>41.99</v>
      </c>
      <c r="F434" s="4">
        <f t="shared" si="18"/>
        <v>1</v>
      </c>
      <c r="G434" s="4" t="str">
        <f t="shared" si="19"/>
        <v>WTI Crude</v>
      </c>
      <c r="H434" s="25">
        <f t="shared" si="20"/>
        <v>39.86</v>
      </c>
      <c r="I434" s="25">
        <v>1.2009000000000001</v>
      </c>
      <c r="J434" s="88"/>
      <c r="K434" s="106">
        <f>Table1[[#This Row],[GasP]]-Table1[[#This Row],[Gasoline]]</f>
        <v>-1.2009000000000001</v>
      </c>
    </row>
    <row r="435" spans="1:11">
      <c r="A435" s="15">
        <v>44125</v>
      </c>
      <c r="B435" s="25">
        <v>40.450000000000003</v>
      </c>
      <c r="C435" s="25">
        <v>40.880000000000003</v>
      </c>
      <c r="D435" s="25">
        <v>42.65</v>
      </c>
      <c r="F435" s="4">
        <f t="shared" si="18"/>
        <v>1</v>
      </c>
      <c r="G435" s="4" t="str">
        <f t="shared" si="19"/>
        <v>WTI Crude</v>
      </c>
      <c r="H435" s="25">
        <f t="shared" si="20"/>
        <v>40.450000000000003</v>
      </c>
      <c r="I435" s="25">
        <v>1.2351000000000001</v>
      </c>
      <c r="J435" s="88"/>
      <c r="K435" s="106">
        <f>Table1[[#This Row],[GasP]]-Table1[[#This Row],[Gasoline]]</f>
        <v>-1.2351000000000001</v>
      </c>
    </row>
    <row r="436" spans="1:11">
      <c r="A436" s="15">
        <v>44124</v>
      </c>
      <c r="B436" s="25">
        <v>39.200000000000003</v>
      </c>
      <c r="C436" s="25">
        <v>41.04</v>
      </c>
      <c r="D436" s="25">
        <v>41.29</v>
      </c>
      <c r="F436" s="4">
        <f t="shared" si="18"/>
        <v>1</v>
      </c>
      <c r="G436" s="4" t="str">
        <f t="shared" si="19"/>
        <v>WTI Crude</v>
      </c>
      <c r="H436" s="25">
        <f t="shared" si="20"/>
        <v>39.200000000000003</v>
      </c>
      <c r="I436" s="25">
        <v>1.1940999999999999</v>
      </c>
      <c r="J436" s="88"/>
      <c r="K436" s="106">
        <f>Table1[[#This Row],[GasP]]-Table1[[#This Row],[Gasoline]]</f>
        <v>-1.1940999999999999</v>
      </c>
    </row>
    <row r="437" spans="1:11">
      <c r="A437" s="15">
        <v>44123</v>
      </c>
      <c r="B437" s="25">
        <v>37.229999999999997</v>
      </c>
      <c r="C437" s="25">
        <v>41.38</v>
      </c>
      <c r="D437" s="25">
        <v>39.270000000000003</v>
      </c>
      <c r="F437" s="4">
        <f t="shared" si="18"/>
        <v>1</v>
      </c>
      <c r="G437" s="4" t="str">
        <f t="shared" si="19"/>
        <v>WTI Crude</v>
      </c>
      <c r="H437" s="25">
        <f t="shared" si="20"/>
        <v>37.229999999999997</v>
      </c>
      <c r="I437" s="25">
        <v>1.1234999999999999</v>
      </c>
      <c r="J437" s="88"/>
      <c r="K437" s="106">
        <f>Table1[[#This Row],[GasP]]-Table1[[#This Row],[Gasoline]]</f>
        <v>-1.1234999999999999</v>
      </c>
    </row>
    <row r="438" spans="1:11">
      <c r="A438" s="15">
        <v>44120</v>
      </c>
      <c r="B438" s="25">
        <v>38.83</v>
      </c>
      <c r="C438" s="25">
        <v>41.37</v>
      </c>
      <c r="D438" s="25">
        <v>40.93</v>
      </c>
      <c r="F438" s="4">
        <f t="shared" si="18"/>
        <v>1</v>
      </c>
      <c r="G438" s="4" t="str">
        <f t="shared" si="19"/>
        <v>WTI Crude</v>
      </c>
      <c r="H438" s="25">
        <f t="shared" si="20"/>
        <v>38.83</v>
      </c>
      <c r="I438" s="25">
        <v>1.1524000000000001</v>
      </c>
      <c r="J438" s="88"/>
      <c r="K438" s="106">
        <f>Table1[[#This Row],[GasP]]-Table1[[#This Row],[Gasoline]]</f>
        <v>-1.1524000000000001</v>
      </c>
    </row>
    <row r="439" spans="1:11">
      <c r="A439" s="15">
        <v>44119</v>
      </c>
      <c r="B439" s="25">
        <v>39.630000000000003</v>
      </c>
      <c r="C439" s="25">
        <v>41.29</v>
      </c>
      <c r="D439" s="25">
        <v>40.950000000000003</v>
      </c>
      <c r="F439" s="4">
        <f t="shared" si="18"/>
        <v>1</v>
      </c>
      <c r="G439" s="4" t="str">
        <f t="shared" si="19"/>
        <v>WTI Crude</v>
      </c>
      <c r="H439" s="25">
        <f t="shared" si="20"/>
        <v>39.630000000000003</v>
      </c>
      <c r="I439" s="25">
        <v>1.1816</v>
      </c>
      <c r="J439" s="88"/>
      <c r="K439" s="106">
        <f>Table1[[#This Row],[GasP]]-Table1[[#This Row],[Gasoline]]</f>
        <v>-1.1816</v>
      </c>
    </row>
    <row r="440" spans="1:11">
      <c r="A440" s="15">
        <v>44118</v>
      </c>
      <c r="B440" s="25">
        <v>39.58</v>
      </c>
      <c r="C440" s="25">
        <v>41.2</v>
      </c>
      <c r="D440" s="25">
        <v>41.03</v>
      </c>
      <c r="F440" s="4">
        <f t="shared" si="18"/>
        <v>1</v>
      </c>
      <c r="G440" s="4" t="str">
        <f t="shared" si="19"/>
        <v>WTI Crude</v>
      </c>
      <c r="H440" s="25">
        <f t="shared" si="20"/>
        <v>39.58</v>
      </c>
      <c r="I440" s="25">
        <v>1.1711</v>
      </c>
      <c r="J440" s="88"/>
      <c r="K440" s="106">
        <f>Table1[[#This Row],[GasP]]-Table1[[#This Row],[Gasoline]]</f>
        <v>-1.1711</v>
      </c>
    </row>
    <row r="441" spans="1:11">
      <c r="A441" s="15">
        <v>44117</v>
      </c>
      <c r="B441" s="25">
        <v>39.71</v>
      </c>
      <c r="C441" s="25">
        <v>40.68</v>
      </c>
      <c r="D441" s="25">
        <v>42.43</v>
      </c>
      <c r="F441" s="4">
        <f t="shared" si="18"/>
        <v>1</v>
      </c>
      <c r="G441" s="4" t="str">
        <f t="shared" si="19"/>
        <v>WTI Crude</v>
      </c>
      <c r="H441" s="25">
        <f t="shared" si="20"/>
        <v>39.71</v>
      </c>
      <c r="I441" s="25">
        <v>1.2132000000000001</v>
      </c>
      <c r="J441" s="88"/>
      <c r="K441" s="106">
        <f>Table1[[#This Row],[GasP]]-Table1[[#This Row],[Gasoline]]</f>
        <v>-1.2132000000000001</v>
      </c>
    </row>
    <row r="442" spans="1:11">
      <c r="A442" s="15">
        <v>44116</v>
      </c>
      <c r="B442" s="25">
        <v>39.659999999999997</v>
      </c>
      <c r="C442" s="25">
        <v>40.57</v>
      </c>
      <c r="D442" s="25">
        <v>41.92</v>
      </c>
      <c r="F442" s="4">
        <f t="shared" si="18"/>
        <v>1</v>
      </c>
      <c r="G442" s="4" t="str">
        <f t="shared" si="19"/>
        <v>WTI Crude</v>
      </c>
      <c r="H442" s="25">
        <f t="shared" si="20"/>
        <v>39.659999999999997</v>
      </c>
      <c r="I442" s="25">
        <v>1.1898</v>
      </c>
      <c r="J442" s="88"/>
      <c r="K442" s="106">
        <f>Table1[[#This Row],[GasP]]-Table1[[#This Row],[Gasoline]]</f>
        <v>-1.1898</v>
      </c>
    </row>
    <row r="443" spans="1:11">
      <c r="A443" s="15">
        <v>44113</v>
      </c>
      <c r="B443" s="25">
        <v>39.67</v>
      </c>
      <c r="C443" s="25">
        <v>41.61</v>
      </c>
      <c r="D443" s="25">
        <v>41.94</v>
      </c>
      <c r="F443" s="4">
        <f t="shared" si="18"/>
        <v>1</v>
      </c>
      <c r="G443" s="4" t="str">
        <f t="shared" si="19"/>
        <v>WTI Crude</v>
      </c>
      <c r="H443" s="25">
        <f t="shared" si="20"/>
        <v>39.67</v>
      </c>
      <c r="I443" s="25">
        <v>1.1732</v>
      </c>
      <c r="J443" s="88"/>
      <c r="K443" s="106">
        <f>Table1[[#This Row],[GasP]]-Table1[[#This Row],[Gasoline]]</f>
        <v>-1.1732</v>
      </c>
    </row>
    <row r="444" spans="1:11">
      <c r="A444" s="15">
        <v>44112</v>
      </c>
      <c r="B444" s="25">
        <v>39.58</v>
      </c>
      <c r="C444" s="25">
        <v>41.06</v>
      </c>
      <c r="D444" s="25">
        <v>41.77</v>
      </c>
      <c r="F444" s="4">
        <f t="shared" si="18"/>
        <v>1</v>
      </c>
      <c r="G444" s="4" t="str">
        <f t="shared" si="19"/>
        <v>WTI Crude</v>
      </c>
      <c r="H444" s="25">
        <f t="shared" si="20"/>
        <v>39.58</v>
      </c>
      <c r="I444" s="25">
        <v>1.1577999999999999</v>
      </c>
      <c r="J444" s="88"/>
      <c r="K444" s="106">
        <f>Table1[[#This Row],[GasP]]-Table1[[#This Row],[Gasoline]]</f>
        <v>-1.1577999999999999</v>
      </c>
    </row>
    <row r="445" spans="1:11">
      <c r="A445" s="15">
        <v>44111</v>
      </c>
      <c r="B445" s="25">
        <v>39.54</v>
      </c>
      <c r="C445" s="25">
        <v>40.450000000000003</v>
      </c>
      <c r="D445" s="25">
        <v>41.72</v>
      </c>
      <c r="F445" s="4">
        <f t="shared" si="18"/>
        <v>1</v>
      </c>
      <c r="G445" s="4" t="str">
        <f t="shared" si="19"/>
        <v>WTI Crude</v>
      </c>
      <c r="H445" s="25">
        <f t="shared" si="20"/>
        <v>39.54</v>
      </c>
      <c r="I445" s="25">
        <v>1.1437999999999999</v>
      </c>
      <c r="J445" s="88"/>
      <c r="K445" s="106">
        <f>Table1[[#This Row],[GasP]]-Table1[[#This Row],[Gasoline]]</f>
        <v>-1.1437999999999999</v>
      </c>
    </row>
    <row r="446" spans="1:11">
      <c r="A446" s="15">
        <v>44110</v>
      </c>
      <c r="B446" s="25">
        <v>39.450000000000003</v>
      </c>
      <c r="C446" s="25">
        <v>40.33</v>
      </c>
      <c r="D446" s="25">
        <v>41.44</v>
      </c>
      <c r="F446" s="4">
        <f t="shared" si="18"/>
        <v>1</v>
      </c>
      <c r="G446" s="4" t="str">
        <f t="shared" si="19"/>
        <v>WTI Crude</v>
      </c>
      <c r="H446" s="25">
        <f t="shared" si="20"/>
        <v>39.450000000000003</v>
      </c>
      <c r="I446" s="25">
        <v>1.1544000000000001</v>
      </c>
      <c r="J446" s="88"/>
      <c r="K446" s="106">
        <f>Table1[[#This Row],[GasP]]-Table1[[#This Row],[Gasoline]]</f>
        <v>-1.1544000000000001</v>
      </c>
    </row>
    <row r="447" spans="1:11">
      <c r="A447" s="15">
        <v>44109</v>
      </c>
      <c r="B447" s="25">
        <v>40.130000000000003</v>
      </c>
      <c r="C447" s="25">
        <v>39.07</v>
      </c>
      <c r="D447" s="25">
        <v>43.15</v>
      </c>
      <c r="F447" s="4">
        <f t="shared" si="18"/>
        <v>2</v>
      </c>
      <c r="G447" s="4" t="str">
        <f t="shared" si="19"/>
        <v>Opec Basket</v>
      </c>
      <c r="H447" s="25">
        <f t="shared" si="20"/>
        <v>39.07</v>
      </c>
      <c r="I447" s="25">
        <v>1.2097</v>
      </c>
      <c r="J447" s="88"/>
      <c r="K447" s="106">
        <f>Table1[[#This Row],[GasP]]-Table1[[#This Row],[Gasoline]]</f>
        <v>-1.2097</v>
      </c>
    </row>
    <row r="448" spans="1:11">
      <c r="A448" s="15">
        <v>44106</v>
      </c>
      <c r="B448" s="25">
        <v>40.08</v>
      </c>
      <c r="C448" s="25">
        <v>38.090000000000003</v>
      </c>
      <c r="D448" s="25">
        <v>43.3</v>
      </c>
      <c r="F448" s="4">
        <f t="shared" si="18"/>
        <v>2</v>
      </c>
      <c r="G448" s="4" t="str">
        <f t="shared" si="19"/>
        <v>Opec Basket</v>
      </c>
      <c r="H448" s="25">
        <f t="shared" si="20"/>
        <v>38.090000000000003</v>
      </c>
      <c r="I448" s="25">
        <v>1.2017</v>
      </c>
      <c r="J448" s="88"/>
      <c r="K448" s="106">
        <f>Table1[[#This Row],[GasP]]-Table1[[#This Row],[Gasoline]]</f>
        <v>-1.2017</v>
      </c>
    </row>
    <row r="449" spans="1:11">
      <c r="A449" s="15">
        <v>44105</v>
      </c>
      <c r="B449" s="25">
        <v>39.700000000000003</v>
      </c>
      <c r="C449" s="25">
        <v>39.94</v>
      </c>
      <c r="D449" s="25">
        <v>42.22</v>
      </c>
      <c r="F449" s="4">
        <f t="shared" si="18"/>
        <v>1</v>
      </c>
      <c r="G449" s="4" t="str">
        <f t="shared" si="19"/>
        <v>WTI Crude</v>
      </c>
      <c r="H449" s="25">
        <f t="shared" si="20"/>
        <v>39.700000000000003</v>
      </c>
      <c r="I449" s="25">
        <v>1.1694</v>
      </c>
      <c r="J449" s="88"/>
      <c r="K449" s="106">
        <f>Table1[[#This Row],[GasP]]-Table1[[#This Row],[Gasoline]]</f>
        <v>-1.1694</v>
      </c>
    </row>
    <row r="450" spans="1:11">
      <c r="A450" s="15">
        <v>44104</v>
      </c>
      <c r="B450" s="25">
        <v>38.72</v>
      </c>
      <c r="C450" s="25">
        <v>40.65</v>
      </c>
      <c r="D450" s="25">
        <v>40.53</v>
      </c>
      <c r="F450" s="4">
        <f t="shared" ref="F450:F513" si="21">IF(MIN(B450:E450)=B450,1,IF(MIN(B450:E450)=C450,2,IF(MIN(B450:E450)=D450,3,IF(MIN(B450:E450)=E450,4,))))</f>
        <v>1</v>
      </c>
      <c r="G450" s="4" t="str">
        <f t="shared" ref="G450:G513" si="22">IF(MIN(B450:E450)=B450,$B$1,IF(MIN(B450:E450)=C450,$C$1,IF(MIN(B450:E450)=D450,$D$1,IF(MIN(B450:E450)=E450,$E$1,))))</f>
        <v>WTI Crude</v>
      </c>
      <c r="H450" s="25">
        <f t="shared" ref="H450:H513" si="23">IF(MIN(B450:E450)=B450,B450,IF(MIN(B450:E450)=C450,C450,IF(MIN(B450:E450)=D450,D450,IF(MIN(B450:E450)=E450,E450,))))</f>
        <v>38.72</v>
      </c>
      <c r="I450" s="25">
        <v>1.1198999999999999</v>
      </c>
      <c r="J450" s="88">
        <f>2.48+0.3*K455</f>
        <v>2.1491600000000002</v>
      </c>
      <c r="K450" s="106">
        <f>Table1[[#This Row],[GasP]]-Table1[[#This Row],[Gasoline]]</f>
        <v>1.0292600000000003</v>
      </c>
    </row>
    <row r="451" spans="1:11">
      <c r="A451" s="15">
        <v>44103</v>
      </c>
      <c r="B451" s="25">
        <v>38.14</v>
      </c>
      <c r="C451" s="25">
        <v>41.46</v>
      </c>
      <c r="D451" s="25">
        <v>39.61</v>
      </c>
      <c r="F451" s="4">
        <f t="shared" si="21"/>
        <v>1</v>
      </c>
      <c r="G451" s="4" t="str">
        <f t="shared" si="22"/>
        <v>WTI Crude</v>
      </c>
      <c r="H451" s="25">
        <f t="shared" si="23"/>
        <v>38.14</v>
      </c>
      <c r="I451" s="25">
        <v>1.0922000000000001</v>
      </c>
      <c r="J451" s="88"/>
      <c r="K451" s="106">
        <f>Table1[[#This Row],[GasP]]-Table1[[#This Row],[Gasoline]]</f>
        <v>-1.0922000000000001</v>
      </c>
    </row>
    <row r="452" spans="1:11">
      <c r="A452" s="15">
        <v>44102</v>
      </c>
      <c r="B452" s="25">
        <v>38.19</v>
      </c>
      <c r="C452" s="25">
        <v>41.61</v>
      </c>
      <c r="D452" s="25">
        <v>39.83</v>
      </c>
      <c r="F452" s="4">
        <f t="shared" si="21"/>
        <v>1</v>
      </c>
      <c r="G452" s="4" t="str">
        <f t="shared" si="22"/>
        <v>WTI Crude</v>
      </c>
      <c r="H452" s="25">
        <f t="shared" si="23"/>
        <v>38.19</v>
      </c>
      <c r="I452" s="25">
        <v>1.0949</v>
      </c>
      <c r="J452" s="88"/>
      <c r="K452" s="106">
        <f>Table1[[#This Row],[GasP]]-Table1[[#This Row],[Gasoline]]</f>
        <v>-1.0949</v>
      </c>
    </row>
    <row r="453" spans="1:11">
      <c r="A453" s="15">
        <v>44099</v>
      </c>
      <c r="B453" s="25">
        <v>38.18</v>
      </c>
      <c r="C453" s="25">
        <v>41.93</v>
      </c>
      <c r="D453" s="25">
        <v>40.06</v>
      </c>
      <c r="F453" s="4">
        <f t="shared" si="21"/>
        <v>1</v>
      </c>
      <c r="G453" s="4" t="str">
        <f t="shared" si="22"/>
        <v>WTI Crude</v>
      </c>
      <c r="H453" s="25">
        <f t="shared" si="23"/>
        <v>38.18</v>
      </c>
      <c r="I453" s="25">
        <v>1.0976999999999999</v>
      </c>
      <c r="J453" s="88"/>
      <c r="K453" s="106">
        <f>Table1[[#This Row],[GasP]]-Table1[[#This Row],[Gasoline]]</f>
        <v>-1.0976999999999999</v>
      </c>
    </row>
    <row r="454" spans="1:11">
      <c r="A454" s="15">
        <v>44098</v>
      </c>
      <c r="B454" s="25">
        <v>38.72</v>
      </c>
      <c r="C454" s="25">
        <v>41.22</v>
      </c>
      <c r="D454" s="25">
        <v>40.79</v>
      </c>
      <c r="F454" s="4">
        <f t="shared" si="21"/>
        <v>1</v>
      </c>
      <c r="G454" s="4" t="str">
        <f t="shared" si="22"/>
        <v>WTI Crude</v>
      </c>
      <c r="H454" s="25">
        <f t="shared" si="23"/>
        <v>38.72</v>
      </c>
      <c r="I454" s="25">
        <v>1.1193</v>
      </c>
      <c r="J454" s="88"/>
      <c r="K454" s="106">
        <f>Table1[[#This Row],[GasP]]-Table1[[#This Row],[Gasoline]]</f>
        <v>-1.1193</v>
      </c>
    </row>
    <row r="455" spans="1:11">
      <c r="A455" s="15">
        <v>44097</v>
      </c>
      <c r="B455" s="25">
        <v>37.76</v>
      </c>
      <c r="C455" s="25">
        <v>41.4</v>
      </c>
      <c r="D455" s="25">
        <v>39.78</v>
      </c>
      <c r="F455" s="4">
        <f t="shared" si="21"/>
        <v>1</v>
      </c>
      <c r="G455" s="4" t="str">
        <f t="shared" si="22"/>
        <v>WTI Crude</v>
      </c>
      <c r="H455" s="25">
        <f t="shared" si="23"/>
        <v>37.76</v>
      </c>
      <c r="I455" s="25">
        <v>1.1028</v>
      </c>
      <c r="J455" s="88"/>
      <c r="K455" s="106">
        <f>Table1[[#This Row],[GasP]]-Table1[[#This Row],[Gasoline]]</f>
        <v>-1.1028</v>
      </c>
    </row>
    <row r="456" spans="1:11">
      <c r="A456" s="15">
        <v>44096</v>
      </c>
      <c r="B456" s="25">
        <v>40.18</v>
      </c>
      <c r="C456" s="25">
        <v>41.32</v>
      </c>
      <c r="D456" s="25">
        <v>42.66</v>
      </c>
      <c r="F456" s="4">
        <f t="shared" si="21"/>
        <v>1</v>
      </c>
      <c r="G456" s="4" t="str">
        <f t="shared" si="22"/>
        <v>WTI Crude</v>
      </c>
      <c r="H456" s="25">
        <f t="shared" si="23"/>
        <v>40.18</v>
      </c>
      <c r="I456" s="25">
        <v>1.1772</v>
      </c>
      <c r="J456" s="88"/>
      <c r="K456" s="106">
        <f>Table1[[#This Row],[GasP]]-Table1[[#This Row],[Gasoline]]</f>
        <v>-1.1772</v>
      </c>
    </row>
    <row r="457" spans="1:11">
      <c r="A457" s="15">
        <v>44095</v>
      </c>
      <c r="B457" s="25">
        <v>41.54</v>
      </c>
      <c r="C457" s="25">
        <v>41.49</v>
      </c>
      <c r="D457" s="25">
        <v>44.07</v>
      </c>
      <c r="F457" s="4">
        <f t="shared" si="21"/>
        <v>2</v>
      </c>
      <c r="G457" s="4" t="str">
        <f t="shared" si="22"/>
        <v>Opec Basket</v>
      </c>
      <c r="H457" s="25">
        <f t="shared" si="23"/>
        <v>41.49</v>
      </c>
      <c r="I457" s="25">
        <v>1.2049000000000001</v>
      </c>
      <c r="J457" s="88"/>
      <c r="K457" s="106">
        <f>Table1[[#This Row],[GasP]]-Table1[[#This Row],[Gasoline]]</f>
        <v>-1.2049000000000001</v>
      </c>
    </row>
    <row r="458" spans="1:11">
      <c r="A458" s="15">
        <v>44092</v>
      </c>
      <c r="B458" s="25">
        <v>41.67</v>
      </c>
      <c r="C458" s="25">
        <v>42.98</v>
      </c>
      <c r="D458" s="25">
        <v>44.43</v>
      </c>
      <c r="F458" s="4">
        <f t="shared" si="21"/>
        <v>1</v>
      </c>
      <c r="G458" s="4" t="str">
        <f t="shared" si="22"/>
        <v>WTI Crude</v>
      </c>
      <c r="H458" s="25">
        <f t="shared" si="23"/>
        <v>41.67</v>
      </c>
      <c r="I458" s="25">
        <v>1.202</v>
      </c>
      <c r="J458" s="88"/>
      <c r="K458" s="106">
        <f>Table1[[#This Row],[GasP]]-Table1[[#This Row],[Gasoline]]</f>
        <v>-1.202</v>
      </c>
    </row>
    <row r="459" spans="1:11">
      <c r="A459" s="15">
        <v>44091</v>
      </c>
      <c r="B459" s="25">
        <v>42.85</v>
      </c>
      <c r="C459" s="25">
        <v>42.07</v>
      </c>
      <c r="D459" s="25">
        <v>45.58</v>
      </c>
      <c r="F459" s="4">
        <f t="shared" si="21"/>
        <v>2</v>
      </c>
      <c r="G459" s="4" t="str">
        <f t="shared" si="22"/>
        <v>Opec Basket</v>
      </c>
      <c r="H459" s="25">
        <f t="shared" si="23"/>
        <v>42.07</v>
      </c>
      <c r="I459" s="25">
        <v>1.2246999999999999</v>
      </c>
      <c r="J459" s="88"/>
      <c r="K459" s="106">
        <f>Table1[[#This Row],[GasP]]-Table1[[#This Row],[Gasoline]]</f>
        <v>-1.2246999999999999</v>
      </c>
    </row>
    <row r="460" spans="1:11">
      <c r="A460" s="15">
        <v>44090</v>
      </c>
      <c r="B460" s="25">
        <v>42.69</v>
      </c>
      <c r="C460" s="25">
        <v>41.29</v>
      </c>
      <c r="D460" s="25">
        <v>45.28</v>
      </c>
      <c r="F460" s="4">
        <f t="shared" si="21"/>
        <v>2</v>
      </c>
      <c r="G460" s="4" t="str">
        <f t="shared" si="22"/>
        <v>Opec Basket</v>
      </c>
      <c r="H460" s="25">
        <f t="shared" si="23"/>
        <v>41.29</v>
      </c>
      <c r="I460" s="25">
        <v>1.2137</v>
      </c>
      <c r="J460" s="88"/>
      <c r="K460" s="106">
        <f>Table1[[#This Row],[GasP]]-Table1[[#This Row],[Gasoline]]</f>
        <v>-1.2137</v>
      </c>
    </row>
    <row r="461" spans="1:11">
      <c r="A461" s="15">
        <v>44089</v>
      </c>
      <c r="B461" s="25">
        <v>42.41</v>
      </c>
      <c r="C461" s="25">
        <v>39.35</v>
      </c>
      <c r="D461" s="25">
        <v>45.81</v>
      </c>
      <c r="F461" s="4">
        <f t="shared" si="21"/>
        <v>2</v>
      </c>
      <c r="G461" s="4" t="str">
        <f t="shared" si="22"/>
        <v>Opec Basket</v>
      </c>
      <c r="H461" s="25">
        <f t="shared" si="23"/>
        <v>39.35</v>
      </c>
      <c r="I461" s="25">
        <v>1.2464999999999999</v>
      </c>
      <c r="J461" s="88"/>
      <c r="K461" s="106">
        <f>Table1[[#This Row],[GasP]]-Table1[[#This Row],[Gasoline]]</f>
        <v>-1.2464999999999999</v>
      </c>
    </row>
    <row r="462" spans="1:11">
      <c r="A462" s="15">
        <v>44088</v>
      </c>
      <c r="B462" s="25">
        <v>42.41</v>
      </c>
      <c r="C462" s="25">
        <v>38.96</v>
      </c>
      <c r="D462" s="25">
        <v>45.09</v>
      </c>
      <c r="F462" s="4">
        <f t="shared" si="21"/>
        <v>2</v>
      </c>
      <c r="G462" s="4" t="str">
        <f t="shared" si="22"/>
        <v>Opec Basket</v>
      </c>
      <c r="H462" s="25">
        <f t="shared" si="23"/>
        <v>38.96</v>
      </c>
      <c r="I462" s="25">
        <v>1.2181999999999999</v>
      </c>
      <c r="J462" s="88"/>
      <c r="K462" s="106">
        <f>Table1[[#This Row],[GasP]]-Table1[[#This Row],[Gasoline]]</f>
        <v>-1.2181999999999999</v>
      </c>
    </row>
    <row r="463" spans="1:11">
      <c r="A463" s="15">
        <v>44085</v>
      </c>
      <c r="B463" s="25">
        <v>42.46</v>
      </c>
      <c r="C463" s="25">
        <v>39.369999999999997</v>
      </c>
      <c r="D463" s="25">
        <v>45.64</v>
      </c>
      <c r="F463" s="4">
        <f t="shared" si="21"/>
        <v>2</v>
      </c>
      <c r="G463" s="4" t="str">
        <f t="shared" si="22"/>
        <v>Opec Basket</v>
      </c>
      <c r="H463" s="25">
        <f t="shared" si="23"/>
        <v>39.369999999999997</v>
      </c>
      <c r="I463" s="25">
        <v>1.2634000000000001</v>
      </c>
      <c r="J463" s="88"/>
      <c r="K463" s="106">
        <f>Table1[[#This Row],[GasP]]-Table1[[#This Row],[Gasoline]]</f>
        <v>-1.2634000000000001</v>
      </c>
    </row>
    <row r="464" spans="1:11">
      <c r="A464" s="15">
        <v>44084</v>
      </c>
      <c r="B464" s="25">
        <v>42.45</v>
      </c>
      <c r="C464" s="25">
        <v>39.83</v>
      </c>
      <c r="D464" s="25">
        <v>45.86</v>
      </c>
      <c r="F464" s="4">
        <f t="shared" si="21"/>
        <v>2</v>
      </c>
      <c r="G464" s="4" t="str">
        <f t="shared" si="22"/>
        <v>Opec Basket</v>
      </c>
      <c r="H464" s="25">
        <f t="shared" si="23"/>
        <v>39.83</v>
      </c>
      <c r="I464" s="25">
        <v>1.2685</v>
      </c>
      <c r="J464" s="88"/>
      <c r="K464" s="106">
        <f>Table1[[#This Row],[GasP]]-Table1[[#This Row],[Gasoline]]</f>
        <v>-1.2685</v>
      </c>
    </row>
    <row r="465" spans="1:11">
      <c r="A465" s="15">
        <v>44083</v>
      </c>
      <c r="B465" s="25">
        <v>42.28</v>
      </c>
      <c r="C465" s="25">
        <v>39.82</v>
      </c>
      <c r="D465" s="25">
        <v>45.13</v>
      </c>
      <c r="F465" s="4">
        <f t="shared" si="21"/>
        <v>2</v>
      </c>
      <c r="G465" s="4" t="str">
        <f t="shared" si="22"/>
        <v>Opec Basket</v>
      </c>
      <c r="H465" s="25">
        <f t="shared" si="23"/>
        <v>39.82</v>
      </c>
      <c r="I465" s="25">
        <v>1.2598</v>
      </c>
      <c r="J465" s="88"/>
      <c r="K465" s="106">
        <f>Table1[[#This Row],[GasP]]-Table1[[#This Row],[Gasoline]]</f>
        <v>-1.2598</v>
      </c>
    </row>
    <row r="466" spans="1:11">
      <c r="A466" s="15">
        <v>44082</v>
      </c>
      <c r="B466" s="25">
        <v>42.2</v>
      </c>
      <c r="C466" s="25">
        <v>40.29</v>
      </c>
      <c r="D466" s="25">
        <v>44.35</v>
      </c>
      <c r="F466" s="4">
        <f t="shared" si="21"/>
        <v>2</v>
      </c>
      <c r="G466" s="4" t="str">
        <f t="shared" si="22"/>
        <v>Opec Basket</v>
      </c>
      <c r="H466" s="25">
        <f t="shared" si="23"/>
        <v>40.29</v>
      </c>
      <c r="I466" s="25">
        <v>1.2130000000000001</v>
      </c>
      <c r="J466" s="88"/>
      <c r="K466" s="106">
        <f>Table1[[#This Row],[GasP]]-Table1[[#This Row],[Gasoline]]</f>
        <v>-1.2130000000000001</v>
      </c>
    </row>
    <row r="467" spans="1:11">
      <c r="A467" s="15">
        <v>44081</v>
      </c>
      <c r="B467" s="25">
        <v>42.36</v>
      </c>
      <c r="C467" s="25">
        <v>41.64</v>
      </c>
      <c r="D467" s="25">
        <v>44.9</v>
      </c>
      <c r="F467" s="4">
        <f t="shared" si="21"/>
        <v>2</v>
      </c>
      <c r="G467" s="4" t="str">
        <f t="shared" si="22"/>
        <v>Opec Basket</v>
      </c>
      <c r="H467" s="25">
        <f t="shared" si="23"/>
        <v>41.64</v>
      </c>
      <c r="I467" s="25">
        <v>1.2263999999999999</v>
      </c>
      <c r="J467" s="88"/>
      <c r="K467" s="106">
        <f>Table1[[#This Row],[GasP]]-Table1[[#This Row],[Gasoline]]</f>
        <v>-1.2263999999999999</v>
      </c>
    </row>
    <row r="468" spans="1:11">
      <c r="A468" s="15">
        <v>44078</v>
      </c>
      <c r="B468" s="25">
        <v>42.47</v>
      </c>
      <c r="C468" s="25">
        <v>43.42</v>
      </c>
      <c r="D468" s="25">
        <v>45.37</v>
      </c>
      <c r="F468" s="4">
        <f t="shared" si="21"/>
        <v>1</v>
      </c>
      <c r="G468" s="4" t="str">
        <f t="shared" si="22"/>
        <v>WTI Crude</v>
      </c>
      <c r="H468" s="25">
        <f t="shared" si="23"/>
        <v>42.47</v>
      </c>
      <c r="I468" s="25">
        <v>1.2284999999999999</v>
      </c>
      <c r="J468" s="88"/>
      <c r="K468" s="106">
        <f>Table1[[#This Row],[GasP]]-Table1[[#This Row],[Gasoline]]</f>
        <v>-1.2284999999999999</v>
      </c>
    </row>
    <row r="469" spans="1:11">
      <c r="A469" s="15">
        <v>44077</v>
      </c>
      <c r="B469" s="25">
        <v>42.47</v>
      </c>
      <c r="C469" s="25">
        <v>43.36</v>
      </c>
      <c r="D469" s="25">
        <v>45.46</v>
      </c>
      <c r="F469" s="4">
        <f t="shared" si="21"/>
        <v>1</v>
      </c>
      <c r="G469" s="4" t="str">
        <f t="shared" si="22"/>
        <v>WTI Crude</v>
      </c>
      <c r="H469" s="25">
        <f t="shared" si="23"/>
        <v>42.47</v>
      </c>
      <c r="I469" s="25">
        <v>1.2249000000000001</v>
      </c>
      <c r="J469" s="88"/>
      <c r="K469" s="106">
        <f>Table1[[#This Row],[GasP]]-Table1[[#This Row],[Gasoline]]</f>
        <v>-1.2249000000000001</v>
      </c>
    </row>
    <row r="470" spans="1:11">
      <c r="A470" s="15">
        <v>44076</v>
      </c>
      <c r="B470" s="25">
        <v>42.49</v>
      </c>
      <c r="C470" s="25">
        <v>45.02</v>
      </c>
      <c r="D470" s="25">
        <v>45.37</v>
      </c>
      <c r="F470" s="4">
        <f t="shared" si="21"/>
        <v>1</v>
      </c>
      <c r="G470" s="4" t="str">
        <f t="shared" si="22"/>
        <v>WTI Crude</v>
      </c>
      <c r="H470" s="25">
        <f t="shared" si="23"/>
        <v>42.49</v>
      </c>
      <c r="I470" s="25">
        <v>1.2134</v>
      </c>
      <c r="J470" s="88"/>
      <c r="K470" s="106">
        <f>Table1[[#This Row],[GasP]]-Table1[[#This Row],[Gasoline]]</f>
        <v>-1.2134</v>
      </c>
    </row>
    <row r="471" spans="1:11">
      <c r="A471" s="15">
        <v>44075</v>
      </c>
      <c r="B471" s="25">
        <v>42.04</v>
      </c>
      <c r="C471" s="25">
        <v>45.3</v>
      </c>
      <c r="D471" s="25">
        <v>44.8</v>
      </c>
      <c r="F471" s="4">
        <f t="shared" si="21"/>
        <v>1</v>
      </c>
      <c r="G471" s="4" t="str">
        <f t="shared" si="22"/>
        <v>WTI Crude</v>
      </c>
      <c r="H471" s="25">
        <f t="shared" si="23"/>
        <v>42.04</v>
      </c>
      <c r="I471" s="25">
        <v>1.1879999999999999</v>
      </c>
      <c r="J471" s="88"/>
      <c r="K471" s="106">
        <f>Table1[[#This Row],[GasP]]-Table1[[#This Row],[Gasoline]]</f>
        <v>-1.1879999999999999</v>
      </c>
    </row>
    <row r="472" spans="1:11">
      <c r="A472" s="15">
        <v>44074</v>
      </c>
      <c r="B472" s="25">
        <v>42.16</v>
      </c>
      <c r="C472" s="25">
        <v>46.27</v>
      </c>
      <c r="D472" s="25">
        <v>44.96</v>
      </c>
      <c r="F472" s="4">
        <f t="shared" si="21"/>
        <v>1</v>
      </c>
      <c r="G472" s="4" t="str">
        <f t="shared" si="22"/>
        <v>WTI Crude</v>
      </c>
      <c r="H472" s="25">
        <f t="shared" si="23"/>
        <v>42.16</v>
      </c>
      <c r="I472" s="25">
        <v>1.1789000000000001</v>
      </c>
      <c r="J472" s="88"/>
      <c r="K472" s="106">
        <f>Table1[[#This Row],[GasP]]-Table1[[#This Row],[Gasoline]]</f>
        <v>-1.1789000000000001</v>
      </c>
    </row>
    <row r="473" spans="1:11">
      <c r="A473" s="15">
        <v>44071</v>
      </c>
      <c r="B473" s="25">
        <v>42.43</v>
      </c>
      <c r="C473" s="25">
        <v>45.33</v>
      </c>
      <c r="D473" s="25">
        <v>45.43</v>
      </c>
      <c r="F473" s="4">
        <f t="shared" si="21"/>
        <v>1</v>
      </c>
      <c r="G473" s="4" t="str">
        <f t="shared" si="22"/>
        <v>WTI Crude</v>
      </c>
      <c r="H473" s="25">
        <f t="shared" si="23"/>
        <v>42.43</v>
      </c>
      <c r="I473" s="25">
        <v>1.1858</v>
      </c>
      <c r="J473" s="88"/>
      <c r="K473" s="106">
        <f>Table1[[#This Row],[GasP]]-Table1[[#This Row],[Gasoline]]</f>
        <v>-1.1858</v>
      </c>
    </row>
    <row r="474" spans="1:11">
      <c r="A474" s="15">
        <v>44070</v>
      </c>
      <c r="B474" s="25">
        <v>41.71</v>
      </c>
      <c r="C474" s="25">
        <v>45.81</v>
      </c>
      <c r="D474" s="25">
        <v>44.5</v>
      </c>
      <c r="F474" s="4">
        <f t="shared" si="21"/>
        <v>1</v>
      </c>
      <c r="G474" s="4" t="str">
        <f t="shared" si="22"/>
        <v>WTI Crude</v>
      </c>
      <c r="H474" s="25">
        <f t="shared" si="23"/>
        <v>41.71</v>
      </c>
      <c r="I474" s="25">
        <v>1.2044999999999999</v>
      </c>
      <c r="J474" s="88"/>
      <c r="K474" s="106">
        <f>Table1[[#This Row],[GasP]]-Table1[[#This Row],[Gasoline]]</f>
        <v>-1.2044999999999999</v>
      </c>
    </row>
    <row r="475" spans="1:11">
      <c r="A475" s="15">
        <v>44069</v>
      </c>
      <c r="B475" s="25">
        <v>41.94</v>
      </c>
      <c r="C475" s="25">
        <v>46.05</v>
      </c>
      <c r="D475" s="25">
        <v>44.99</v>
      </c>
      <c r="F475" s="4">
        <f t="shared" si="21"/>
        <v>1</v>
      </c>
      <c r="G475" s="4" t="str">
        <f t="shared" si="22"/>
        <v>WTI Crude</v>
      </c>
      <c r="H475" s="25">
        <f t="shared" si="23"/>
        <v>41.94</v>
      </c>
      <c r="I475" s="25">
        <v>1.2293000000000001</v>
      </c>
      <c r="J475" s="88">
        <f>2.48+0.4*K480</f>
        <v>1.9947599999999999</v>
      </c>
      <c r="K475" s="106">
        <f>Table1[[#This Row],[GasP]]-Table1[[#This Row],[Gasoline]]</f>
        <v>0.76545999999999981</v>
      </c>
    </row>
    <row r="476" spans="1:11">
      <c r="A476" s="15">
        <v>44068</v>
      </c>
      <c r="B476" s="25">
        <v>41.4</v>
      </c>
      <c r="C476" s="25">
        <v>45.87</v>
      </c>
      <c r="D476" s="25">
        <v>44.4</v>
      </c>
      <c r="F476" s="4">
        <f t="shared" si="21"/>
        <v>1</v>
      </c>
      <c r="G476" s="4" t="str">
        <f t="shared" si="22"/>
        <v>WTI Crude</v>
      </c>
      <c r="H476" s="25">
        <f t="shared" si="23"/>
        <v>41.4</v>
      </c>
      <c r="I476" s="25">
        <v>1.2076</v>
      </c>
      <c r="J476" s="88"/>
      <c r="K476" s="106">
        <f>Table1[[#This Row],[GasP]]-Table1[[#This Row],[Gasoline]]</f>
        <v>-1.2076</v>
      </c>
    </row>
    <row r="477" spans="1:11">
      <c r="A477" s="15">
        <v>44067</v>
      </c>
      <c r="B477" s="25">
        <v>41.99</v>
      </c>
      <c r="C477" s="25">
        <v>45.19</v>
      </c>
      <c r="D477" s="25">
        <v>45.09</v>
      </c>
      <c r="F477" s="4">
        <f t="shared" si="21"/>
        <v>1</v>
      </c>
      <c r="G477" s="4" t="str">
        <f t="shared" si="22"/>
        <v>WTI Crude</v>
      </c>
      <c r="H477" s="25">
        <f t="shared" si="23"/>
        <v>41.99</v>
      </c>
      <c r="I477" s="25">
        <v>1.2281</v>
      </c>
      <c r="J477" s="88"/>
      <c r="K477" s="106">
        <f>Table1[[#This Row],[GasP]]-Table1[[#This Row],[Gasoline]]</f>
        <v>-1.2281</v>
      </c>
    </row>
    <row r="478" spans="1:11">
      <c r="A478" s="15">
        <v>44064</v>
      </c>
      <c r="B478" s="25">
        <v>42.19</v>
      </c>
      <c r="C478" s="25">
        <v>44.92</v>
      </c>
      <c r="D478" s="25">
        <v>45.17</v>
      </c>
      <c r="F478" s="4">
        <f t="shared" si="21"/>
        <v>1</v>
      </c>
      <c r="G478" s="4" t="str">
        <f t="shared" si="22"/>
        <v>WTI Crude</v>
      </c>
      <c r="H478" s="25">
        <f t="shared" si="23"/>
        <v>42.19</v>
      </c>
      <c r="I478" s="25">
        <v>1.2228000000000001</v>
      </c>
      <c r="J478" s="88"/>
      <c r="K478" s="106">
        <f>Table1[[#This Row],[GasP]]-Table1[[#This Row],[Gasoline]]</f>
        <v>-1.2228000000000001</v>
      </c>
    </row>
    <row r="479" spans="1:11">
      <c r="A479" s="15">
        <v>44063</v>
      </c>
      <c r="B479" s="25">
        <v>41.74</v>
      </c>
      <c r="C479" s="25">
        <v>45.05</v>
      </c>
      <c r="D479" s="25">
        <v>44.43</v>
      </c>
      <c r="F479" s="4">
        <f t="shared" si="21"/>
        <v>1</v>
      </c>
      <c r="G479" s="4" t="str">
        <f t="shared" si="22"/>
        <v>WTI Crude</v>
      </c>
      <c r="H479" s="25">
        <f t="shared" si="23"/>
        <v>41.74</v>
      </c>
      <c r="I479" s="25">
        <v>1.2142999999999999</v>
      </c>
      <c r="J479" s="88"/>
      <c r="K479" s="106">
        <f>Table1[[#This Row],[GasP]]-Table1[[#This Row],[Gasoline]]</f>
        <v>-1.2142999999999999</v>
      </c>
    </row>
    <row r="480" spans="1:11">
      <c r="A480" s="15">
        <v>44062</v>
      </c>
      <c r="B480" s="25">
        <v>41.11</v>
      </c>
      <c r="C480" s="25">
        <v>45.19</v>
      </c>
      <c r="D480" s="25">
        <v>44.15</v>
      </c>
      <c r="F480" s="4">
        <f t="shared" si="21"/>
        <v>1</v>
      </c>
      <c r="G480" s="4" t="str">
        <f t="shared" si="22"/>
        <v>WTI Crude</v>
      </c>
      <c r="H480" s="25">
        <f t="shared" si="23"/>
        <v>41.11</v>
      </c>
      <c r="I480" s="25">
        <v>1.2131000000000001</v>
      </c>
      <c r="J480" s="88"/>
      <c r="K480" s="106">
        <f>Table1[[#This Row],[GasP]]-Table1[[#This Row],[Gasoline]]</f>
        <v>-1.2131000000000001</v>
      </c>
    </row>
    <row r="481" spans="1:11">
      <c r="A481" s="15">
        <v>44061</v>
      </c>
      <c r="B481" s="25">
        <v>40.770000000000003</v>
      </c>
      <c r="C481" s="25">
        <v>45.49</v>
      </c>
      <c r="D481" s="25">
        <v>43.3</v>
      </c>
      <c r="F481" s="4">
        <f t="shared" si="21"/>
        <v>1</v>
      </c>
      <c r="G481" s="4" t="str">
        <f t="shared" si="22"/>
        <v>WTI Crude</v>
      </c>
      <c r="H481" s="25">
        <f t="shared" si="23"/>
        <v>40.770000000000003</v>
      </c>
      <c r="I481" s="25">
        <v>1.1711</v>
      </c>
      <c r="J481" s="88"/>
      <c r="K481" s="106">
        <f>Table1[[#This Row],[GasP]]-Table1[[#This Row],[Gasoline]]</f>
        <v>-1.1711</v>
      </c>
    </row>
    <row r="482" spans="1:11">
      <c r="A482" s="15">
        <v>44060</v>
      </c>
      <c r="B482" s="25">
        <v>40.75</v>
      </c>
      <c r="C482" s="25">
        <v>44.94</v>
      </c>
      <c r="D482" s="25">
        <v>42.94</v>
      </c>
      <c r="F482" s="4">
        <f t="shared" si="21"/>
        <v>1</v>
      </c>
      <c r="G482" s="4" t="str">
        <f t="shared" si="22"/>
        <v>WTI Crude</v>
      </c>
      <c r="H482" s="25">
        <f t="shared" si="23"/>
        <v>40.75</v>
      </c>
      <c r="I482" s="25">
        <v>1.1908000000000001</v>
      </c>
      <c r="J482" s="88"/>
      <c r="K482" s="106">
        <f>Table1[[#This Row],[GasP]]-Table1[[#This Row],[Gasoline]]</f>
        <v>-1.1908000000000001</v>
      </c>
    </row>
    <row r="483" spans="1:11">
      <c r="A483" s="15">
        <v>44057</v>
      </c>
      <c r="B483" s="25">
        <v>40.869999999999997</v>
      </c>
      <c r="C483" s="25">
        <v>44.62</v>
      </c>
      <c r="D483" s="25">
        <v>43.75</v>
      </c>
      <c r="F483" s="4">
        <f t="shared" si="21"/>
        <v>1</v>
      </c>
      <c r="G483" s="4" t="str">
        <f t="shared" si="22"/>
        <v>WTI Crude</v>
      </c>
      <c r="H483" s="25">
        <f t="shared" si="23"/>
        <v>40.869999999999997</v>
      </c>
      <c r="I483" s="25">
        <v>1.2132000000000001</v>
      </c>
      <c r="J483" s="88"/>
      <c r="K483" s="106">
        <f>Table1[[#This Row],[GasP]]-Table1[[#This Row],[Gasoline]]</f>
        <v>-1.2132000000000001</v>
      </c>
    </row>
    <row r="484" spans="1:11">
      <c r="A484" s="15">
        <v>44056</v>
      </c>
      <c r="B484" s="25">
        <v>40.840000000000003</v>
      </c>
      <c r="C484" s="25">
        <v>45.34</v>
      </c>
      <c r="D484" s="25">
        <v>43.22</v>
      </c>
      <c r="F484" s="4">
        <f t="shared" si="21"/>
        <v>1</v>
      </c>
      <c r="G484" s="4" t="str">
        <f t="shared" si="22"/>
        <v>WTI Crude</v>
      </c>
      <c r="H484" s="25">
        <f t="shared" si="23"/>
        <v>40.840000000000003</v>
      </c>
      <c r="I484" s="25">
        <v>1.2352000000000001</v>
      </c>
      <c r="J484" s="88"/>
      <c r="K484" s="106">
        <f>Table1[[#This Row],[GasP]]-Table1[[#This Row],[Gasoline]]</f>
        <v>-1.2352000000000001</v>
      </c>
    </row>
    <row r="485" spans="1:11">
      <c r="A485" s="15">
        <v>44055</v>
      </c>
      <c r="B485" s="25">
        <v>40.94</v>
      </c>
      <c r="C485" s="25">
        <v>45.08</v>
      </c>
      <c r="D485" s="25">
        <v>43.41</v>
      </c>
      <c r="F485" s="4">
        <f t="shared" si="21"/>
        <v>1</v>
      </c>
      <c r="G485" s="4" t="str">
        <f t="shared" si="22"/>
        <v>WTI Crude</v>
      </c>
      <c r="H485" s="25">
        <f t="shared" si="23"/>
        <v>40.94</v>
      </c>
      <c r="I485" s="25">
        <v>1.2446999999999999</v>
      </c>
      <c r="J485" s="88"/>
      <c r="K485" s="106">
        <f>Table1[[#This Row],[GasP]]-Table1[[#This Row],[Gasoline]]</f>
        <v>-1.2446999999999999</v>
      </c>
    </row>
    <row r="486" spans="1:11">
      <c r="A486" s="15">
        <v>44054</v>
      </c>
      <c r="B486" s="25">
        <v>40.869999999999997</v>
      </c>
      <c r="C486" s="25">
        <v>45.21</v>
      </c>
      <c r="D486" s="25">
        <v>43.34</v>
      </c>
      <c r="F486" s="4">
        <f t="shared" si="21"/>
        <v>1</v>
      </c>
      <c r="G486" s="4" t="str">
        <f t="shared" si="22"/>
        <v>WTI Crude</v>
      </c>
      <c r="H486" s="25">
        <f t="shared" si="23"/>
        <v>40.869999999999997</v>
      </c>
      <c r="I486" s="25">
        <v>1.256</v>
      </c>
      <c r="J486" s="88"/>
      <c r="K486" s="106">
        <f>Table1[[#This Row],[GasP]]-Table1[[#This Row],[Gasoline]]</f>
        <v>-1.256</v>
      </c>
    </row>
    <row r="487" spans="1:11">
      <c r="A487" s="15">
        <v>44053</v>
      </c>
      <c r="B487" s="25">
        <v>40.81</v>
      </c>
      <c r="C487" s="25">
        <v>45.01</v>
      </c>
      <c r="D487" s="25">
        <v>43.31</v>
      </c>
      <c r="F487" s="4">
        <f t="shared" si="21"/>
        <v>1</v>
      </c>
      <c r="G487" s="4" t="str">
        <f t="shared" si="22"/>
        <v>WTI Crude</v>
      </c>
      <c r="H487" s="25">
        <f t="shared" si="23"/>
        <v>40.81</v>
      </c>
      <c r="I487" s="25">
        <v>1.2363</v>
      </c>
      <c r="J487" s="88"/>
      <c r="K487" s="106">
        <f>Table1[[#This Row],[GasP]]-Table1[[#This Row],[Gasoline]]</f>
        <v>-1.2363</v>
      </c>
    </row>
    <row r="488" spans="1:11">
      <c r="A488" s="15">
        <v>44050</v>
      </c>
      <c r="B488" s="25">
        <v>41.08</v>
      </c>
      <c r="C488" s="25">
        <v>44.87</v>
      </c>
      <c r="D488" s="25">
        <v>44.29</v>
      </c>
      <c r="F488" s="4">
        <f t="shared" si="21"/>
        <v>1</v>
      </c>
      <c r="G488" s="4" t="str">
        <f t="shared" si="22"/>
        <v>WTI Crude</v>
      </c>
      <c r="H488" s="25">
        <f t="shared" si="23"/>
        <v>41.08</v>
      </c>
      <c r="I488" s="25">
        <v>1.2603</v>
      </c>
      <c r="J488" s="88"/>
      <c r="K488" s="106">
        <f>Table1[[#This Row],[GasP]]-Table1[[#This Row],[Gasoline]]</f>
        <v>-1.2603</v>
      </c>
    </row>
    <row r="489" spans="1:11">
      <c r="A489" s="15">
        <v>44049</v>
      </c>
      <c r="B489" s="25">
        <v>41.08</v>
      </c>
      <c r="C489" s="25">
        <v>45.17</v>
      </c>
      <c r="D489" s="25">
        <v>44.32</v>
      </c>
      <c r="F489" s="4">
        <f t="shared" si="21"/>
        <v>1</v>
      </c>
      <c r="G489" s="4" t="str">
        <f t="shared" si="22"/>
        <v>WTI Crude</v>
      </c>
      <c r="H489" s="25">
        <f t="shared" si="23"/>
        <v>41.08</v>
      </c>
      <c r="I489" s="25">
        <v>1.2604</v>
      </c>
      <c r="J489" s="88"/>
      <c r="K489" s="106">
        <f>Table1[[#This Row],[GasP]]-Table1[[#This Row],[Gasoline]]</f>
        <v>-1.2604</v>
      </c>
    </row>
    <row r="490" spans="1:11">
      <c r="A490" s="15">
        <v>44048</v>
      </c>
      <c r="B490" s="25">
        <v>40.67</v>
      </c>
      <c r="C490" s="25">
        <v>45.34</v>
      </c>
      <c r="D490" s="25">
        <v>43.28</v>
      </c>
      <c r="F490" s="4">
        <f t="shared" si="21"/>
        <v>1</v>
      </c>
      <c r="G490" s="4" t="str">
        <f t="shared" si="22"/>
        <v>WTI Crude</v>
      </c>
      <c r="H490" s="25">
        <f t="shared" si="23"/>
        <v>40.67</v>
      </c>
      <c r="I490" s="25">
        <v>1.2131000000000001</v>
      </c>
      <c r="J490" s="88"/>
      <c r="K490" s="106">
        <f>Table1[[#This Row],[GasP]]-Table1[[#This Row],[Gasoline]]</f>
        <v>-1.2131000000000001</v>
      </c>
    </row>
    <row r="491" spans="1:11">
      <c r="A491" s="15">
        <v>44047</v>
      </c>
      <c r="B491" s="25">
        <v>40.590000000000003</v>
      </c>
      <c r="C491" s="25">
        <v>44.27</v>
      </c>
      <c r="D491" s="25">
        <v>43.14</v>
      </c>
      <c r="F491" s="4">
        <f t="shared" si="21"/>
        <v>1</v>
      </c>
      <c r="G491" s="4" t="str">
        <f t="shared" si="22"/>
        <v>WTI Crude</v>
      </c>
      <c r="H491" s="25">
        <f t="shared" si="23"/>
        <v>40.590000000000003</v>
      </c>
      <c r="I491" s="25">
        <v>1.2061999999999999</v>
      </c>
      <c r="J491" s="88"/>
      <c r="K491" s="106">
        <f>Table1[[#This Row],[GasP]]-Table1[[#This Row],[Gasoline]]</f>
        <v>-1.2061999999999999</v>
      </c>
    </row>
    <row r="492" spans="1:11">
      <c r="A492" s="15">
        <v>44046</v>
      </c>
      <c r="B492" s="25">
        <v>40.67</v>
      </c>
      <c r="C492" s="25">
        <v>44.02</v>
      </c>
      <c r="D492" s="25">
        <v>43.37</v>
      </c>
      <c r="F492" s="4">
        <f t="shared" si="21"/>
        <v>1</v>
      </c>
      <c r="G492" s="4" t="str">
        <f t="shared" si="22"/>
        <v>WTI Crude</v>
      </c>
      <c r="H492" s="25">
        <f t="shared" si="23"/>
        <v>40.67</v>
      </c>
      <c r="I492" s="25">
        <v>1.2157</v>
      </c>
      <c r="J492" s="88"/>
      <c r="K492" s="106">
        <f>Table1[[#This Row],[GasP]]-Table1[[#This Row],[Gasoline]]</f>
        <v>-1.2157</v>
      </c>
    </row>
    <row r="493" spans="1:11">
      <c r="A493" s="15">
        <v>44043</v>
      </c>
      <c r="B493" s="25">
        <v>40.93</v>
      </c>
      <c r="C493" s="25">
        <v>43.02</v>
      </c>
      <c r="D493" s="25">
        <v>43.79</v>
      </c>
      <c r="F493" s="4">
        <f t="shared" si="21"/>
        <v>1</v>
      </c>
      <c r="G493" s="4" t="str">
        <f t="shared" si="22"/>
        <v>WTI Crude</v>
      </c>
      <c r="H493" s="25">
        <f t="shared" si="23"/>
        <v>40.93</v>
      </c>
      <c r="I493" s="25">
        <v>1.2427999999999999</v>
      </c>
      <c r="J493" s="88"/>
      <c r="K493" s="106">
        <f>Table1[[#This Row],[GasP]]-Table1[[#This Row],[Gasoline]]</f>
        <v>-1.2427999999999999</v>
      </c>
    </row>
    <row r="494" spans="1:11">
      <c r="A494" s="15">
        <v>44042</v>
      </c>
      <c r="B494" s="25">
        <v>40.409999999999997</v>
      </c>
      <c r="C494" s="25">
        <v>42.99</v>
      </c>
      <c r="D494" s="25">
        <v>42.9</v>
      </c>
      <c r="F494" s="4">
        <f t="shared" si="21"/>
        <v>1</v>
      </c>
      <c r="G494" s="4" t="str">
        <f t="shared" si="22"/>
        <v>WTI Crude</v>
      </c>
      <c r="H494" s="25">
        <f t="shared" si="23"/>
        <v>40.409999999999997</v>
      </c>
      <c r="I494" s="25">
        <v>1.2262</v>
      </c>
      <c r="J494" s="88"/>
      <c r="K494" s="106">
        <f>Table1[[#This Row],[GasP]]-Table1[[#This Row],[Gasoline]]</f>
        <v>-1.2262</v>
      </c>
    </row>
    <row r="495" spans="1:11">
      <c r="A495" s="15">
        <v>44041</v>
      </c>
      <c r="B495" s="25">
        <v>40.28</v>
      </c>
      <c r="C495" s="25">
        <v>43.59</v>
      </c>
      <c r="D495" s="25">
        <v>42.72</v>
      </c>
      <c r="F495" s="4">
        <f t="shared" si="21"/>
        <v>1</v>
      </c>
      <c r="G495" s="4" t="str">
        <f t="shared" si="22"/>
        <v>WTI Crude</v>
      </c>
      <c r="H495" s="25">
        <f t="shared" si="23"/>
        <v>40.28</v>
      </c>
      <c r="I495" s="25">
        <v>1.2471000000000001</v>
      </c>
      <c r="J495" s="88"/>
      <c r="K495" s="106">
        <f>Table1[[#This Row],[GasP]]-Table1[[#This Row],[Gasoline]]</f>
        <v>-1.2471000000000001</v>
      </c>
    </row>
    <row r="496" spans="1:11">
      <c r="A496" s="15">
        <v>44040</v>
      </c>
      <c r="B496" s="25">
        <v>40.58</v>
      </c>
      <c r="C496" s="25">
        <v>43.4</v>
      </c>
      <c r="D496" s="25">
        <v>43.24</v>
      </c>
      <c r="F496" s="4">
        <f t="shared" si="21"/>
        <v>1</v>
      </c>
      <c r="G496" s="4" t="str">
        <f t="shared" si="22"/>
        <v>WTI Crude</v>
      </c>
      <c r="H496" s="25">
        <f t="shared" si="23"/>
        <v>40.58</v>
      </c>
      <c r="I496" s="25">
        <v>1.2830999999999999</v>
      </c>
      <c r="J496" s="88"/>
      <c r="K496" s="106">
        <f>Table1[[#This Row],[GasP]]-Table1[[#This Row],[Gasoline]]</f>
        <v>-1.2830999999999999</v>
      </c>
    </row>
    <row r="497" spans="1:11">
      <c r="A497" s="15">
        <v>44039</v>
      </c>
      <c r="B497" s="25">
        <v>39.9</v>
      </c>
      <c r="C497" s="25">
        <v>43.14</v>
      </c>
      <c r="D497" s="25">
        <v>42.35</v>
      </c>
      <c r="F497" s="4">
        <f t="shared" si="21"/>
        <v>1</v>
      </c>
      <c r="G497" s="4" t="str">
        <f t="shared" si="22"/>
        <v>WTI Crude</v>
      </c>
      <c r="H497" s="25">
        <f t="shared" si="23"/>
        <v>39.9</v>
      </c>
      <c r="I497" s="25">
        <v>1.2504999999999999</v>
      </c>
      <c r="J497" s="88"/>
      <c r="K497" s="106">
        <f>Table1[[#This Row],[GasP]]-Table1[[#This Row],[Gasoline]]</f>
        <v>-1.2504999999999999</v>
      </c>
    </row>
    <row r="498" spans="1:11">
      <c r="A498" s="15">
        <v>44036</v>
      </c>
      <c r="B498" s="25">
        <v>40.869999999999997</v>
      </c>
      <c r="C498" s="25">
        <v>43.38</v>
      </c>
      <c r="D498" s="25">
        <v>43.29</v>
      </c>
      <c r="F498" s="4">
        <f t="shared" si="21"/>
        <v>1</v>
      </c>
      <c r="G498" s="4" t="str">
        <f t="shared" si="22"/>
        <v>WTI Crude</v>
      </c>
      <c r="H498" s="25">
        <f t="shared" si="23"/>
        <v>40.869999999999997</v>
      </c>
      <c r="I498" s="25">
        <v>1.2908999999999999</v>
      </c>
      <c r="J498" s="88"/>
      <c r="K498" s="106">
        <f>Table1[[#This Row],[GasP]]-Table1[[#This Row],[Gasoline]]</f>
        <v>-1.2908999999999999</v>
      </c>
    </row>
    <row r="499" spans="1:11">
      <c r="A499" s="15">
        <v>44035</v>
      </c>
      <c r="B499" s="25">
        <v>40.61</v>
      </c>
      <c r="C499" s="25">
        <v>44.62</v>
      </c>
      <c r="D499" s="25">
        <v>43.08</v>
      </c>
      <c r="F499" s="4">
        <f t="shared" si="21"/>
        <v>1</v>
      </c>
      <c r="G499" s="4" t="str">
        <f t="shared" si="22"/>
        <v>WTI Crude</v>
      </c>
      <c r="H499" s="25">
        <f t="shared" si="23"/>
        <v>40.61</v>
      </c>
      <c r="I499" s="25">
        <v>1.2749999999999999</v>
      </c>
      <c r="J499" s="88"/>
      <c r="K499" s="106">
        <f>Table1[[#This Row],[GasP]]-Table1[[#This Row],[Gasoline]]</f>
        <v>-1.2749999999999999</v>
      </c>
    </row>
    <row r="500" spans="1:11">
      <c r="A500" s="15">
        <v>44034</v>
      </c>
      <c r="B500" s="25">
        <v>40.630000000000003</v>
      </c>
      <c r="C500" s="25">
        <v>44.24</v>
      </c>
      <c r="D500" s="25">
        <v>43.1</v>
      </c>
      <c r="F500" s="4">
        <f t="shared" si="21"/>
        <v>1</v>
      </c>
      <c r="G500" s="4" t="str">
        <f t="shared" si="22"/>
        <v>WTI Crude</v>
      </c>
      <c r="H500" s="25">
        <f t="shared" si="23"/>
        <v>40.630000000000003</v>
      </c>
      <c r="I500" s="25">
        <v>1.2407999999999999</v>
      </c>
      <c r="J500" s="88"/>
      <c r="K500" s="106">
        <f>Table1[[#This Row],[GasP]]-Table1[[#This Row],[Gasoline]]</f>
        <v>-1.2407999999999999</v>
      </c>
    </row>
    <row r="501" spans="1:11">
      <c r="A501" s="15">
        <v>44033</v>
      </c>
      <c r="B501" s="25">
        <v>40.65</v>
      </c>
      <c r="C501" s="25">
        <v>44.29</v>
      </c>
      <c r="D501" s="25">
        <v>43.14</v>
      </c>
      <c r="F501" s="4">
        <f t="shared" si="21"/>
        <v>1</v>
      </c>
      <c r="G501" s="4" t="str">
        <f t="shared" si="22"/>
        <v>WTI Crude</v>
      </c>
      <c r="H501" s="25">
        <f t="shared" si="23"/>
        <v>40.65</v>
      </c>
      <c r="I501" s="25">
        <v>1.2592000000000001</v>
      </c>
      <c r="J501" s="88"/>
      <c r="K501" s="106">
        <f>Table1[[#This Row],[GasP]]-Table1[[#This Row],[Gasoline]]</f>
        <v>-1.2592000000000001</v>
      </c>
    </row>
    <row r="502" spans="1:11">
      <c r="A502" s="15">
        <v>44032</v>
      </c>
      <c r="B502" s="25">
        <v>39.86</v>
      </c>
      <c r="C502" s="25">
        <v>43.03</v>
      </c>
      <c r="D502" s="25">
        <v>42.03</v>
      </c>
      <c r="F502" s="4">
        <f t="shared" si="21"/>
        <v>1</v>
      </c>
      <c r="G502" s="4" t="str">
        <f t="shared" si="22"/>
        <v>WTI Crude</v>
      </c>
      <c r="H502" s="25">
        <f t="shared" si="23"/>
        <v>39.86</v>
      </c>
      <c r="I502" s="25">
        <v>1.2169000000000001</v>
      </c>
      <c r="J502" s="88"/>
      <c r="K502" s="106">
        <f>Table1[[#This Row],[GasP]]-Table1[[#This Row],[Gasoline]]</f>
        <v>-1.2169000000000001</v>
      </c>
    </row>
    <row r="503" spans="1:11">
      <c r="A503" s="15">
        <v>44029</v>
      </c>
      <c r="B503" s="25">
        <v>38.31</v>
      </c>
      <c r="C503" s="25">
        <v>43.22</v>
      </c>
      <c r="D503" s="25">
        <v>41.15</v>
      </c>
      <c r="F503" s="4">
        <f t="shared" si="21"/>
        <v>1</v>
      </c>
      <c r="G503" s="4" t="str">
        <f t="shared" si="22"/>
        <v>WTI Crude</v>
      </c>
      <c r="H503" s="25">
        <f t="shared" si="23"/>
        <v>38.31</v>
      </c>
      <c r="I503" s="25">
        <v>1.2015</v>
      </c>
      <c r="J503" s="88"/>
      <c r="K503" s="106">
        <f>Table1[[#This Row],[GasP]]-Table1[[#This Row],[Gasoline]]</f>
        <v>-1.2015</v>
      </c>
    </row>
    <row r="504" spans="1:11">
      <c r="A504" s="15">
        <v>44028</v>
      </c>
      <c r="B504" s="25">
        <v>38.33</v>
      </c>
      <c r="C504" s="25">
        <v>43.8</v>
      </c>
      <c r="D504" s="25">
        <v>41.71</v>
      </c>
      <c r="F504" s="4">
        <f t="shared" si="21"/>
        <v>1</v>
      </c>
      <c r="G504" s="4" t="str">
        <f t="shared" si="22"/>
        <v>WTI Crude</v>
      </c>
      <c r="H504" s="25">
        <f t="shared" si="23"/>
        <v>38.33</v>
      </c>
      <c r="I504" s="25">
        <v>1.1878</v>
      </c>
      <c r="J504" s="88"/>
      <c r="K504" s="106">
        <f>Table1[[#This Row],[GasP]]-Table1[[#This Row],[Gasoline]]</f>
        <v>-1.1878</v>
      </c>
    </row>
    <row r="505" spans="1:11">
      <c r="A505" s="15">
        <v>44027</v>
      </c>
      <c r="B505" s="25">
        <v>38.22</v>
      </c>
      <c r="C505" s="25">
        <v>44.12</v>
      </c>
      <c r="D505" s="25">
        <v>41.02</v>
      </c>
      <c r="F505" s="4">
        <f t="shared" si="21"/>
        <v>1</v>
      </c>
      <c r="G505" s="4" t="str">
        <f t="shared" si="22"/>
        <v>WTI Crude</v>
      </c>
      <c r="H505" s="25">
        <f t="shared" si="23"/>
        <v>38.22</v>
      </c>
      <c r="I505" s="25">
        <v>1.1569</v>
      </c>
      <c r="J505" s="88"/>
      <c r="K505" s="106">
        <f>Table1[[#This Row],[GasP]]-Table1[[#This Row],[Gasoline]]</f>
        <v>-1.1569</v>
      </c>
    </row>
    <row r="506" spans="1:11">
      <c r="A506" s="15">
        <v>44026</v>
      </c>
      <c r="B506" s="25">
        <v>38.25</v>
      </c>
      <c r="C506" s="25">
        <v>43.02</v>
      </c>
      <c r="D506" s="25">
        <v>41.05</v>
      </c>
      <c r="F506" s="4">
        <f t="shared" si="21"/>
        <v>1</v>
      </c>
      <c r="G506" s="4" t="str">
        <f t="shared" si="22"/>
        <v>WTI Crude</v>
      </c>
      <c r="H506" s="25">
        <f t="shared" si="23"/>
        <v>38.25</v>
      </c>
      <c r="I506" s="25">
        <v>1.1972</v>
      </c>
      <c r="J506" s="88"/>
      <c r="K506" s="106">
        <f>Table1[[#This Row],[GasP]]-Table1[[#This Row],[Gasoline]]</f>
        <v>-1.1972</v>
      </c>
    </row>
    <row r="507" spans="1:11">
      <c r="A507" s="15">
        <v>44025</v>
      </c>
      <c r="B507" s="25">
        <v>38.130000000000003</v>
      </c>
      <c r="C507" s="25">
        <v>43.38</v>
      </c>
      <c r="D507" s="25">
        <v>40.31</v>
      </c>
      <c r="F507" s="4">
        <f t="shared" si="21"/>
        <v>1</v>
      </c>
      <c r="G507" s="4" t="str">
        <f t="shared" si="22"/>
        <v>WTI Crude</v>
      </c>
      <c r="H507" s="25">
        <f t="shared" si="23"/>
        <v>38.130000000000003</v>
      </c>
      <c r="I507" s="25">
        <v>1.1992</v>
      </c>
      <c r="J507" s="88"/>
      <c r="K507" s="106">
        <f>Table1[[#This Row],[GasP]]-Table1[[#This Row],[Gasoline]]</f>
        <v>-1.1992</v>
      </c>
    </row>
    <row r="508" spans="1:11">
      <c r="A508" s="15">
        <v>44022</v>
      </c>
      <c r="B508" s="25">
        <v>38.659999999999997</v>
      </c>
      <c r="C508" s="25">
        <v>43.47</v>
      </c>
      <c r="D508" s="25">
        <v>42.63</v>
      </c>
      <c r="F508" s="4">
        <f t="shared" si="21"/>
        <v>1</v>
      </c>
      <c r="G508" s="4" t="str">
        <f t="shared" si="22"/>
        <v>WTI Crude</v>
      </c>
      <c r="H508" s="25">
        <f t="shared" si="23"/>
        <v>38.659999999999997</v>
      </c>
      <c r="I508" s="25">
        <v>1.2983</v>
      </c>
      <c r="J508" s="88"/>
      <c r="K508" s="106">
        <f>Table1[[#This Row],[GasP]]-Table1[[#This Row],[Gasoline]]</f>
        <v>-1.2983</v>
      </c>
    </row>
    <row r="509" spans="1:11">
      <c r="A509" s="15">
        <v>44021</v>
      </c>
      <c r="B509" s="25">
        <v>38.76</v>
      </c>
      <c r="C509" s="25">
        <v>43.31</v>
      </c>
      <c r="D509" s="25">
        <v>43.08</v>
      </c>
      <c r="F509" s="4">
        <f t="shared" si="21"/>
        <v>1</v>
      </c>
      <c r="G509" s="4" t="str">
        <f t="shared" si="22"/>
        <v>WTI Crude</v>
      </c>
      <c r="H509" s="25">
        <f t="shared" si="23"/>
        <v>38.76</v>
      </c>
      <c r="I509" s="25">
        <v>1.2904</v>
      </c>
      <c r="J509" s="88"/>
      <c r="K509" s="106">
        <f>Table1[[#This Row],[GasP]]-Table1[[#This Row],[Gasoline]]</f>
        <v>-1.2904</v>
      </c>
    </row>
    <row r="510" spans="1:11">
      <c r="A510" s="15">
        <v>44020</v>
      </c>
      <c r="B510" s="25">
        <v>38.479999999999997</v>
      </c>
      <c r="C510" s="25">
        <v>43.44</v>
      </c>
      <c r="D510" s="25">
        <v>42.19</v>
      </c>
      <c r="F510" s="4">
        <f t="shared" si="21"/>
        <v>1</v>
      </c>
      <c r="G510" s="4" t="str">
        <f t="shared" si="22"/>
        <v>WTI Crude</v>
      </c>
      <c r="H510" s="25">
        <f t="shared" si="23"/>
        <v>38.479999999999997</v>
      </c>
      <c r="I510" s="25">
        <v>1.2709999999999999</v>
      </c>
      <c r="J510" s="88"/>
      <c r="K510" s="106">
        <f>Table1[[#This Row],[GasP]]-Table1[[#This Row],[Gasoline]]</f>
        <v>-1.2709999999999999</v>
      </c>
    </row>
    <row r="511" spans="1:11">
      <c r="A511" s="15">
        <v>44019</v>
      </c>
      <c r="B511" s="25">
        <v>38.19</v>
      </c>
      <c r="C511" s="25">
        <v>43.15</v>
      </c>
      <c r="D511" s="25">
        <v>41.51</v>
      </c>
      <c r="F511" s="4">
        <f t="shared" si="21"/>
        <v>1</v>
      </c>
      <c r="G511" s="4" t="str">
        <f t="shared" si="22"/>
        <v>WTI Crude</v>
      </c>
      <c r="H511" s="25">
        <f t="shared" si="23"/>
        <v>38.19</v>
      </c>
      <c r="I511" s="25">
        <v>1.2575000000000001</v>
      </c>
      <c r="J511" s="88"/>
      <c r="K511" s="106">
        <f>Table1[[#This Row],[GasP]]-Table1[[#This Row],[Gasoline]]</f>
        <v>-1.2575000000000001</v>
      </c>
    </row>
    <row r="512" spans="1:11">
      <c r="A512" s="15">
        <v>44018</v>
      </c>
      <c r="B512" s="25">
        <v>37.840000000000003</v>
      </c>
      <c r="C512" s="25">
        <v>43.57</v>
      </c>
      <c r="D512" s="25">
        <v>40.71</v>
      </c>
      <c r="F512" s="4">
        <f t="shared" si="21"/>
        <v>1</v>
      </c>
      <c r="G512" s="4" t="str">
        <f t="shared" si="22"/>
        <v>WTI Crude</v>
      </c>
      <c r="H512" s="25">
        <f t="shared" si="23"/>
        <v>37.840000000000003</v>
      </c>
      <c r="I512" s="25">
        <v>1.2219</v>
      </c>
      <c r="J512" s="88"/>
      <c r="K512" s="106">
        <f>Table1[[#This Row],[GasP]]-Table1[[#This Row],[Gasoline]]</f>
        <v>-1.2219</v>
      </c>
    </row>
    <row r="513" spans="1:12">
      <c r="A513" s="15">
        <v>44015</v>
      </c>
      <c r="B513" s="25">
        <v>38.03</v>
      </c>
      <c r="C513" s="25">
        <v>42.96</v>
      </c>
      <c r="D513" s="25">
        <v>40.96</v>
      </c>
      <c r="F513" s="4">
        <f t="shared" si="21"/>
        <v>1</v>
      </c>
      <c r="G513" s="4" t="str">
        <f t="shared" si="22"/>
        <v>WTI Crude</v>
      </c>
      <c r="H513" s="25">
        <f t="shared" si="23"/>
        <v>38.03</v>
      </c>
      <c r="I513" s="25">
        <v>1.2149000000000001</v>
      </c>
      <c r="J513" s="88"/>
      <c r="K513" s="106">
        <f>Table1[[#This Row],[GasP]]-Table1[[#This Row],[Gasoline]]</f>
        <v>-1.2149000000000001</v>
      </c>
    </row>
    <row r="514" spans="1:12">
      <c r="A514" s="15">
        <v>44014</v>
      </c>
      <c r="B514" s="25">
        <v>37.42</v>
      </c>
      <c r="C514" s="25">
        <v>42.93</v>
      </c>
      <c r="D514" s="25">
        <v>39.72</v>
      </c>
      <c r="F514" s="4">
        <f t="shared" ref="F514:F577" si="24">IF(MIN(B514:E514)=B514,1,IF(MIN(B514:E514)=C514,2,IF(MIN(B514:E514)=D514,3,IF(MIN(B514:E514)=E514,4,))))</f>
        <v>1</v>
      </c>
      <c r="G514" s="4" t="str">
        <f t="shared" ref="G514:G577" si="25">IF(MIN(B514:E514)=B514,$B$1,IF(MIN(B514:E514)=C514,$C$1,IF(MIN(B514:E514)=D514,$D$1,IF(MIN(B514:E514)=E514,$E$1,))))</f>
        <v>WTI Crude</v>
      </c>
      <c r="H514" s="25">
        <f t="shared" ref="H514:H577" si="26">IF(MIN(B514:E514)=B514,B514,IF(MIN(B514:E514)=C514,C514,IF(MIN(B514:E514)=D514,D514,IF(MIN(B514:E514)=E514,E514,))))</f>
        <v>37.42</v>
      </c>
      <c r="I514" s="25">
        <v>1.1732</v>
      </c>
      <c r="J514" s="88"/>
      <c r="K514" s="106">
        <f>Table1[[#This Row],[GasP]]-Table1[[#This Row],[Gasoline]]</f>
        <v>-1.1732</v>
      </c>
    </row>
    <row r="515" spans="1:12">
      <c r="A515" s="15">
        <v>44013</v>
      </c>
      <c r="B515" s="25">
        <v>36.93</v>
      </c>
      <c r="C515" s="25">
        <v>42.69</v>
      </c>
      <c r="D515" s="25">
        <v>38.729999999999997</v>
      </c>
      <c r="F515" s="4">
        <f t="shared" si="24"/>
        <v>1</v>
      </c>
      <c r="G515" s="4" t="str">
        <f t="shared" si="25"/>
        <v>WTI Crude</v>
      </c>
      <c r="H515" s="25">
        <f t="shared" si="26"/>
        <v>36.93</v>
      </c>
      <c r="I515" s="25">
        <v>1.1367</v>
      </c>
      <c r="J515" s="88"/>
      <c r="K515" s="106">
        <f>Table1[[#This Row],[GasP]]-Table1[[#This Row],[Gasoline]]</f>
        <v>-1.1367</v>
      </c>
    </row>
    <row r="516" spans="1:12">
      <c r="A516" s="15">
        <v>44012</v>
      </c>
      <c r="B516" s="25">
        <v>36.97</v>
      </c>
      <c r="C516" s="25">
        <v>38.22</v>
      </c>
      <c r="D516" s="25">
        <v>38.549999999999997</v>
      </c>
      <c r="F516" s="4">
        <f t="shared" si="24"/>
        <v>1</v>
      </c>
      <c r="G516" s="4" t="str">
        <f t="shared" si="25"/>
        <v>WTI Crude</v>
      </c>
      <c r="H516" s="25">
        <f t="shared" si="26"/>
        <v>36.97</v>
      </c>
      <c r="I516" s="25">
        <v>1.1188</v>
      </c>
      <c r="J516" s="88"/>
      <c r="K516" s="106">
        <f>Table1[[#This Row],[GasP]]-Table1[[#This Row],[Gasoline]]</f>
        <v>-1.1188</v>
      </c>
    </row>
    <row r="517" spans="1:12">
      <c r="A517" s="15">
        <v>44011</v>
      </c>
      <c r="B517" s="25">
        <v>39.03</v>
      </c>
      <c r="C517" s="25">
        <v>37.340000000000003</v>
      </c>
      <c r="D517" s="25">
        <v>41.73</v>
      </c>
      <c r="F517" s="4">
        <f t="shared" si="24"/>
        <v>2</v>
      </c>
      <c r="G517" s="4" t="str">
        <f t="shared" si="25"/>
        <v>Opec Basket</v>
      </c>
      <c r="H517" s="25">
        <f t="shared" si="26"/>
        <v>37.340000000000003</v>
      </c>
      <c r="I517" s="25">
        <v>1.2099</v>
      </c>
      <c r="J517" s="88">
        <v>2.1</v>
      </c>
      <c r="K517" s="106">
        <f>Table1[[#This Row],[GasP]]-Table1[[#This Row],[Gasoline]]</f>
        <v>0.89010000000000011</v>
      </c>
    </row>
    <row r="518" spans="1:12">
      <c r="A518" s="15">
        <v>44008</v>
      </c>
      <c r="B518" s="25">
        <v>38.590000000000003</v>
      </c>
      <c r="C518" s="25">
        <v>37.99</v>
      </c>
      <c r="D518" s="25">
        <v>41.18</v>
      </c>
      <c r="F518" s="4">
        <f t="shared" si="24"/>
        <v>2</v>
      </c>
      <c r="G518" s="4" t="str">
        <f t="shared" si="25"/>
        <v>Opec Basket</v>
      </c>
      <c r="H518" s="25">
        <f t="shared" si="26"/>
        <v>37.99</v>
      </c>
      <c r="I518" s="25">
        <v>1.2102999999999999</v>
      </c>
      <c r="J518" s="88"/>
      <c r="K518" s="106">
        <f>Table1[[#This Row],[GasP]]-Table1[[#This Row],[Gasoline]]</f>
        <v>-1.2102999999999999</v>
      </c>
    </row>
    <row r="519" spans="1:12">
      <c r="A519" s="15">
        <v>44007</v>
      </c>
      <c r="B519" s="25">
        <v>38.049999999999997</v>
      </c>
      <c r="C519" s="25">
        <v>37.18</v>
      </c>
      <c r="D519" s="25">
        <v>40.799999999999997</v>
      </c>
      <c r="F519" s="4">
        <f t="shared" si="24"/>
        <v>2</v>
      </c>
      <c r="G519" s="4" t="str">
        <f t="shared" si="25"/>
        <v>Opec Basket</v>
      </c>
      <c r="H519" s="25">
        <f t="shared" si="26"/>
        <v>37.18</v>
      </c>
      <c r="I519" s="25">
        <v>1.1950000000000001</v>
      </c>
      <c r="J519" s="88"/>
      <c r="K519" s="106">
        <f>Table1[[#This Row],[GasP]]-Table1[[#This Row],[Gasoline]]</f>
        <v>-1.1950000000000001</v>
      </c>
    </row>
    <row r="520" spans="1:12">
      <c r="A520" s="15">
        <v>44006</v>
      </c>
      <c r="B520" s="25">
        <v>39.11</v>
      </c>
      <c r="C520" s="25">
        <v>38.17</v>
      </c>
      <c r="D520" s="25">
        <v>42.3</v>
      </c>
      <c r="F520" s="4">
        <f t="shared" si="24"/>
        <v>2</v>
      </c>
      <c r="G520" s="4" t="str">
        <f t="shared" si="25"/>
        <v>Opec Basket</v>
      </c>
      <c r="H520" s="25">
        <f t="shared" si="26"/>
        <v>38.17</v>
      </c>
      <c r="I520" s="25">
        <v>1.2136</v>
      </c>
      <c r="J520" s="88"/>
      <c r="K520" s="106">
        <f>Table1[[#This Row],[GasP]]-Table1[[#This Row],[Gasoline]]</f>
        <v>-1.2136</v>
      </c>
      <c r="L520" t="s">
        <v>6</v>
      </c>
    </row>
    <row r="521" spans="1:12">
      <c r="A521" s="15">
        <v>44005</v>
      </c>
      <c r="B521" s="25">
        <v>37.369999999999997</v>
      </c>
      <c r="C521" s="25">
        <v>39.85</v>
      </c>
      <c r="D521" s="25">
        <v>39.99</v>
      </c>
      <c r="F521" s="4">
        <f t="shared" si="24"/>
        <v>1</v>
      </c>
      <c r="G521" s="4" t="str">
        <f t="shared" si="25"/>
        <v>WTI Crude</v>
      </c>
      <c r="H521" s="25">
        <f t="shared" si="26"/>
        <v>37.369999999999997</v>
      </c>
      <c r="I521" s="25">
        <v>1.149</v>
      </c>
      <c r="J521" s="88"/>
      <c r="K521" s="106">
        <f>Table1[[#This Row],[GasP]]-Table1[[#This Row],[Gasoline]]</f>
        <v>-1.149</v>
      </c>
    </row>
    <row r="522" spans="1:12">
      <c r="A522" s="15">
        <v>44004</v>
      </c>
      <c r="B522" s="25">
        <v>37.270000000000003</v>
      </c>
      <c r="C522" s="25">
        <v>38.96</v>
      </c>
      <c r="D522" s="25">
        <v>39.79</v>
      </c>
      <c r="F522" s="4">
        <f t="shared" si="24"/>
        <v>1</v>
      </c>
      <c r="G522" s="4" t="str">
        <f t="shared" si="25"/>
        <v>WTI Crude</v>
      </c>
      <c r="H522" s="25">
        <f t="shared" si="26"/>
        <v>37.270000000000003</v>
      </c>
      <c r="I522" s="25">
        <v>1.1193</v>
      </c>
      <c r="J522" s="88"/>
      <c r="K522" s="106">
        <f>Table1[[#This Row],[GasP]]-Table1[[#This Row],[Gasoline]]</f>
        <v>-1.1193</v>
      </c>
    </row>
    <row r="523" spans="1:12">
      <c r="A523" s="15">
        <v>44001</v>
      </c>
      <c r="B523" s="25">
        <v>36.82</v>
      </c>
      <c r="C523" s="25">
        <v>39.450000000000003</v>
      </c>
      <c r="D523" s="25">
        <v>39.57</v>
      </c>
      <c r="F523" s="4">
        <f t="shared" si="24"/>
        <v>1</v>
      </c>
      <c r="G523" s="4" t="str">
        <f t="shared" si="25"/>
        <v>WTI Crude</v>
      </c>
      <c r="H523" s="25">
        <f t="shared" si="26"/>
        <v>36.82</v>
      </c>
      <c r="I523" s="25">
        <v>1.1183000000000001</v>
      </c>
      <c r="J523" s="88"/>
      <c r="K523" s="106">
        <f>Table1[[#This Row],[GasP]]-Table1[[#This Row],[Gasoline]]</f>
        <v>-1.1183000000000001</v>
      </c>
    </row>
    <row r="524" spans="1:12">
      <c r="A524" s="15">
        <v>44000</v>
      </c>
      <c r="B524" s="25">
        <v>35.54</v>
      </c>
      <c r="C524" s="25">
        <v>37.700000000000003</v>
      </c>
      <c r="D524" s="25">
        <v>38.32</v>
      </c>
      <c r="F524" s="4">
        <f t="shared" si="24"/>
        <v>1</v>
      </c>
      <c r="G524" s="4" t="str">
        <f t="shared" si="25"/>
        <v>WTI Crude</v>
      </c>
      <c r="H524" s="25">
        <f t="shared" si="26"/>
        <v>35.54</v>
      </c>
      <c r="I524" s="25">
        <v>1.0667</v>
      </c>
      <c r="J524" s="88"/>
      <c r="K524" s="106">
        <f>Table1[[#This Row],[GasP]]-Table1[[#This Row],[Gasoline]]</f>
        <v>-1.0667</v>
      </c>
    </row>
    <row r="525" spans="1:12">
      <c r="A525" s="15">
        <v>43999</v>
      </c>
      <c r="B525" s="25">
        <v>28.53</v>
      </c>
      <c r="C525" s="25">
        <v>37.590000000000003</v>
      </c>
      <c r="D525" s="25">
        <v>35.33</v>
      </c>
      <c r="F525" s="4">
        <f t="shared" si="24"/>
        <v>1</v>
      </c>
      <c r="G525" s="4" t="str">
        <f t="shared" si="25"/>
        <v>WTI Crude</v>
      </c>
      <c r="H525" s="25">
        <f t="shared" si="26"/>
        <v>28.53</v>
      </c>
      <c r="I525" s="25">
        <v>1.0785</v>
      </c>
      <c r="J525" s="88"/>
      <c r="K525" s="106">
        <f>Table1[[#This Row],[GasP]]-Table1[[#This Row],[Gasoline]]</f>
        <v>-1.0785</v>
      </c>
    </row>
    <row r="526" spans="1:12">
      <c r="A526" s="15">
        <v>43998</v>
      </c>
      <c r="B526" s="25">
        <v>28.44</v>
      </c>
      <c r="C526" s="25">
        <v>36.75</v>
      </c>
      <c r="D526" s="25">
        <v>35.29</v>
      </c>
      <c r="F526" s="4">
        <f t="shared" si="24"/>
        <v>1</v>
      </c>
      <c r="G526" s="4" t="str">
        <f t="shared" si="25"/>
        <v>WTI Crude</v>
      </c>
      <c r="H526" s="25">
        <f t="shared" si="26"/>
        <v>28.44</v>
      </c>
      <c r="I526" s="25">
        <v>1.026</v>
      </c>
      <c r="J526" s="88"/>
      <c r="K526" s="106">
        <f>Table1[[#This Row],[GasP]]-Table1[[#This Row],[Gasoline]]</f>
        <v>-1.026</v>
      </c>
    </row>
    <row r="527" spans="1:12">
      <c r="A527" s="15">
        <v>43997</v>
      </c>
      <c r="B527" s="25">
        <v>28.35</v>
      </c>
      <c r="C527" s="25">
        <v>35.090000000000003</v>
      </c>
      <c r="D527" s="25">
        <v>34.74</v>
      </c>
      <c r="F527" s="4">
        <f t="shared" si="24"/>
        <v>1</v>
      </c>
      <c r="G527" s="4" t="str">
        <f t="shared" si="25"/>
        <v>WTI Crude</v>
      </c>
      <c r="H527" s="25">
        <f t="shared" si="26"/>
        <v>28.35</v>
      </c>
      <c r="I527" s="25">
        <v>1.0177</v>
      </c>
      <c r="J527" s="88"/>
      <c r="K527" s="106">
        <f>Table1[[#This Row],[GasP]]-Table1[[#This Row],[Gasoline]]</f>
        <v>-1.0177</v>
      </c>
    </row>
    <row r="528" spans="1:12">
      <c r="A528" s="15">
        <v>43994</v>
      </c>
      <c r="B528" s="25">
        <v>28.58</v>
      </c>
      <c r="C528" s="25">
        <v>35.06</v>
      </c>
      <c r="D528" s="25">
        <v>36.17</v>
      </c>
      <c r="F528" s="4">
        <f t="shared" si="24"/>
        <v>1</v>
      </c>
      <c r="G528" s="4" t="str">
        <f t="shared" si="25"/>
        <v>WTI Crude</v>
      </c>
      <c r="H528" s="25">
        <f t="shared" si="26"/>
        <v>28.58</v>
      </c>
      <c r="I528" s="25">
        <v>1.0648</v>
      </c>
      <c r="J528" s="88"/>
      <c r="K528" s="106">
        <f>Table1[[#This Row],[GasP]]-Table1[[#This Row],[Gasoline]]</f>
        <v>-1.0648</v>
      </c>
    </row>
    <row r="529" spans="1:11">
      <c r="A529" s="29">
        <v>43993</v>
      </c>
      <c r="B529" s="36">
        <v>28.36</v>
      </c>
      <c r="C529" s="36">
        <v>36.56</v>
      </c>
      <c r="D529" s="36">
        <v>35.130000000000003</v>
      </c>
      <c r="E529" s="9"/>
      <c r="F529" s="9">
        <f t="shared" si="24"/>
        <v>1</v>
      </c>
      <c r="G529" s="9" t="str">
        <f t="shared" si="25"/>
        <v>WTI Crude</v>
      </c>
      <c r="H529" s="36">
        <f t="shared" si="26"/>
        <v>28.36</v>
      </c>
      <c r="I529" s="36">
        <v>1.0518000000000001</v>
      </c>
      <c r="J529" s="88"/>
      <c r="K529" s="106">
        <f>Table1[[#This Row],[GasP]]-Table1[[#This Row],[Gasoline]]</f>
        <v>-1.0518000000000001</v>
      </c>
    </row>
    <row r="530" spans="1:11">
      <c r="A530" s="15">
        <v>43992</v>
      </c>
      <c r="B530" s="25">
        <v>28.53</v>
      </c>
      <c r="C530" s="25">
        <v>37.46</v>
      </c>
      <c r="D530" s="25">
        <v>36.06</v>
      </c>
      <c r="F530" s="4">
        <f t="shared" si="24"/>
        <v>1</v>
      </c>
      <c r="G530" s="4" t="str">
        <f t="shared" si="25"/>
        <v>WTI Crude</v>
      </c>
      <c r="H530" s="25">
        <f t="shared" si="26"/>
        <v>28.53</v>
      </c>
      <c r="I530" s="25">
        <v>1.0618000000000001</v>
      </c>
      <c r="J530" s="88"/>
      <c r="K530" s="106">
        <f>Table1[[#This Row],[GasP]]-Table1[[#This Row],[Gasoline]]</f>
        <v>-1.0618000000000001</v>
      </c>
    </row>
    <row r="531" spans="1:11">
      <c r="A531" s="15">
        <v>43991</v>
      </c>
      <c r="B531" s="25">
        <v>28.4</v>
      </c>
      <c r="C531" s="25">
        <v>37.1</v>
      </c>
      <c r="D531" s="25">
        <v>35.75</v>
      </c>
      <c r="F531" s="4">
        <f t="shared" si="24"/>
        <v>1</v>
      </c>
      <c r="G531" s="4" t="str">
        <f t="shared" si="25"/>
        <v>WTI Crude</v>
      </c>
      <c r="H531" s="25">
        <f t="shared" si="26"/>
        <v>28.4</v>
      </c>
      <c r="I531" s="25">
        <v>1.0438000000000001</v>
      </c>
      <c r="J531" s="88"/>
      <c r="K531" s="106">
        <f>Table1[[#This Row],[GasP]]-Table1[[#This Row],[Gasoline]]</f>
        <v>-1.0438000000000001</v>
      </c>
    </row>
    <row r="532" spans="1:11">
      <c r="A532" s="15">
        <v>43990</v>
      </c>
      <c r="B532" s="25">
        <v>27.86</v>
      </c>
      <c r="C532" s="25">
        <v>38.89</v>
      </c>
      <c r="D532" s="25">
        <v>34.65</v>
      </c>
      <c r="F532" s="4">
        <f t="shared" si="24"/>
        <v>1</v>
      </c>
      <c r="G532" s="4" t="str">
        <f t="shared" si="25"/>
        <v>WTI Crude</v>
      </c>
      <c r="H532" s="25">
        <f t="shared" si="26"/>
        <v>27.86</v>
      </c>
      <c r="I532" s="25">
        <v>1.0549999999999999</v>
      </c>
      <c r="J532" s="88"/>
      <c r="K532" s="106">
        <f>Table1[[#This Row],[GasP]]-Table1[[#This Row],[Gasoline]]</f>
        <v>-1.0549999999999999</v>
      </c>
    </row>
    <row r="533" spans="1:11">
      <c r="A533" s="15">
        <v>43987</v>
      </c>
      <c r="B533" s="25">
        <v>27.72</v>
      </c>
      <c r="C533" s="25">
        <v>36.840000000000003</v>
      </c>
      <c r="D533" s="25">
        <v>34.81</v>
      </c>
      <c r="F533" s="4">
        <f t="shared" si="24"/>
        <v>1</v>
      </c>
      <c r="G533" s="4" t="str">
        <f t="shared" si="25"/>
        <v>WTI Crude</v>
      </c>
      <c r="H533" s="25">
        <f t="shared" si="26"/>
        <v>27.72</v>
      </c>
      <c r="I533" s="25">
        <v>1.0426</v>
      </c>
      <c r="J533" s="88"/>
      <c r="K533" s="106">
        <f>Table1[[#This Row],[GasP]]-Table1[[#This Row],[Gasoline]]</f>
        <v>-1.0426</v>
      </c>
    </row>
    <row r="534" spans="1:11">
      <c r="A534" s="15">
        <v>43986</v>
      </c>
      <c r="B534" s="25">
        <v>26.74</v>
      </c>
      <c r="C534" s="25">
        <v>34.85</v>
      </c>
      <c r="D534" s="25">
        <v>32.5</v>
      </c>
      <c r="F534" s="4">
        <f t="shared" si="24"/>
        <v>1</v>
      </c>
      <c r="G534" s="4" t="str">
        <f t="shared" si="25"/>
        <v>WTI Crude</v>
      </c>
      <c r="H534" s="25">
        <f t="shared" si="26"/>
        <v>26.74</v>
      </c>
      <c r="I534" s="25">
        <v>0.98380000000000001</v>
      </c>
      <c r="J534" s="88"/>
      <c r="K534" s="106">
        <f>Table1[[#This Row],[GasP]]-Table1[[#This Row],[Gasoline]]</f>
        <v>-0.98380000000000001</v>
      </c>
    </row>
    <row r="535" spans="1:11">
      <c r="A535" s="15">
        <v>43985</v>
      </c>
      <c r="B535" s="25">
        <v>25.88</v>
      </c>
      <c r="C535" s="25">
        <v>35.47</v>
      </c>
      <c r="D535" s="25">
        <v>31.13</v>
      </c>
      <c r="F535" s="4">
        <f t="shared" si="24"/>
        <v>1</v>
      </c>
      <c r="G535" s="4" t="str">
        <f t="shared" si="25"/>
        <v>WTI Crude</v>
      </c>
      <c r="H535" s="25">
        <f t="shared" si="26"/>
        <v>25.88</v>
      </c>
      <c r="I535" s="25">
        <v>0.93689999999999996</v>
      </c>
      <c r="J535" s="88"/>
      <c r="K535" s="106">
        <f>Table1[[#This Row],[GasP]]-Table1[[#This Row],[Gasoline]]</f>
        <v>-0.93689999999999996</v>
      </c>
    </row>
    <row r="536" spans="1:11">
      <c r="A536" s="15">
        <v>43984</v>
      </c>
      <c r="B536" s="25">
        <v>24.66</v>
      </c>
      <c r="C536" s="25">
        <v>34.96</v>
      </c>
      <c r="D536" s="25">
        <v>29.19</v>
      </c>
      <c r="F536" s="4">
        <f t="shared" si="24"/>
        <v>1</v>
      </c>
      <c r="G536" s="4" t="str">
        <f t="shared" si="25"/>
        <v>WTI Crude</v>
      </c>
      <c r="H536" s="25">
        <f t="shared" si="26"/>
        <v>24.66</v>
      </c>
      <c r="I536" s="25">
        <v>0.88180000000000003</v>
      </c>
      <c r="J536" s="88"/>
      <c r="K536" s="106">
        <f>Table1[[#This Row],[GasP]]-Table1[[#This Row],[Gasoline]]</f>
        <v>-0.88180000000000003</v>
      </c>
    </row>
    <row r="537" spans="1:11">
      <c r="A537" s="15">
        <v>43983</v>
      </c>
      <c r="B537" s="25">
        <v>25.01</v>
      </c>
      <c r="C537" s="25">
        <v>33.69</v>
      </c>
      <c r="D537" s="25">
        <v>29.98</v>
      </c>
      <c r="F537" s="4">
        <f t="shared" si="24"/>
        <v>1</v>
      </c>
      <c r="G537" s="4" t="str">
        <f t="shared" si="25"/>
        <v>WTI Crude</v>
      </c>
      <c r="H537" s="25">
        <f t="shared" si="26"/>
        <v>25.01</v>
      </c>
      <c r="I537" s="25">
        <v>0.93630000000000002</v>
      </c>
      <c r="J537" s="88"/>
      <c r="K537" s="106">
        <f>Table1[[#This Row],[GasP]]-Table1[[#This Row],[Gasoline]]</f>
        <v>-0.93630000000000002</v>
      </c>
    </row>
    <row r="538" spans="1:11">
      <c r="A538" s="15">
        <v>43980</v>
      </c>
      <c r="B538" s="25">
        <v>24.08</v>
      </c>
      <c r="C538" s="25">
        <v>29.01</v>
      </c>
      <c r="D538" s="25">
        <v>29.63</v>
      </c>
      <c r="F538" s="4">
        <f t="shared" si="24"/>
        <v>1</v>
      </c>
      <c r="G538" s="4" t="str">
        <f t="shared" si="25"/>
        <v>WTI Crude</v>
      </c>
      <c r="H538" s="25">
        <f t="shared" si="26"/>
        <v>24.08</v>
      </c>
      <c r="I538" s="25">
        <v>0.92420000000000002</v>
      </c>
      <c r="J538" s="88"/>
      <c r="K538" s="106">
        <f>Table1[[#This Row],[GasP]]-Table1[[#This Row],[Gasoline]]</f>
        <v>-0.92420000000000002</v>
      </c>
    </row>
    <row r="539" spans="1:11">
      <c r="A539" s="15">
        <v>43979</v>
      </c>
      <c r="B539" s="25">
        <v>24.67</v>
      </c>
      <c r="C539" s="25">
        <v>28.45</v>
      </c>
      <c r="D539" s="25">
        <v>30.97</v>
      </c>
      <c r="F539" s="4">
        <f t="shared" si="24"/>
        <v>1</v>
      </c>
      <c r="G539" s="4" t="str">
        <f t="shared" si="25"/>
        <v>WTI Crude</v>
      </c>
      <c r="H539" s="25">
        <f t="shared" si="26"/>
        <v>24.67</v>
      </c>
      <c r="I539" s="25">
        <v>0.95220000000000005</v>
      </c>
      <c r="J539" s="88"/>
      <c r="K539" s="106">
        <f>Table1[[#This Row],[GasP]]-Table1[[#This Row],[Gasoline]]</f>
        <v>-0.95220000000000005</v>
      </c>
    </row>
    <row r="540" spans="1:11">
      <c r="A540" s="15">
        <v>43978</v>
      </c>
      <c r="B540" s="25">
        <v>23.72</v>
      </c>
      <c r="C540" s="25">
        <v>29.03</v>
      </c>
      <c r="D540" s="25">
        <v>29.46</v>
      </c>
      <c r="F540" s="4">
        <f t="shared" si="24"/>
        <v>1</v>
      </c>
      <c r="G540" s="4" t="str">
        <f t="shared" si="25"/>
        <v>WTI Crude</v>
      </c>
      <c r="H540" s="25">
        <f t="shared" si="26"/>
        <v>23.72</v>
      </c>
      <c r="I540" s="25">
        <v>0.93140000000000001</v>
      </c>
      <c r="J540" s="88"/>
      <c r="K540" s="106">
        <f>Table1[[#This Row],[GasP]]-Table1[[#This Row],[Gasoline]]</f>
        <v>-0.93140000000000001</v>
      </c>
    </row>
    <row r="541" spans="1:11">
      <c r="A541" s="15">
        <v>43977</v>
      </c>
      <c r="B541" s="25">
        <v>24.2</v>
      </c>
      <c r="C541" s="25">
        <v>29.75</v>
      </c>
      <c r="D541" s="25">
        <v>29.72</v>
      </c>
      <c r="F541" s="4">
        <f t="shared" si="24"/>
        <v>1</v>
      </c>
      <c r="G541" s="4" t="str">
        <f t="shared" si="25"/>
        <v>WTI Crude</v>
      </c>
      <c r="H541" s="25">
        <f t="shared" si="26"/>
        <v>24.2</v>
      </c>
      <c r="I541" s="25">
        <v>0.87690000000000001</v>
      </c>
      <c r="J541" s="88"/>
      <c r="K541" s="106">
        <f>Table1[[#This Row],[GasP]]-Table1[[#This Row],[Gasoline]]</f>
        <v>-0.87690000000000001</v>
      </c>
    </row>
    <row r="542" spans="1:11">
      <c r="A542" s="15">
        <v>43973</v>
      </c>
      <c r="B542" s="25">
        <v>24.79</v>
      </c>
      <c r="C542" s="25">
        <v>28.06</v>
      </c>
      <c r="D542" s="25">
        <v>30.97</v>
      </c>
      <c r="F542" s="4">
        <f t="shared" si="24"/>
        <v>1</v>
      </c>
      <c r="G542" s="4" t="str">
        <f t="shared" si="25"/>
        <v>WTI Crude</v>
      </c>
      <c r="H542" s="25">
        <f t="shared" si="26"/>
        <v>24.79</v>
      </c>
      <c r="I542" s="25">
        <v>0.90129999999999999</v>
      </c>
      <c r="J542" s="88"/>
      <c r="K542" s="106">
        <f>Table1[[#This Row],[GasP]]-Table1[[#This Row],[Gasoline]]</f>
        <v>-0.90129999999999999</v>
      </c>
    </row>
    <row r="543" spans="1:11">
      <c r="A543" s="15">
        <v>43972</v>
      </c>
      <c r="B543" s="25">
        <v>21.2</v>
      </c>
      <c r="C543" s="25">
        <v>29.7</v>
      </c>
      <c r="D543" s="25">
        <v>27.2</v>
      </c>
      <c r="F543" s="4">
        <f t="shared" si="24"/>
        <v>1</v>
      </c>
      <c r="G543" s="4" t="str">
        <f t="shared" si="25"/>
        <v>WTI Crude</v>
      </c>
      <c r="H543" s="25">
        <f t="shared" si="26"/>
        <v>21.2</v>
      </c>
      <c r="I543" s="25">
        <v>0.82150000000000001</v>
      </c>
      <c r="J543" s="88"/>
      <c r="K543" s="106">
        <f>Table1[[#This Row],[GasP]]-Table1[[#This Row],[Gasoline]]</f>
        <v>-0.82150000000000001</v>
      </c>
    </row>
    <row r="544" spans="1:11">
      <c r="A544" s="15">
        <v>43971</v>
      </c>
      <c r="B544" s="25">
        <v>20.66</v>
      </c>
      <c r="C544" s="25">
        <v>28.68</v>
      </c>
      <c r="D544" s="25">
        <v>26.44</v>
      </c>
      <c r="F544" s="4">
        <f t="shared" si="24"/>
        <v>1</v>
      </c>
      <c r="G544" s="4" t="str">
        <f t="shared" si="25"/>
        <v>WTI Crude</v>
      </c>
      <c r="H544" s="25">
        <f t="shared" si="26"/>
        <v>20.66</v>
      </c>
      <c r="I544" s="25">
        <v>0.76629999999999998</v>
      </c>
      <c r="J544" s="88"/>
      <c r="K544" s="106">
        <f>Table1[[#This Row],[GasP]]-Table1[[#This Row],[Gasoline]]</f>
        <v>-0.76629999999999998</v>
      </c>
    </row>
    <row r="545" spans="1:11">
      <c r="A545" s="15">
        <v>43970</v>
      </c>
      <c r="B545" s="25">
        <v>16.7</v>
      </c>
      <c r="C545" s="25">
        <v>28.43</v>
      </c>
      <c r="D545" s="25">
        <v>25.27</v>
      </c>
      <c r="F545" s="4">
        <f t="shared" si="24"/>
        <v>1</v>
      </c>
      <c r="G545" s="4" t="str">
        <f t="shared" si="25"/>
        <v>WTI Crude</v>
      </c>
      <c r="H545" s="25">
        <f t="shared" si="26"/>
        <v>16.7</v>
      </c>
      <c r="I545" s="25">
        <v>0.78369999999999995</v>
      </c>
      <c r="J545" s="88"/>
      <c r="K545" s="106">
        <f>Table1[[#This Row],[GasP]]-Table1[[#This Row],[Gasoline]]</f>
        <v>-0.78369999999999995</v>
      </c>
    </row>
    <row r="546" spans="1:11">
      <c r="A546" s="15">
        <v>43969</v>
      </c>
      <c r="B546" s="25">
        <v>16.52</v>
      </c>
      <c r="C546" s="25">
        <v>28.21</v>
      </c>
      <c r="D546" s="25">
        <v>22.54</v>
      </c>
      <c r="F546" s="4">
        <f t="shared" si="24"/>
        <v>1</v>
      </c>
      <c r="G546" s="4" t="str">
        <f t="shared" si="25"/>
        <v>WTI Crude</v>
      </c>
      <c r="H546" s="25">
        <f t="shared" si="26"/>
        <v>16.52</v>
      </c>
      <c r="I546" s="25">
        <v>0.72719999999999996</v>
      </c>
      <c r="J546" s="88"/>
      <c r="K546" s="106">
        <f>Table1[[#This Row],[GasP]]-Table1[[#This Row],[Gasoline]]</f>
        <v>-0.72719999999999996</v>
      </c>
    </row>
    <row r="547" spans="1:11">
      <c r="A547" s="15">
        <v>43966</v>
      </c>
      <c r="B547" s="25">
        <v>16.260000000000002</v>
      </c>
      <c r="C547" s="25">
        <v>26.54</v>
      </c>
      <c r="D547" s="25">
        <v>20.46</v>
      </c>
      <c r="F547" s="4">
        <f t="shared" si="24"/>
        <v>1</v>
      </c>
      <c r="G547" s="4" t="str">
        <f t="shared" si="25"/>
        <v>WTI Crude</v>
      </c>
      <c r="H547" s="25">
        <f t="shared" si="26"/>
        <v>16.260000000000002</v>
      </c>
      <c r="I547" s="25">
        <v>0.70399999999999996</v>
      </c>
      <c r="J547" s="88"/>
      <c r="K547" s="106">
        <f>Table1[[#This Row],[GasP]]-Table1[[#This Row],[Gasoline]]</f>
        <v>-0.70399999999999996</v>
      </c>
    </row>
    <row r="548" spans="1:11">
      <c r="A548" s="15">
        <v>43965</v>
      </c>
      <c r="B548" s="25">
        <v>16.32</v>
      </c>
      <c r="C548" s="25">
        <v>24.93</v>
      </c>
      <c r="D548" s="25">
        <v>19.989999999999998</v>
      </c>
      <c r="F548" s="4">
        <f t="shared" si="24"/>
        <v>1</v>
      </c>
      <c r="G548" s="4" t="str">
        <f t="shared" si="25"/>
        <v>WTI Crude</v>
      </c>
      <c r="H548" s="25">
        <f t="shared" si="26"/>
        <v>16.32</v>
      </c>
      <c r="I548" s="25">
        <v>0.68489999999999995</v>
      </c>
      <c r="J548" s="88"/>
      <c r="K548" s="106">
        <f>Table1[[#This Row],[GasP]]-Table1[[#This Row],[Gasoline]]</f>
        <v>-0.68489999999999995</v>
      </c>
    </row>
    <row r="549" spans="1:11">
      <c r="A549" s="15">
        <v>43964</v>
      </c>
      <c r="B549" s="25">
        <v>17.12</v>
      </c>
      <c r="C549" s="25">
        <v>23.25</v>
      </c>
      <c r="D549" s="25">
        <v>21.44</v>
      </c>
      <c r="F549" s="4">
        <f t="shared" si="24"/>
        <v>1</v>
      </c>
      <c r="G549" s="4" t="str">
        <f t="shared" si="25"/>
        <v>WTI Crude</v>
      </c>
      <c r="H549" s="25">
        <f t="shared" si="26"/>
        <v>17.12</v>
      </c>
      <c r="I549" s="25">
        <v>0.70009999999999994</v>
      </c>
      <c r="J549" s="88"/>
      <c r="K549" s="106">
        <f>Table1[[#This Row],[GasP]]-Table1[[#This Row],[Gasoline]]</f>
        <v>-0.70009999999999994</v>
      </c>
    </row>
    <row r="550" spans="1:11">
      <c r="A550" s="15">
        <v>43963</v>
      </c>
      <c r="B550" s="25">
        <v>17.010000000000002</v>
      </c>
      <c r="C550" s="25">
        <v>22.83</v>
      </c>
      <c r="D550" s="25">
        <v>21.33</v>
      </c>
      <c r="F550" s="4">
        <f t="shared" si="24"/>
        <v>1</v>
      </c>
      <c r="G550" s="4" t="str">
        <f t="shared" si="25"/>
        <v>WTI Crude</v>
      </c>
      <c r="H550" s="25">
        <f t="shared" si="26"/>
        <v>17.010000000000002</v>
      </c>
      <c r="I550" s="25">
        <v>0.68210000000000004</v>
      </c>
      <c r="J550" s="88"/>
      <c r="K550" s="106">
        <f>Table1[[#This Row],[GasP]]-Table1[[#This Row],[Gasoline]]</f>
        <v>-0.68210000000000004</v>
      </c>
    </row>
    <row r="551" spans="1:11">
      <c r="A551" s="15">
        <v>43962</v>
      </c>
      <c r="B551" s="25">
        <v>16.23</v>
      </c>
      <c r="C551" s="25">
        <v>22.71</v>
      </c>
      <c r="D551" s="25">
        <v>20.37</v>
      </c>
      <c r="F551" s="4">
        <f t="shared" si="24"/>
        <v>1</v>
      </c>
      <c r="G551" s="4" t="str">
        <f t="shared" si="25"/>
        <v>WTI Crude</v>
      </c>
      <c r="H551" s="25">
        <f t="shared" si="26"/>
        <v>16.23</v>
      </c>
      <c r="I551" s="25">
        <v>0.6875</v>
      </c>
      <c r="J551" s="88"/>
      <c r="K551" s="106">
        <f>Table1[[#This Row],[GasP]]-Table1[[#This Row],[Gasoline]]</f>
        <v>-0.6875</v>
      </c>
    </row>
    <row r="552" spans="1:11">
      <c r="A552" s="15">
        <v>43959</v>
      </c>
      <c r="B552" s="25">
        <v>15.5</v>
      </c>
      <c r="C552" s="25">
        <v>22.21</v>
      </c>
      <c r="D552" s="25">
        <v>19.329999999999998</v>
      </c>
      <c r="F552" s="4">
        <f t="shared" si="24"/>
        <v>1</v>
      </c>
      <c r="G552" s="4" t="str">
        <f t="shared" si="25"/>
        <v>WTI Crude</v>
      </c>
      <c r="H552" s="25">
        <f t="shared" si="26"/>
        <v>15.5</v>
      </c>
      <c r="I552" s="25">
        <v>0.62529999999999997</v>
      </c>
      <c r="J552" s="88"/>
      <c r="K552" s="106">
        <f>Table1[[#This Row],[GasP]]-Table1[[#This Row],[Gasoline]]</f>
        <v>-0.62529999999999997</v>
      </c>
    </row>
    <row r="553" spans="1:11">
      <c r="A553" s="15">
        <v>43958</v>
      </c>
      <c r="B553" s="25">
        <v>16.18</v>
      </c>
      <c r="C553" s="25">
        <v>22.91</v>
      </c>
      <c r="D553" s="25">
        <v>25.57</v>
      </c>
      <c r="F553" s="4">
        <f t="shared" si="24"/>
        <v>1</v>
      </c>
      <c r="G553" s="4" t="str">
        <f t="shared" si="25"/>
        <v>WTI Crude</v>
      </c>
      <c r="H553" s="25">
        <f t="shared" si="26"/>
        <v>16.18</v>
      </c>
      <c r="I553" s="25">
        <v>0.72550000000000003</v>
      </c>
      <c r="J553" s="88"/>
      <c r="K553" s="106">
        <f>Table1[[#This Row],[GasP]]-Table1[[#This Row],[Gasoline]]</f>
        <v>-0.72550000000000003</v>
      </c>
    </row>
    <row r="554" spans="1:11">
      <c r="A554" s="15">
        <v>43957</v>
      </c>
      <c r="B554" s="25">
        <v>23.04</v>
      </c>
      <c r="C554" s="25">
        <v>22.4</v>
      </c>
      <c r="D554" s="25">
        <v>28.08</v>
      </c>
      <c r="F554" s="4">
        <f t="shared" si="24"/>
        <v>2</v>
      </c>
      <c r="G554" s="4" t="str">
        <f t="shared" si="25"/>
        <v>Opec Basket</v>
      </c>
      <c r="H554" s="25">
        <f t="shared" si="26"/>
        <v>22.4</v>
      </c>
      <c r="I554" s="25">
        <v>0.76459999999999995</v>
      </c>
      <c r="J554" s="88"/>
      <c r="K554" s="106">
        <f>Table1[[#This Row],[GasP]]-Table1[[#This Row],[Gasoline]]</f>
        <v>-0.76459999999999995</v>
      </c>
    </row>
    <row r="555" spans="1:11">
      <c r="A555" s="15">
        <v>43956</v>
      </c>
      <c r="B555" s="25">
        <v>23.43</v>
      </c>
      <c r="C555" s="25">
        <v>21.43</v>
      </c>
      <c r="D555" s="25">
        <v>27.82</v>
      </c>
      <c r="F555" s="4">
        <f t="shared" si="24"/>
        <v>2</v>
      </c>
      <c r="G555" s="4" t="str">
        <f t="shared" si="25"/>
        <v>Opec Basket</v>
      </c>
      <c r="H555" s="25">
        <f t="shared" si="26"/>
        <v>21.43</v>
      </c>
      <c r="I555" s="25">
        <v>0.75690000000000002</v>
      </c>
      <c r="J555" s="88"/>
      <c r="K555" s="106">
        <f>Table1[[#This Row],[GasP]]-Table1[[#This Row],[Gasoline]]</f>
        <v>-0.75690000000000002</v>
      </c>
    </row>
    <row r="556" spans="1:11">
      <c r="A556" s="15">
        <v>43955</v>
      </c>
      <c r="B556" s="25">
        <v>23.6</v>
      </c>
      <c r="C556" s="25">
        <v>18.36</v>
      </c>
      <c r="D556" s="25">
        <v>27.69</v>
      </c>
      <c r="F556" s="4">
        <f t="shared" si="24"/>
        <v>2</v>
      </c>
      <c r="G556" s="4" t="str">
        <f t="shared" si="25"/>
        <v>Opec Basket</v>
      </c>
      <c r="H556" s="25">
        <f t="shared" si="26"/>
        <v>18.36</v>
      </c>
      <c r="I556" s="25">
        <v>0.72040000000000004</v>
      </c>
      <c r="J556" s="88"/>
      <c r="K556" s="106">
        <f>Table1[[#This Row],[GasP]]-Table1[[#This Row],[Gasoline]]</f>
        <v>-0.72040000000000004</v>
      </c>
    </row>
    <row r="557" spans="1:11">
      <c r="A557" s="15">
        <v>43952</v>
      </c>
      <c r="B557" s="25">
        <v>24.11</v>
      </c>
      <c r="C557" s="25">
        <v>16.52</v>
      </c>
      <c r="D557" s="25">
        <v>29.6</v>
      </c>
      <c r="F557" s="4">
        <f t="shared" si="24"/>
        <v>2</v>
      </c>
      <c r="G557" s="4" t="str">
        <f t="shared" si="25"/>
        <v>Opec Basket</v>
      </c>
      <c r="H557" s="25">
        <f t="shared" si="26"/>
        <v>16.52</v>
      </c>
      <c r="I557" s="25">
        <v>0.72</v>
      </c>
      <c r="J557" s="88"/>
      <c r="K557" s="106">
        <f>Table1[[#This Row],[GasP]]-Table1[[#This Row],[Gasoline]]</f>
        <v>-0.72</v>
      </c>
    </row>
    <row r="558" spans="1:11">
      <c r="A558" s="15">
        <v>43951</v>
      </c>
      <c r="B558" s="25">
        <v>25.39</v>
      </c>
      <c r="C558" s="25">
        <v>18.05</v>
      </c>
      <c r="D558" s="25">
        <v>31.74</v>
      </c>
      <c r="F558" s="4">
        <f t="shared" si="24"/>
        <v>2</v>
      </c>
      <c r="G558" s="4" t="str">
        <f t="shared" si="25"/>
        <v>Opec Basket</v>
      </c>
      <c r="H558" s="25">
        <f t="shared" si="26"/>
        <v>18.05</v>
      </c>
      <c r="I558" s="25">
        <v>0.70330000000000004</v>
      </c>
      <c r="J558" s="88"/>
      <c r="K558" s="106">
        <f>Table1[[#This Row],[GasP]]-Table1[[#This Row],[Gasoline]]</f>
        <v>-0.70330000000000004</v>
      </c>
    </row>
    <row r="559" spans="1:11">
      <c r="A559" s="15">
        <v>43950</v>
      </c>
      <c r="B559" s="25">
        <v>25.36</v>
      </c>
      <c r="C559" s="25">
        <v>14.36</v>
      </c>
      <c r="D559" s="25">
        <v>31.48</v>
      </c>
      <c r="F559" s="4">
        <f t="shared" si="24"/>
        <v>2</v>
      </c>
      <c r="G559" s="4" t="str">
        <f t="shared" si="25"/>
        <v>Opec Basket</v>
      </c>
      <c r="H559" s="25">
        <f t="shared" si="26"/>
        <v>14.36</v>
      </c>
      <c r="I559" s="25">
        <v>0.67730000000000001</v>
      </c>
      <c r="J559" s="88"/>
      <c r="K559" s="106">
        <f>Table1[[#This Row],[GasP]]-Table1[[#This Row],[Gasoline]]</f>
        <v>-0.67730000000000001</v>
      </c>
    </row>
    <row r="560" spans="1:11">
      <c r="A560" s="15">
        <v>43949</v>
      </c>
      <c r="B560" s="25">
        <v>26.7</v>
      </c>
      <c r="C560" s="25">
        <v>12.41</v>
      </c>
      <c r="D560" s="25">
        <v>32.840000000000003</v>
      </c>
      <c r="F560" s="4">
        <f t="shared" si="24"/>
        <v>2</v>
      </c>
      <c r="G560" s="4" t="str">
        <f t="shared" si="25"/>
        <v>Opec Basket</v>
      </c>
      <c r="H560" s="25">
        <f t="shared" si="26"/>
        <v>12.41</v>
      </c>
      <c r="I560" s="25">
        <v>0.67800000000000005</v>
      </c>
      <c r="J560" s="88"/>
      <c r="K560" s="106">
        <f>Table1[[#This Row],[GasP]]-Table1[[#This Row],[Gasoline]]</f>
        <v>-0.67800000000000005</v>
      </c>
    </row>
    <row r="561" spans="1:11">
      <c r="A561" s="15">
        <v>43948</v>
      </c>
      <c r="B561" s="25">
        <v>25.58</v>
      </c>
      <c r="C561" s="25">
        <v>13.3</v>
      </c>
      <c r="D561" s="25">
        <v>31.87</v>
      </c>
      <c r="F561" s="4">
        <f t="shared" si="24"/>
        <v>2</v>
      </c>
      <c r="G561" s="4" t="str">
        <f t="shared" si="25"/>
        <v>Opec Basket</v>
      </c>
      <c r="H561" s="25">
        <f t="shared" si="26"/>
        <v>13.3</v>
      </c>
      <c r="I561" s="25">
        <v>0.6482</v>
      </c>
      <c r="J561" s="88"/>
      <c r="K561" s="106">
        <f>Table1[[#This Row],[GasP]]-Table1[[#This Row],[Gasoline]]</f>
        <v>-0.6482</v>
      </c>
    </row>
    <row r="562" spans="1:11">
      <c r="A562" s="15">
        <v>43945</v>
      </c>
      <c r="B562" s="25">
        <v>27.18</v>
      </c>
      <c r="C562" s="25">
        <v>14.31</v>
      </c>
      <c r="D562" s="25">
        <v>33.049999999999997</v>
      </c>
      <c r="F562" s="4">
        <f t="shared" si="24"/>
        <v>2</v>
      </c>
      <c r="G562" s="4" t="str">
        <f t="shared" si="25"/>
        <v>Opec Basket</v>
      </c>
      <c r="H562" s="25">
        <f t="shared" si="26"/>
        <v>14.31</v>
      </c>
      <c r="I562" s="25">
        <v>0.7016</v>
      </c>
      <c r="J562" s="88"/>
      <c r="K562" s="106">
        <f>Table1[[#This Row],[GasP]]-Table1[[#This Row],[Gasoline]]</f>
        <v>-0.7016</v>
      </c>
    </row>
    <row r="563" spans="1:11">
      <c r="A563" s="15">
        <v>43944</v>
      </c>
      <c r="B563" s="25">
        <v>28.67</v>
      </c>
      <c r="C563" s="25">
        <v>15.23</v>
      </c>
      <c r="D563" s="25">
        <v>34.11</v>
      </c>
      <c r="F563" s="4">
        <f t="shared" si="24"/>
        <v>2</v>
      </c>
      <c r="G563" s="4" t="str">
        <f t="shared" si="25"/>
        <v>Opec Basket</v>
      </c>
      <c r="H563" s="25">
        <f t="shared" si="26"/>
        <v>15.23</v>
      </c>
      <c r="I563" s="25">
        <v>0.69159999999999999</v>
      </c>
      <c r="J563" s="88"/>
      <c r="K563" s="106">
        <f>Table1[[#This Row],[GasP]]-Table1[[#This Row],[Gasoline]]</f>
        <v>-0.69159999999999999</v>
      </c>
    </row>
    <row r="564" spans="1:11">
      <c r="A564" s="15">
        <v>43943</v>
      </c>
      <c r="B564" s="25">
        <v>25.99</v>
      </c>
      <c r="C564" s="25">
        <v>12.22</v>
      </c>
      <c r="D564" s="25">
        <v>29.94</v>
      </c>
      <c r="F564" s="4">
        <f t="shared" si="24"/>
        <v>2</v>
      </c>
      <c r="G564" s="4" t="str">
        <f t="shared" si="25"/>
        <v>Opec Basket</v>
      </c>
      <c r="H564" s="25">
        <f t="shared" si="26"/>
        <v>12.22</v>
      </c>
      <c r="I564" s="25">
        <v>0.66279999999999994</v>
      </c>
      <c r="J564" s="88"/>
      <c r="K564" s="106">
        <f>Table1[[#This Row],[GasP]]-Table1[[#This Row],[Gasoline]]</f>
        <v>-0.66279999999999994</v>
      </c>
    </row>
    <row r="565" spans="1:11">
      <c r="A565" s="15">
        <v>43942</v>
      </c>
      <c r="B565" s="25">
        <v>21.45</v>
      </c>
      <c r="C565" s="25">
        <v>14.63</v>
      </c>
      <c r="D565" s="25">
        <v>24.74</v>
      </c>
      <c r="F565" s="4">
        <f t="shared" si="24"/>
        <v>2</v>
      </c>
      <c r="G565" s="4" t="str">
        <f t="shared" si="25"/>
        <v>Opec Basket</v>
      </c>
      <c r="H565" s="25">
        <f t="shared" si="26"/>
        <v>14.63</v>
      </c>
      <c r="I565" s="25">
        <v>0.54649999999999999</v>
      </c>
      <c r="J565" s="88"/>
      <c r="K565" s="106">
        <f>Table1[[#This Row],[GasP]]-Table1[[#This Row],[Gasoline]]</f>
        <v>-0.54649999999999999</v>
      </c>
    </row>
    <row r="566" spans="1:11">
      <c r="A566" s="15">
        <v>43941</v>
      </c>
      <c r="B566" s="25">
        <v>21.82</v>
      </c>
      <c r="C566" s="25">
        <v>14.19</v>
      </c>
      <c r="D566" s="25">
        <v>26.35</v>
      </c>
      <c r="F566" s="4">
        <f t="shared" si="24"/>
        <v>2</v>
      </c>
      <c r="G566" s="4" t="str">
        <f t="shared" si="25"/>
        <v>Opec Basket</v>
      </c>
      <c r="H566" s="25">
        <f t="shared" si="26"/>
        <v>14.19</v>
      </c>
      <c r="I566" s="25">
        <v>0.5927</v>
      </c>
      <c r="J566" s="88"/>
      <c r="K566" s="106">
        <f>Table1[[#This Row],[GasP]]-Table1[[#This Row],[Gasoline]]</f>
        <v>-0.5927</v>
      </c>
    </row>
    <row r="567" spans="1:11">
      <c r="A567" s="15">
        <v>43938</v>
      </c>
      <c r="B567" s="25">
        <v>30.43</v>
      </c>
      <c r="C567" s="25">
        <v>18.170000000000002</v>
      </c>
      <c r="D567" s="25">
        <v>22.76</v>
      </c>
      <c r="F567" s="4">
        <f t="shared" si="24"/>
        <v>2</v>
      </c>
      <c r="G567" s="4" t="str">
        <f t="shared" si="25"/>
        <v>Opec Basket</v>
      </c>
      <c r="H567" s="25">
        <f t="shared" si="26"/>
        <v>18.170000000000002</v>
      </c>
      <c r="I567" s="25">
        <v>0.61680000000000001</v>
      </c>
      <c r="J567" s="88"/>
      <c r="K567" s="106">
        <f>Table1[[#This Row],[GasP]]-Table1[[#This Row],[Gasoline]]</f>
        <v>-0.61680000000000001</v>
      </c>
    </row>
    <row r="568" spans="1:11">
      <c r="A568" s="15">
        <v>43937</v>
      </c>
      <c r="B568" s="25">
        <v>30.56</v>
      </c>
      <c r="C568" s="25">
        <v>17.73</v>
      </c>
      <c r="D568" s="25">
        <v>24.93</v>
      </c>
      <c r="F568" s="4">
        <f t="shared" si="24"/>
        <v>2</v>
      </c>
      <c r="G568" s="4" t="str">
        <f t="shared" si="25"/>
        <v>Opec Basket</v>
      </c>
      <c r="H568" s="25">
        <f t="shared" si="26"/>
        <v>17.73</v>
      </c>
      <c r="I568" s="25">
        <v>0.61360000000000003</v>
      </c>
      <c r="J568" s="88"/>
      <c r="K568" s="106">
        <f>Table1[[#This Row],[GasP]]-Table1[[#This Row],[Gasoline]]</f>
        <v>-0.61360000000000003</v>
      </c>
    </row>
    <row r="569" spans="1:11">
      <c r="A569" s="15">
        <v>43936</v>
      </c>
      <c r="B569" s="25">
        <v>30.71</v>
      </c>
      <c r="C569" s="25">
        <v>17.510000000000002</v>
      </c>
      <c r="D569" s="25">
        <v>26.34</v>
      </c>
      <c r="F569" s="4">
        <f t="shared" si="24"/>
        <v>2</v>
      </c>
      <c r="G569" s="4" t="str">
        <f t="shared" si="25"/>
        <v>Opec Basket</v>
      </c>
      <c r="H569" s="25">
        <f t="shared" si="26"/>
        <v>17.510000000000002</v>
      </c>
      <c r="I569" s="25">
        <v>0.59799999999999998</v>
      </c>
      <c r="J569" s="88"/>
      <c r="K569" s="106">
        <f>Table1[[#This Row],[GasP]]-Table1[[#This Row],[Gasoline]]</f>
        <v>-0.59799999999999998</v>
      </c>
    </row>
    <row r="570" spans="1:11">
      <c r="A570" s="15">
        <v>43935</v>
      </c>
      <c r="B570" s="25">
        <v>31.05</v>
      </c>
      <c r="C570" s="25">
        <v>19.7</v>
      </c>
      <c r="D570" s="25">
        <v>27.39</v>
      </c>
      <c r="F570" s="4">
        <f t="shared" si="24"/>
        <v>2</v>
      </c>
      <c r="G570" s="4" t="str">
        <f t="shared" si="25"/>
        <v>Opec Basket</v>
      </c>
      <c r="H570" s="25">
        <f t="shared" si="26"/>
        <v>19.7</v>
      </c>
      <c r="I570" s="25">
        <v>0.60540000000000005</v>
      </c>
      <c r="J570" s="88"/>
      <c r="K570" s="106">
        <f>Table1[[#This Row],[GasP]]-Table1[[#This Row],[Gasoline]]</f>
        <v>-0.60540000000000005</v>
      </c>
    </row>
    <row r="571" spans="1:11">
      <c r="A571" s="15">
        <v>43934</v>
      </c>
      <c r="B571" s="25">
        <v>30.94</v>
      </c>
      <c r="C571" s="25">
        <v>21.18</v>
      </c>
      <c r="D571" s="25">
        <v>27.15</v>
      </c>
      <c r="F571" s="4">
        <f t="shared" si="24"/>
        <v>2</v>
      </c>
      <c r="G571" s="4" t="str">
        <f t="shared" si="25"/>
        <v>Opec Basket</v>
      </c>
      <c r="H571" s="25">
        <f t="shared" si="26"/>
        <v>21.18</v>
      </c>
      <c r="I571" s="25">
        <v>0.51049999999999995</v>
      </c>
      <c r="J571" s="88"/>
      <c r="K571" s="106">
        <f>Table1[[#This Row],[GasP]]-Table1[[#This Row],[Gasoline]]</f>
        <v>-0.51049999999999995</v>
      </c>
    </row>
    <row r="572" spans="1:11">
      <c r="A572" s="29">
        <v>43930</v>
      </c>
      <c r="B572" s="36">
        <v>30.76</v>
      </c>
      <c r="C572" s="36">
        <v>21.77</v>
      </c>
      <c r="D572" s="36">
        <v>27.03</v>
      </c>
      <c r="E572" s="9"/>
      <c r="F572" s="9">
        <f t="shared" si="24"/>
        <v>2</v>
      </c>
      <c r="G572" s="9" t="str">
        <f t="shared" si="25"/>
        <v>Opec Basket</v>
      </c>
      <c r="H572" s="36">
        <f t="shared" si="26"/>
        <v>21.77</v>
      </c>
      <c r="I572" s="36">
        <v>0.49469999999999997</v>
      </c>
      <c r="J572" s="88"/>
      <c r="K572" s="106">
        <f>Table1[[#This Row],[GasP]]-Table1[[#This Row],[Gasoline]]</f>
        <v>-0.49469999999999997</v>
      </c>
    </row>
    <row r="573" spans="1:11">
      <c r="A573" s="15">
        <v>43929</v>
      </c>
      <c r="B573" s="25">
        <v>30.53</v>
      </c>
      <c r="C573" s="25">
        <v>21.19</v>
      </c>
      <c r="D573" s="25">
        <v>26.98</v>
      </c>
      <c r="F573" s="4">
        <f t="shared" si="24"/>
        <v>2</v>
      </c>
      <c r="G573" s="4" t="str">
        <f t="shared" si="25"/>
        <v>Opec Basket</v>
      </c>
      <c r="H573" s="25">
        <f t="shared" si="26"/>
        <v>21.19</v>
      </c>
      <c r="I573" s="25">
        <v>0.60540000000000005</v>
      </c>
      <c r="J573" s="88"/>
      <c r="K573" s="106">
        <f>Table1[[#This Row],[GasP]]-Table1[[#This Row],[Gasoline]]</f>
        <v>-0.60540000000000005</v>
      </c>
    </row>
    <row r="574" spans="1:11">
      <c r="A574" s="15">
        <v>43928</v>
      </c>
      <c r="B574" s="25">
        <v>31.7</v>
      </c>
      <c r="C574" s="25">
        <v>22.67</v>
      </c>
      <c r="D574" s="25">
        <v>28.47</v>
      </c>
      <c r="F574" s="4">
        <f t="shared" si="24"/>
        <v>2</v>
      </c>
      <c r="G574" s="4" t="str">
        <f t="shared" si="25"/>
        <v>Opec Basket</v>
      </c>
      <c r="H574" s="25">
        <f t="shared" si="26"/>
        <v>22.67</v>
      </c>
      <c r="I574" s="25">
        <v>0.69320000000000004</v>
      </c>
      <c r="J574" s="88"/>
      <c r="K574" s="106">
        <f>Table1[[#This Row],[GasP]]-Table1[[#This Row],[Gasoline]]</f>
        <v>-0.69320000000000004</v>
      </c>
    </row>
    <row r="575" spans="1:11">
      <c r="A575" s="15">
        <v>43927</v>
      </c>
      <c r="B575" s="25">
        <v>29.64</v>
      </c>
      <c r="C575" s="25">
        <v>23.48</v>
      </c>
      <c r="D575" s="25">
        <v>24.88</v>
      </c>
      <c r="F575" s="4">
        <f t="shared" si="24"/>
        <v>2</v>
      </c>
      <c r="G575" s="4" t="str">
        <f t="shared" si="25"/>
        <v>Opec Basket</v>
      </c>
      <c r="H575" s="25">
        <f t="shared" si="26"/>
        <v>23.48</v>
      </c>
      <c r="I575" s="25">
        <v>0.64590000000000003</v>
      </c>
      <c r="J575" s="88"/>
      <c r="K575" s="106">
        <f>Table1[[#This Row],[GasP]]-Table1[[#This Row],[Gasoline]]</f>
        <v>-0.64590000000000003</v>
      </c>
    </row>
    <row r="576" spans="1:11">
      <c r="A576" s="15">
        <v>43924</v>
      </c>
      <c r="B576" s="25">
        <v>32.61</v>
      </c>
      <c r="C576" s="25">
        <v>23.01</v>
      </c>
      <c r="D576" s="25">
        <v>28.73</v>
      </c>
      <c r="F576" s="4">
        <f t="shared" si="24"/>
        <v>2</v>
      </c>
      <c r="G576" s="4" t="str">
        <f t="shared" si="25"/>
        <v>Opec Basket</v>
      </c>
      <c r="H576" s="25">
        <f t="shared" si="26"/>
        <v>23.01</v>
      </c>
      <c r="I576" s="25">
        <v>0.71140000000000003</v>
      </c>
      <c r="J576" s="88"/>
      <c r="K576" s="106">
        <f>Table1[[#This Row],[GasP]]-Table1[[#This Row],[Gasoline]]</f>
        <v>-0.71140000000000003</v>
      </c>
    </row>
    <row r="577" spans="1:13">
      <c r="A577" s="15">
        <v>43923</v>
      </c>
      <c r="B577" s="25">
        <v>33.46</v>
      </c>
      <c r="C577" s="25">
        <v>18.91</v>
      </c>
      <c r="D577" s="25">
        <v>30.05</v>
      </c>
      <c r="F577" s="4">
        <f t="shared" si="24"/>
        <v>2</v>
      </c>
      <c r="G577" s="4" t="str">
        <f t="shared" si="25"/>
        <v>Opec Basket</v>
      </c>
      <c r="H577" s="25">
        <f t="shared" si="26"/>
        <v>18.91</v>
      </c>
      <c r="I577" s="25">
        <v>0.70169999999999999</v>
      </c>
      <c r="J577" s="88"/>
      <c r="K577" s="106">
        <f>Table1[[#This Row],[GasP]]-Table1[[#This Row],[Gasoline]]</f>
        <v>-0.70169999999999999</v>
      </c>
    </row>
    <row r="578" spans="1:13">
      <c r="A578" s="15">
        <v>43922</v>
      </c>
      <c r="B578" s="25">
        <v>35.14</v>
      </c>
      <c r="C578" s="25">
        <v>16.850000000000001</v>
      </c>
      <c r="D578" s="25">
        <v>33.85</v>
      </c>
      <c r="F578" s="4">
        <f t="shared" ref="F578:F641" si="27">IF(MIN(B578:E578)=B578,1,IF(MIN(B578:E578)=C578,2,IF(MIN(B578:E578)=D578,3,IF(MIN(B578:E578)=E578,4,))))</f>
        <v>2</v>
      </c>
      <c r="G578" s="4" t="str">
        <f t="shared" ref="G578:G641" si="28">IF(MIN(B578:E578)=B578,$B$1,IF(MIN(B578:E578)=C578,$C$1,IF(MIN(B578:E578)=D578,$D$1,IF(MIN(B578:E578)=E578,$E$1,))))</f>
        <v>Opec Basket</v>
      </c>
      <c r="H578" s="25">
        <f t="shared" ref="H578:H641" si="29">IF(MIN(B578:E578)=B578,B578,IF(MIN(B578:E578)=C578,C578,IF(MIN(B578:E578)=D578,D578,IF(MIN(B578:E578)=E578,E578,))))</f>
        <v>16.850000000000001</v>
      </c>
      <c r="I578" s="25">
        <v>0.91349999999999998</v>
      </c>
      <c r="J578" s="88"/>
      <c r="K578" s="106">
        <f>Table1[[#This Row],[GasP]]-Table1[[#This Row],[Gasoline]]</f>
        <v>-0.91349999999999998</v>
      </c>
      <c r="M578" t="s">
        <v>5</v>
      </c>
    </row>
    <row r="579" spans="1:13">
      <c r="A579" s="15">
        <v>43921</v>
      </c>
      <c r="B579" s="25">
        <v>35.03</v>
      </c>
      <c r="C579" s="25">
        <v>22.61</v>
      </c>
      <c r="D579" s="25">
        <v>33.22</v>
      </c>
      <c r="F579" s="4">
        <f t="shared" si="27"/>
        <v>2</v>
      </c>
      <c r="G579" s="4" t="str">
        <f t="shared" si="28"/>
        <v>Opec Basket</v>
      </c>
      <c r="H579" s="25">
        <f t="shared" si="29"/>
        <v>22.61</v>
      </c>
      <c r="I579" s="42">
        <v>0.91900000000000004</v>
      </c>
      <c r="J579" s="88"/>
      <c r="K579" s="106">
        <f>Table1[[#This Row],[GasP]]-Table1[[#This Row],[Gasoline]]</f>
        <v>-0.91900000000000004</v>
      </c>
    </row>
    <row r="580" spans="1:13">
      <c r="A580" s="15">
        <v>43920</v>
      </c>
      <c r="B580" s="25">
        <v>35.950000000000003</v>
      </c>
      <c r="C580" s="25">
        <v>21.66</v>
      </c>
      <c r="D580" s="25">
        <v>35.79</v>
      </c>
      <c r="F580" s="4">
        <f t="shared" si="27"/>
        <v>2</v>
      </c>
      <c r="G580" s="4" t="str">
        <f t="shared" si="28"/>
        <v>Opec Basket</v>
      </c>
      <c r="H580" s="25">
        <f t="shared" si="29"/>
        <v>21.66</v>
      </c>
      <c r="I580" s="25">
        <v>1.1103000000000001</v>
      </c>
      <c r="J580" s="88"/>
      <c r="K580" s="106">
        <f>Table1[[#This Row],[GasP]]-Table1[[#This Row],[Gasoline]]</f>
        <v>-1.1103000000000001</v>
      </c>
    </row>
    <row r="581" spans="1:13">
      <c r="A581" s="15">
        <v>43917</v>
      </c>
      <c r="B581" s="25">
        <v>36.880000000000003</v>
      </c>
      <c r="C581" s="25">
        <v>24.26</v>
      </c>
      <c r="D581" s="25">
        <v>37.22</v>
      </c>
      <c r="F581" s="4">
        <f t="shared" si="27"/>
        <v>2</v>
      </c>
      <c r="G581" s="4" t="str">
        <f t="shared" si="28"/>
        <v>Opec Basket</v>
      </c>
      <c r="H581" s="25">
        <f t="shared" si="29"/>
        <v>24.26</v>
      </c>
      <c r="I581" s="25">
        <v>1.1571</v>
      </c>
      <c r="J581" s="88"/>
      <c r="K581" s="106">
        <f>Table1[[#This Row],[GasP]]-Table1[[#This Row],[Gasoline]]</f>
        <v>-1.1571</v>
      </c>
    </row>
    <row r="582" spans="1:13">
      <c r="A582" s="15">
        <v>43916</v>
      </c>
      <c r="B582" s="25">
        <v>34.520000000000003</v>
      </c>
      <c r="C582" s="25">
        <v>26.04</v>
      </c>
      <c r="D582" s="25">
        <v>34.36</v>
      </c>
      <c r="F582" s="4">
        <f t="shared" si="27"/>
        <v>2</v>
      </c>
      <c r="G582" s="4" t="str">
        <f t="shared" si="28"/>
        <v>Opec Basket</v>
      </c>
      <c r="H582" s="25">
        <f t="shared" si="29"/>
        <v>26.04</v>
      </c>
      <c r="I582" s="42">
        <v>1.1369</v>
      </c>
      <c r="J582" s="88"/>
      <c r="K582" s="106">
        <f>Table1[[#This Row],[GasP]]-Table1[[#This Row],[Gasoline]]</f>
        <v>-1.1369</v>
      </c>
    </row>
    <row r="583" spans="1:13">
      <c r="A583" s="15">
        <v>43915</v>
      </c>
      <c r="B583" s="25">
        <v>42.33</v>
      </c>
      <c r="C583" s="25">
        <v>26.94</v>
      </c>
      <c r="D583" s="25">
        <v>45.27</v>
      </c>
      <c r="F583" s="4">
        <f t="shared" si="27"/>
        <v>2</v>
      </c>
      <c r="G583" s="4" t="str">
        <f t="shared" si="28"/>
        <v>Opec Basket</v>
      </c>
      <c r="H583" s="25">
        <f t="shared" si="29"/>
        <v>26.94</v>
      </c>
      <c r="I583" s="25">
        <v>1.389</v>
      </c>
      <c r="J583" s="88"/>
      <c r="K583" s="106">
        <f>Table1[[#This Row],[GasP]]-Table1[[#This Row],[Gasoline]]</f>
        <v>-1.389</v>
      </c>
    </row>
    <row r="584" spans="1:13">
      <c r="A584" s="15">
        <v>43914</v>
      </c>
      <c r="B584" s="25">
        <v>46.09</v>
      </c>
      <c r="C584" s="25">
        <v>26.53</v>
      </c>
      <c r="D584" s="25">
        <v>49.99</v>
      </c>
      <c r="F584" s="4">
        <f t="shared" si="27"/>
        <v>2</v>
      </c>
      <c r="G584" s="4" t="str">
        <f t="shared" si="28"/>
        <v>Opec Basket</v>
      </c>
      <c r="H584" s="25">
        <f t="shared" si="29"/>
        <v>26.53</v>
      </c>
      <c r="I584" s="25">
        <v>1.5218</v>
      </c>
      <c r="J584" s="88"/>
      <c r="K584" s="106">
        <f>Table1[[#This Row],[GasP]]-Table1[[#This Row],[Gasoline]]</f>
        <v>-1.5218</v>
      </c>
    </row>
    <row r="585" spans="1:13">
      <c r="A585" s="15">
        <v>43913</v>
      </c>
      <c r="B585" s="25">
        <v>46.85</v>
      </c>
      <c r="C585" s="25">
        <v>24.72</v>
      </c>
      <c r="D585" s="25">
        <v>51.13</v>
      </c>
      <c r="F585" s="4">
        <f t="shared" si="27"/>
        <v>2</v>
      </c>
      <c r="G585" s="4" t="str">
        <f t="shared" si="28"/>
        <v>Opec Basket</v>
      </c>
      <c r="H585" s="25">
        <f t="shared" si="29"/>
        <v>24.72</v>
      </c>
      <c r="I585" s="25">
        <v>1.5555000000000001</v>
      </c>
      <c r="J585" s="88"/>
      <c r="K585" s="106">
        <f>Table1[[#This Row],[GasP]]-Table1[[#This Row],[Gasoline]]</f>
        <v>-1.5555000000000001</v>
      </c>
    </row>
    <row r="586" spans="1:13">
      <c r="A586" s="15">
        <v>43910</v>
      </c>
      <c r="B586" s="25">
        <v>47.21</v>
      </c>
      <c r="C586" s="25">
        <v>28.57</v>
      </c>
      <c r="D586" s="25">
        <v>51.86</v>
      </c>
      <c r="F586" s="4">
        <f t="shared" si="27"/>
        <v>2</v>
      </c>
      <c r="G586" s="4" t="str">
        <f t="shared" si="28"/>
        <v>Opec Basket</v>
      </c>
      <c r="H586" s="25">
        <f t="shared" si="29"/>
        <v>28.57</v>
      </c>
      <c r="I586" s="25">
        <v>1.5313000000000001</v>
      </c>
      <c r="J586" s="88"/>
      <c r="K586" s="106">
        <f>Table1[[#This Row],[GasP]]-Table1[[#This Row],[Gasoline]]</f>
        <v>-1.5313000000000001</v>
      </c>
    </row>
    <row r="587" spans="1:13">
      <c r="A587" s="15">
        <v>43909</v>
      </c>
      <c r="B587" s="25">
        <v>46.8</v>
      </c>
      <c r="C587" s="25">
        <v>26.73</v>
      </c>
      <c r="D587" s="25">
        <v>51.9</v>
      </c>
      <c r="F587" s="4">
        <f t="shared" si="27"/>
        <v>2</v>
      </c>
      <c r="G587" s="4" t="str">
        <f t="shared" si="28"/>
        <v>Opec Basket</v>
      </c>
      <c r="H587" s="25">
        <f t="shared" si="29"/>
        <v>26.73</v>
      </c>
      <c r="I587" s="25">
        <v>1.5396000000000001</v>
      </c>
      <c r="J587" s="88"/>
      <c r="K587" s="106">
        <f>Table1[[#This Row],[GasP]]-Table1[[#This Row],[Gasoline]]</f>
        <v>-1.5396000000000001</v>
      </c>
      <c r="L587" t="s">
        <v>4</v>
      </c>
    </row>
    <row r="588" spans="1:13">
      <c r="A588" s="15">
        <v>43908</v>
      </c>
      <c r="B588" s="25">
        <v>50.54</v>
      </c>
      <c r="C588" s="25">
        <v>27.31</v>
      </c>
      <c r="D588" s="25">
        <v>50.52</v>
      </c>
      <c r="F588" s="4">
        <f t="shared" si="27"/>
        <v>2</v>
      </c>
      <c r="G588" s="4" t="str">
        <f t="shared" si="28"/>
        <v>Opec Basket</v>
      </c>
      <c r="H588" s="25">
        <f t="shared" si="29"/>
        <v>27.31</v>
      </c>
      <c r="I588" s="25">
        <v>1.4827999999999999</v>
      </c>
      <c r="J588" s="88"/>
      <c r="K588" s="106">
        <f>Table1[[#This Row],[GasP]]-Table1[[#This Row],[Gasoline]]</f>
        <v>-1.4827999999999999</v>
      </c>
    </row>
    <row r="589" spans="1:13">
      <c r="A589" s="15">
        <v>43907</v>
      </c>
      <c r="B589" s="25">
        <v>50.66</v>
      </c>
      <c r="C589" s="25">
        <v>30.36</v>
      </c>
      <c r="D589" s="25">
        <v>52.18</v>
      </c>
      <c r="F589" s="4">
        <f t="shared" si="27"/>
        <v>2</v>
      </c>
      <c r="G589" s="4" t="str">
        <f t="shared" si="28"/>
        <v>Opec Basket</v>
      </c>
      <c r="H589" s="25">
        <f t="shared" si="29"/>
        <v>30.36</v>
      </c>
      <c r="I589" s="25">
        <v>1.5206</v>
      </c>
      <c r="J589" s="88"/>
      <c r="K589" s="106">
        <f>Table1[[#This Row],[GasP]]-Table1[[#This Row],[Gasoline]]</f>
        <v>-1.5206</v>
      </c>
    </row>
    <row r="590" spans="1:13">
      <c r="A590" s="30">
        <v>43906</v>
      </c>
      <c r="B590" s="37">
        <v>50.84</v>
      </c>
      <c r="C590" s="37">
        <v>30.63</v>
      </c>
      <c r="D590" s="37">
        <v>53.43</v>
      </c>
      <c r="E590" s="6"/>
      <c r="F590" s="6">
        <f t="shared" si="27"/>
        <v>2</v>
      </c>
      <c r="G590" s="6" t="str">
        <f t="shared" si="28"/>
        <v>Opec Basket</v>
      </c>
      <c r="H590" s="37">
        <f t="shared" si="29"/>
        <v>30.63</v>
      </c>
      <c r="I590" s="37">
        <v>1.5645</v>
      </c>
      <c r="J590" s="88"/>
      <c r="K590" s="106">
        <f>Table1[[#This Row],[GasP]]-Table1[[#This Row],[Gasoline]]</f>
        <v>-1.5645</v>
      </c>
    </row>
    <row r="591" spans="1:13">
      <c r="A591" s="15">
        <v>43903</v>
      </c>
      <c r="B591" s="25">
        <v>51.02</v>
      </c>
      <c r="C591" s="25">
        <v>34.14</v>
      </c>
      <c r="D591" s="25">
        <v>54.95</v>
      </c>
      <c r="F591" s="4">
        <f t="shared" si="27"/>
        <v>2</v>
      </c>
      <c r="G591" s="4" t="str">
        <f t="shared" si="28"/>
        <v>Opec Basket</v>
      </c>
      <c r="H591" s="25">
        <f t="shared" si="29"/>
        <v>34.14</v>
      </c>
      <c r="I591" s="25">
        <v>1.6418999999999999</v>
      </c>
      <c r="J591" s="88"/>
      <c r="K591" s="106">
        <f>Table1[[#This Row],[GasP]]-Table1[[#This Row],[Gasoline]]</f>
        <v>-1.6418999999999999</v>
      </c>
    </row>
    <row r="592" spans="1:13">
      <c r="A592" s="15">
        <v>43902</v>
      </c>
      <c r="B592" s="25">
        <v>51.34</v>
      </c>
      <c r="C592" s="25">
        <v>33.270000000000003</v>
      </c>
      <c r="D592" s="25">
        <v>56.3</v>
      </c>
      <c r="F592" s="4">
        <f t="shared" si="27"/>
        <v>2</v>
      </c>
      <c r="G592" s="4" t="str">
        <f t="shared" si="28"/>
        <v>Opec Basket</v>
      </c>
      <c r="H592" s="25">
        <f t="shared" si="29"/>
        <v>33.270000000000003</v>
      </c>
      <c r="I592" s="25">
        <v>1.7132000000000001</v>
      </c>
      <c r="J592" s="88"/>
      <c r="K592" s="106">
        <f>Table1[[#This Row],[GasP]]-Table1[[#This Row],[Gasoline]]</f>
        <v>-1.7132000000000001</v>
      </c>
    </row>
    <row r="593" spans="1:11">
      <c r="A593" s="15">
        <v>43901</v>
      </c>
      <c r="B593" s="25">
        <v>51.86</v>
      </c>
      <c r="C593" s="25">
        <v>35.56</v>
      </c>
      <c r="D593" s="25">
        <v>58.5</v>
      </c>
      <c r="F593" s="4">
        <f t="shared" si="27"/>
        <v>2</v>
      </c>
      <c r="G593" s="4" t="str">
        <f t="shared" si="28"/>
        <v>Opec Basket</v>
      </c>
      <c r="H593" s="25">
        <f t="shared" si="29"/>
        <v>35.56</v>
      </c>
      <c r="I593" s="25">
        <v>1.7612000000000001</v>
      </c>
      <c r="J593" s="88"/>
      <c r="K593" s="106">
        <f>Table1[[#This Row],[GasP]]-Table1[[#This Row],[Gasoline]]</f>
        <v>-1.7612000000000001</v>
      </c>
    </row>
    <row r="594" spans="1:11">
      <c r="A594" s="15">
        <v>43900</v>
      </c>
      <c r="B594" s="25">
        <v>52.02</v>
      </c>
      <c r="C594" s="25">
        <v>35.729999999999997</v>
      </c>
      <c r="D594" s="25">
        <v>59.31</v>
      </c>
      <c r="F594" s="4">
        <f t="shared" si="27"/>
        <v>2</v>
      </c>
      <c r="G594" s="4" t="str">
        <f t="shared" si="28"/>
        <v>Opec Basket</v>
      </c>
      <c r="H594" s="25">
        <f t="shared" si="29"/>
        <v>35.729999999999997</v>
      </c>
      <c r="I594" s="25">
        <v>1.7845</v>
      </c>
      <c r="J594" s="88"/>
      <c r="K594" s="106">
        <f>Table1[[#This Row],[GasP]]-Table1[[#This Row],[Gasoline]]</f>
        <v>-1.7845</v>
      </c>
    </row>
    <row r="595" spans="1:11">
      <c r="A595" s="15">
        <v>43899</v>
      </c>
      <c r="B595" s="25">
        <v>51.87</v>
      </c>
      <c r="C595" s="25">
        <v>34.72</v>
      </c>
      <c r="D595" s="25">
        <v>59.12</v>
      </c>
      <c r="F595" s="4">
        <f t="shared" si="27"/>
        <v>2</v>
      </c>
      <c r="G595" s="4" t="str">
        <f t="shared" si="28"/>
        <v>Opec Basket</v>
      </c>
      <c r="H595" s="25">
        <f t="shared" si="29"/>
        <v>34.72</v>
      </c>
      <c r="I595" s="25">
        <v>1.7819</v>
      </c>
      <c r="J595" s="88"/>
      <c r="K595" s="106">
        <f>Table1[[#This Row],[GasP]]-Table1[[#This Row],[Gasoline]]</f>
        <v>-1.7819</v>
      </c>
    </row>
    <row r="596" spans="1:11">
      <c r="A596" s="15">
        <v>43896</v>
      </c>
      <c r="B596" s="25">
        <v>51.36</v>
      </c>
      <c r="C596" s="25">
        <v>48.35</v>
      </c>
      <c r="D596" s="25">
        <v>57.75</v>
      </c>
      <c r="F596" s="4">
        <f t="shared" si="27"/>
        <v>2</v>
      </c>
      <c r="G596" s="4" t="str">
        <f t="shared" si="28"/>
        <v>Opec Basket</v>
      </c>
      <c r="H596" s="25">
        <f t="shared" si="29"/>
        <v>48.35</v>
      </c>
      <c r="I596" s="25">
        <v>1.6148</v>
      </c>
      <c r="J596" s="88"/>
      <c r="K596" s="106">
        <f>Table1[[#This Row],[GasP]]-Table1[[#This Row],[Gasoline]]</f>
        <v>-1.6148</v>
      </c>
    </row>
    <row r="597" spans="1:11">
      <c r="A597" s="15">
        <v>43895</v>
      </c>
      <c r="B597" s="25">
        <v>51.37</v>
      </c>
      <c r="C597" s="25">
        <v>51.75</v>
      </c>
      <c r="D597" s="25">
        <v>57.32</v>
      </c>
      <c r="F597" s="4">
        <f t="shared" si="27"/>
        <v>1</v>
      </c>
      <c r="G597" s="4" t="str">
        <f t="shared" si="28"/>
        <v>WTI Crude</v>
      </c>
      <c r="H597" s="25">
        <f t="shared" si="29"/>
        <v>51.37</v>
      </c>
      <c r="I597" s="25">
        <v>1.5832999999999999</v>
      </c>
      <c r="J597" s="88"/>
      <c r="K597" s="106">
        <f>Table1[[#This Row],[GasP]]-Table1[[#This Row],[Gasoline]]</f>
        <v>-1.5832999999999999</v>
      </c>
    </row>
    <row r="598" spans="1:11">
      <c r="A598" s="15">
        <v>43894</v>
      </c>
      <c r="B598" s="25">
        <v>51.03</v>
      </c>
      <c r="C598" s="25">
        <v>52.01</v>
      </c>
      <c r="D598" s="25">
        <v>56.34</v>
      </c>
      <c r="F598" s="4">
        <f t="shared" si="27"/>
        <v>1</v>
      </c>
      <c r="G598" s="4" t="str">
        <f t="shared" si="28"/>
        <v>WTI Crude</v>
      </c>
      <c r="H598" s="25">
        <f t="shared" si="29"/>
        <v>51.03</v>
      </c>
      <c r="I598" s="25">
        <v>1.7226999999999999</v>
      </c>
      <c r="J598" s="88"/>
      <c r="K598" s="106">
        <f>Table1[[#This Row],[GasP]]-Table1[[#This Row],[Gasoline]]</f>
        <v>-1.7226999999999999</v>
      </c>
    </row>
    <row r="599" spans="1:11">
      <c r="A599" s="15">
        <v>43893</v>
      </c>
      <c r="B599" s="25">
        <v>50.88</v>
      </c>
      <c r="C599" s="25">
        <v>52.66</v>
      </c>
      <c r="D599" s="25">
        <v>55.79</v>
      </c>
      <c r="F599" s="4">
        <f t="shared" si="27"/>
        <v>1</v>
      </c>
      <c r="G599" s="4" t="str">
        <f t="shared" si="28"/>
        <v>WTI Crude</v>
      </c>
      <c r="H599" s="25">
        <f t="shared" si="29"/>
        <v>50.88</v>
      </c>
      <c r="I599" s="25">
        <v>1.581</v>
      </c>
      <c r="J599" s="88"/>
      <c r="K599" s="106">
        <f>Table1[[#This Row],[GasP]]-Table1[[#This Row],[Gasoline]]</f>
        <v>-1.581</v>
      </c>
    </row>
    <row r="600" spans="1:11">
      <c r="A600" s="15">
        <v>43892</v>
      </c>
      <c r="B600" s="25">
        <v>50.1</v>
      </c>
      <c r="C600" s="25">
        <v>51.68</v>
      </c>
      <c r="D600" s="25">
        <v>54.01</v>
      </c>
      <c r="F600" s="4">
        <f t="shared" si="27"/>
        <v>1</v>
      </c>
      <c r="G600" s="4" t="str">
        <f t="shared" si="28"/>
        <v>WTI Crude</v>
      </c>
      <c r="H600" s="25">
        <f t="shared" si="29"/>
        <v>50.1</v>
      </c>
      <c r="I600" s="25">
        <v>1.5142</v>
      </c>
      <c r="J600" s="88"/>
      <c r="K600" s="106">
        <f>Table1[[#This Row],[GasP]]-Table1[[#This Row],[Gasoline]]</f>
        <v>-1.5142</v>
      </c>
    </row>
    <row r="601" spans="1:11">
      <c r="A601" s="15">
        <v>43889</v>
      </c>
      <c r="B601" s="25">
        <v>49.84</v>
      </c>
      <c r="C601" s="25">
        <v>50.19</v>
      </c>
      <c r="D601" s="25">
        <v>53.27</v>
      </c>
      <c r="F601" s="4">
        <f t="shared" si="27"/>
        <v>1</v>
      </c>
      <c r="G601" s="4" t="str">
        <f t="shared" si="28"/>
        <v>WTI Crude</v>
      </c>
      <c r="H601" s="25">
        <f t="shared" si="29"/>
        <v>49.84</v>
      </c>
      <c r="I601" s="25">
        <v>1.5213000000000001</v>
      </c>
      <c r="J601" s="88"/>
      <c r="K601" s="106">
        <f>Table1[[#This Row],[GasP]]-Table1[[#This Row],[Gasoline]]</f>
        <v>-1.5213000000000001</v>
      </c>
    </row>
    <row r="602" spans="1:11">
      <c r="A602" s="15">
        <v>43888</v>
      </c>
      <c r="B602" s="25">
        <v>50.4</v>
      </c>
      <c r="C602" s="25">
        <v>51.92</v>
      </c>
      <c r="D602" s="25">
        <v>54.47</v>
      </c>
      <c r="F602" s="4">
        <f t="shared" si="27"/>
        <v>1</v>
      </c>
      <c r="G602" s="4" t="str">
        <f t="shared" si="28"/>
        <v>WTI Crude</v>
      </c>
      <c r="H602" s="25">
        <f t="shared" si="29"/>
        <v>50.4</v>
      </c>
      <c r="I602" s="25">
        <v>1.5239</v>
      </c>
      <c r="J602" s="88"/>
      <c r="K602" s="106">
        <f>Table1[[#This Row],[GasP]]-Table1[[#This Row],[Gasoline]]</f>
        <v>-1.5239</v>
      </c>
    </row>
    <row r="603" spans="1:11">
      <c r="A603" s="15">
        <v>43887</v>
      </c>
      <c r="B603" s="25">
        <v>50.88</v>
      </c>
      <c r="C603" s="25">
        <v>54.04</v>
      </c>
      <c r="D603" s="25">
        <v>54.93</v>
      </c>
      <c r="F603" s="4">
        <f t="shared" si="27"/>
        <v>1</v>
      </c>
      <c r="G603" s="4" t="str">
        <f t="shared" si="28"/>
        <v>WTI Crude</v>
      </c>
      <c r="H603" s="25">
        <f t="shared" si="29"/>
        <v>50.88</v>
      </c>
      <c r="I603" s="25">
        <v>1.498</v>
      </c>
      <c r="J603" s="88"/>
      <c r="K603" s="106">
        <f>Table1[[#This Row],[GasP]]-Table1[[#This Row],[Gasoline]]</f>
        <v>-1.498</v>
      </c>
    </row>
    <row r="604" spans="1:11">
      <c r="A604" s="15">
        <v>43886</v>
      </c>
      <c r="B604" s="25">
        <v>50.71</v>
      </c>
      <c r="C604" s="25">
        <v>55.91</v>
      </c>
      <c r="D604" s="25">
        <v>55.28</v>
      </c>
      <c r="F604" s="4">
        <f t="shared" si="27"/>
        <v>1</v>
      </c>
      <c r="G604" s="4" t="str">
        <f t="shared" si="28"/>
        <v>WTI Crude</v>
      </c>
      <c r="H604" s="25">
        <f t="shared" si="29"/>
        <v>50.71</v>
      </c>
      <c r="I604" s="25">
        <v>1.4863</v>
      </c>
      <c r="J604" s="88"/>
      <c r="K604" s="106">
        <f>Table1[[#This Row],[GasP]]-Table1[[#This Row],[Gasoline]]</f>
        <v>-1.4863</v>
      </c>
    </row>
    <row r="605" spans="1:11">
      <c r="A605" s="15">
        <v>43885</v>
      </c>
      <c r="B605" s="25">
        <v>49.7</v>
      </c>
      <c r="C605" s="25">
        <v>56.14</v>
      </c>
      <c r="D605" s="25">
        <v>53.96</v>
      </c>
      <c r="F605" s="4">
        <f t="shared" si="27"/>
        <v>1</v>
      </c>
      <c r="G605" s="4" t="str">
        <f t="shared" si="28"/>
        <v>WTI Crude</v>
      </c>
      <c r="H605" s="25">
        <f t="shared" si="29"/>
        <v>49.7</v>
      </c>
      <c r="I605" s="25">
        <v>1.4432</v>
      </c>
      <c r="J605" s="88"/>
      <c r="K605" s="106">
        <f>Table1[[#This Row],[GasP]]-Table1[[#This Row],[Gasoline]]</f>
        <v>-1.4432</v>
      </c>
    </row>
    <row r="606" spans="1:11">
      <c r="A606" s="15">
        <v>43882</v>
      </c>
      <c r="B606" s="25">
        <v>50.16</v>
      </c>
      <c r="C606" s="25">
        <v>58.21</v>
      </c>
      <c r="D606" s="25">
        <v>54.45</v>
      </c>
      <c r="F606" s="4">
        <f t="shared" si="27"/>
        <v>1</v>
      </c>
      <c r="G606" s="4" t="str">
        <f t="shared" si="28"/>
        <v>WTI Crude</v>
      </c>
      <c r="H606" s="25">
        <f t="shared" si="29"/>
        <v>50.16</v>
      </c>
      <c r="I606" s="25">
        <v>1.4737</v>
      </c>
      <c r="J606" s="88"/>
      <c r="K606" s="106">
        <f>Table1[[#This Row],[GasP]]-Table1[[#This Row],[Gasoline]]</f>
        <v>-1.4737</v>
      </c>
    </row>
    <row r="607" spans="1:11">
      <c r="A607" s="15">
        <v>43881</v>
      </c>
      <c r="B607" s="25">
        <v>57.53</v>
      </c>
      <c r="C607" s="25">
        <v>58.98</v>
      </c>
      <c r="D607" s="25">
        <v>58.16</v>
      </c>
      <c r="F607" s="4">
        <f t="shared" si="27"/>
        <v>1</v>
      </c>
      <c r="G607" s="4" t="str">
        <f t="shared" si="28"/>
        <v>WTI Crude</v>
      </c>
      <c r="H607" s="25">
        <f t="shared" si="29"/>
        <v>57.53</v>
      </c>
      <c r="I607" s="25">
        <v>1.5041</v>
      </c>
      <c r="J607" s="88"/>
      <c r="K607" s="106">
        <f>Table1[[#This Row],[GasP]]-Table1[[#This Row],[Gasoline]]</f>
        <v>-1.5041</v>
      </c>
    </row>
    <row r="608" spans="1:11">
      <c r="A608" s="15">
        <v>43880</v>
      </c>
      <c r="B608" s="25">
        <v>57.56</v>
      </c>
      <c r="C608" s="25">
        <v>58.39</v>
      </c>
      <c r="D608" s="25">
        <v>58.29</v>
      </c>
      <c r="F608" s="4">
        <f t="shared" si="27"/>
        <v>1</v>
      </c>
      <c r="G608" s="4" t="str">
        <f t="shared" si="28"/>
        <v>WTI Crude</v>
      </c>
      <c r="H608" s="25">
        <f t="shared" si="29"/>
        <v>57.56</v>
      </c>
      <c r="I608" s="25">
        <v>1.5055000000000001</v>
      </c>
      <c r="J608" s="88"/>
      <c r="K608" s="106">
        <f>Table1[[#This Row],[GasP]]-Table1[[#This Row],[Gasoline]]</f>
        <v>-1.5055000000000001</v>
      </c>
    </row>
    <row r="609" spans="1:11">
      <c r="A609" s="15">
        <v>43879</v>
      </c>
      <c r="B609" s="25">
        <v>57.67</v>
      </c>
      <c r="C609" s="25">
        <v>56.72</v>
      </c>
      <c r="D609" s="25">
        <v>59.81</v>
      </c>
      <c r="F609" s="4">
        <f t="shared" si="27"/>
        <v>2</v>
      </c>
      <c r="G609" s="4" t="str">
        <f t="shared" si="28"/>
        <v>Opec Basket</v>
      </c>
      <c r="H609" s="25">
        <f t="shared" si="29"/>
        <v>56.72</v>
      </c>
      <c r="I609" s="25">
        <v>1.5407999999999999</v>
      </c>
      <c r="J609" s="88"/>
      <c r="K609" s="106">
        <f>Table1[[#This Row],[GasP]]-Table1[[#This Row],[Gasoline]]</f>
        <v>-1.5407999999999999</v>
      </c>
    </row>
    <row r="610" spans="1:11">
      <c r="A610" s="15">
        <v>43878</v>
      </c>
      <c r="B610" s="25">
        <v>57.69</v>
      </c>
      <c r="C610" s="25">
        <v>57.28</v>
      </c>
      <c r="D610" s="25">
        <v>59.51</v>
      </c>
      <c r="F610" s="4">
        <f t="shared" si="27"/>
        <v>2</v>
      </c>
      <c r="G610" s="4" t="str">
        <f t="shared" si="28"/>
        <v>Opec Basket</v>
      </c>
      <c r="H610" s="25">
        <f t="shared" si="29"/>
        <v>57.28</v>
      </c>
      <c r="I610" s="25">
        <v>1.5143</v>
      </c>
      <c r="J610" s="88"/>
      <c r="K610" s="106">
        <f>Table1[[#This Row],[GasP]]-Table1[[#This Row],[Gasoline]]</f>
        <v>-1.5143</v>
      </c>
    </row>
    <row r="611" spans="1:11">
      <c r="A611" s="15">
        <v>43875</v>
      </c>
      <c r="B611" s="25">
        <v>57.63</v>
      </c>
      <c r="C611" s="25">
        <v>56.77</v>
      </c>
      <c r="D611" s="25">
        <v>59.32</v>
      </c>
      <c r="F611" s="4">
        <f t="shared" si="27"/>
        <v>2</v>
      </c>
      <c r="G611" s="4" t="str">
        <f t="shared" si="28"/>
        <v>Opec Basket</v>
      </c>
      <c r="H611" s="25">
        <f t="shared" si="29"/>
        <v>56.77</v>
      </c>
      <c r="I611" s="25">
        <v>1.4930000000000001</v>
      </c>
      <c r="J611" s="88"/>
      <c r="K611" s="106">
        <f>Table1[[#This Row],[GasP]]-Table1[[#This Row],[Gasoline]]</f>
        <v>-1.4930000000000001</v>
      </c>
    </row>
    <row r="612" spans="1:11">
      <c r="A612" s="15">
        <v>43874</v>
      </c>
      <c r="B612" s="25">
        <v>57.88</v>
      </c>
      <c r="C612" s="25">
        <v>55.9</v>
      </c>
      <c r="D612" s="25">
        <v>60.69</v>
      </c>
      <c r="F612" s="4">
        <f t="shared" si="27"/>
        <v>2</v>
      </c>
      <c r="G612" s="4" t="str">
        <f t="shared" si="28"/>
        <v>Opec Basket</v>
      </c>
      <c r="H612" s="25">
        <f t="shared" si="29"/>
        <v>55.9</v>
      </c>
      <c r="I612" s="25">
        <v>1.5259</v>
      </c>
      <c r="J612" s="88"/>
      <c r="K612" s="106">
        <f>Table1[[#This Row],[GasP]]-Table1[[#This Row],[Gasoline]]</f>
        <v>-1.5259</v>
      </c>
    </row>
    <row r="613" spans="1:11">
      <c r="A613" s="15">
        <v>43873</v>
      </c>
      <c r="B613" s="25">
        <v>58.28</v>
      </c>
      <c r="C613" s="25">
        <v>55.59</v>
      </c>
      <c r="D613" s="25">
        <v>62.04</v>
      </c>
      <c r="F613" s="4">
        <f t="shared" si="27"/>
        <v>2</v>
      </c>
      <c r="G613" s="4" t="str">
        <f t="shared" si="28"/>
        <v>Opec Basket</v>
      </c>
      <c r="H613" s="25">
        <f t="shared" si="29"/>
        <v>55.59</v>
      </c>
      <c r="I613" s="25">
        <v>1.573</v>
      </c>
      <c r="J613" s="88"/>
      <c r="K613" s="106">
        <f>Table1[[#This Row],[GasP]]-Table1[[#This Row],[Gasoline]]</f>
        <v>-1.573</v>
      </c>
    </row>
    <row r="614" spans="1:11">
      <c r="A614" s="15">
        <v>43872</v>
      </c>
      <c r="B614" s="25">
        <v>58.66</v>
      </c>
      <c r="C614" s="25">
        <v>54.2</v>
      </c>
      <c r="D614" s="25">
        <v>63.21</v>
      </c>
      <c r="F614" s="4">
        <f t="shared" si="27"/>
        <v>2</v>
      </c>
      <c r="G614" s="4" t="str">
        <f t="shared" si="28"/>
        <v>Opec Basket</v>
      </c>
      <c r="H614" s="25">
        <f t="shared" si="29"/>
        <v>54.2</v>
      </c>
      <c r="I614" s="25">
        <v>1.5933999999999999</v>
      </c>
      <c r="J614" s="88"/>
      <c r="K614" s="106">
        <f>Table1[[#This Row],[GasP]]-Table1[[#This Row],[Gasoline]]</f>
        <v>-1.5933999999999999</v>
      </c>
    </row>
    <row r="615" spans="1:11">
      <c r="A615" s="15">
        <v>43871</v>
      </c>
      <c r="B615" s="25">
        <v>59.28</v>
      </c>
      <c r="C615" s="25">
        <v>54.21</v>
      </c>
      <c r="D615" s="25">
        <v>64.59</v>
      </c>
      <c r="F615" s="4">
        <f t="shared" si="27"/>
        <v>2</v>
      </c>
      <c r="G615" s="4" t="str">
        <f t="shared" si="28"/>
        <v>Opec Basket</v>
      </c>
      <c r="H615" s="25">
        <f t="shared" si="29"/>
        <v>54.21</v>
      </c>
      <c r="I615" s="25">
        <v>1.6365000000000001</v>
      </c>
      <c r="J615" s="88"/>
      <c r="K615" s="106">
        <f>Table1[[#This Row],[GasP]]-Table1[[#This Row],[Gasoline]]</f>
        <v>-1.6365000000000001</v>
      </c>
    </row>
    <row r="616" spans="1:11">
      <c r="A616" s="15">
        <v>43868</v>
      </c>
      <c r="B616" s="25">
        <v>59.37</v>
      </c>
      <c r="C616" s="25">
        <v>55.13</v>
      </c>
      <c r="D616" s="25">
        <v>64.849999999999994</v>
      </c>
      <c r="F616" s="4">
        <f t="shared" si="27"/>
        <v>2</v>
      </c>
      <c r="G616" s="4" t="str">
        <f t="shared" si="28"/>
        <v>Opec Basket</v>
      </c>
      <c r="H616" s="25">
        <f t="shared" si="29"/>
        <v>55.13</v>
      </c>
      <c r="I616" s="25">
        <v>1.6549</v>
      </c>
      <c r="J616" s="88"/>
      <c r="K616" s="106">
        <f>Table1[[#This Row],[GasP]]-Table1[[#This Row],[Gasoline]]</f>
        <v>-1.6549</v>
      </c>
    </row>
    <row r="617" spans="1:11">
      <c r="A617" s="15">
        <v>43867</v>
      </c>
      <c r="B617" s="25">
        <v>59.35</v>
      </c>
      <c r="C617" s="25">
        <v>55.74</v>
      </c>
      <c r="D617" s="25">
        <v>64.62</v>
      </c>
      <c r="F617" s="4">
        <f t="shared" si="27"/>
        <v>2</v>
      </c>
      <c r="G617" s="4" t="str">
        <f t="shared" si="28"/>
        <v>Opec Basket</v>
      </c>
      <c r="H617" s="25">
        <f t="shared" si="29"/>
        <v>55.74</v>
      </c>
      <c r="I617" s="25">
        <v>1.667</v>
      </c>
      <c r="J617" s="88"/>
      <c r="K617" s="106">
        <f>Table1[[#This Row],[GasP]]-Table1[[#This Row],[Gasoline]]</f>
        <v>-1.667</v>
      </c>
    </row>
    <row r="618" spans="1:11">
      <c r="A618" s="15">
        <v>43866</v>
      </c>
      <c r="B618" s="25">
        <v>58.98</v>
      </c>
      <c r="C618" s="25">
        <v>55.01</v>
      </c>
      <c r="D618" s="25">
        <v>64</v>
      </c>
      <c r="F618" s="4">
        <f t="shared" si="27"/>
        <v>2</v>
      </c>
      <c r="G618" s="4" t="str">
        <f t="shared" si="28"/>
        <v>Opec Basket</v>
      </c>
      <c r="H618" s="25">
        <f t="shared" si="29"/>
        <v>55.01</v>
      </c>
      <c r="I618" s="25">
        <v>1.6492</v>
      </c>
      <c r="J618" s="88"/>
      <c r="K618" s="106">
        <f>Table1[[#This Row],[GasP]]-Table1[[#This Row],[Gasoline]]</f>
        <v>-1.6492</v>
      </c>
    </row>
    <row r="619" spans="1:11">
      <c r="A619" s="15">
        <v>43865</v>
      </c>
      <c r="B619" s="25">
        <v>59.22</v>
      </c>
      <c r="C619" s="25">
        <v>54.68</v>
      </c>
      <c r="D619" s="25">
        <v>64.489999999999995</v>
      </c>
      <c r="F619" s="4">
        <f t="shared" si="27"/>
        <v>2</v>
      </c>
      <c r="G619" s="4" t="str">
        <f t="shared" si="28"/>
        <v>Opec Basket</v>
      </c>
      <c r="H619" s="25">
        <f t="shared" si="29"/>
        <v>54.68</v>
      </c>
      <c r="I619" s="25">
        <v>1.6641999999999999</v>
      </c>
      <c r="J619" s="88"/>
      <c r="K619" s="106">
        <f>Table1[[#This Row],[GasP]]-Table1[[#This Row],[Gasoline]]</f>
        <v>-1.6641999999999999</v>
      </c>
    </row>
    <row r="620" spans="1:11">
      <c r="A620" s="15">
        <v>43864</v>
      </c>
      <c r="B620" s="25">
        <v>59.12</v>
      </c>
      <c r="C620" s="25">
        <v>55.53</v>
      </c>
      <c r="D620" s="25">
        <v>64.2</v>
      </c>
      <c r="F620" s="4">
        <f t="shared" si="27"/>
        <v>2</v>
      </c>
      <c r="G620" s="4" t="str">
        <f t="shared" si="28"/>
        <v>Opec Basket</v>
      </c>
      <c r="H620" s="25">
        <f t="shared" si="29"/>
        <v>55.53</v>
      </c>
      <c r="I620" s="25">
        <v>1.6573</v>
      </c>
      <c r="J620" s="88"/>
      <c r="K620" s="106">
        <f>Table1[[#This Row],[GasP]]-Table1[[#This Row],[Gasoline]]</f>
        <v>-1.6573</v>
      </c>
    </row>
    <row r="621" spans="1:11">
      <c r="A621" s="15">
        <v>43861</v>
      </c>
      <c r="B621" s="25">
        <v>59.74</v>
      </c>
      <c r="C621" s="25">
        <v>58.94</v>
      </c>
      <c r="D621" s="25">
        <v>64.98</v>
      </c>
      <c r="F621" s="4">
        <f t="shared" si="27"/>
        <v>2</v>
      </c>
      <c r="G621" s="4" t="str">
        <f t="shared" si="28"/>
        <v>Opec Basket</v>
      </c>
      <c r="H621" s="25">
        <f t="shared" si="29"/>
        <v>58.94</v>
      </c>
      <c r="I621" s="25">
        <v>1.6596</v>
      </c>
      <c r="J621" s="88"/>
      <c r="K621" s="106">
        <f>Table1[[#This Row],[GasP]]-Table1[[#This Row],[Gasoline]]</f>
        <v>-1.6596</v>
      </c>
    </row>
    <row r="622" spans="1:11">
      <c r="A622" s="15">
        <v>43860</v>
      </c>
      <c r="B622" s="25">
        <v>60.09</v>
      </c>
      <c r="C622" s="25">
        <v>58.8</v>
      </c>
      <c r="D622" s="25">
        <v>65.37</v>
      </c>
      <c r="F622" s="4">
        <f t="shared" si="27"/>
        <v>2</v>
      </c>
      <c r="G622" s="4" t="str">
        <f t="shared" si="28"/>
        <v>Opec Basket</v>
      </c>
      <c r="H622" s="25">
        <f t="shared" si="29"/>
        <v>58.8</v>
      </c>
      <c r="I622" s="25">
        <v>1.6527000000000001</v>
      </c>
      <c r="J622" s="88"/>
      <c r="K622" s="106">
        <f>Table1[[#This Row],[GasP]]-Table1[[#This Row],[Gasoline]]</f>
        <v>-1.6527000000000001</v>
      </c>
    </row>
    <row r="623" spans="1:11">
      <c r="A623" s="15">
        <v>43859</v>
      </c>
      <c r="B623" s="25">
        <v>60.11</v>
      </c>
      <c r="C623" s="25">
        <v>61.04</v>
      </c>
      <c r="D623" s="25">
        <v>65.44</v>
      </c>
      <c r="F623" s="4">
        <f t="shared" si="27"/>
        <v>1</v>
      </c>
      <c r="G623" s="4" t="str">
        <f t="shared" si="28"/>
        <v>WTI Crude</v>
      </c>
      <c r="H623" s="25">
        <f t="shared" si="29"/>
        <v>60.11</v>
      </c>
      <c r="I623" s="25">
        <v>1.6488</v>
      </c>
      <c r="J623" s="88"/>
      <c r="K623" s="106">
        <f>Table1[[#This Row],[GasP]]-Table1[[#This Row],[Gasoline]]</f>
        <v>-1.6488</v>
      </c>
    </row>
    <row r="624" spans="1:11">
      <c r="A624" s="15">
        <v>43858</v>
      </c>
      <c r="B624" s="25">
        <v>62.6</v>
      </c>
      <c r="C624" s="25">
        <v>60.67</v>
      </c>
      <c r="D624" s="25">
        <v>68.27</v>
      </c>
      <c r="F624" s="4">
        <f t="shared" si="27"/>
        <v>2</v>
      </c>
      <c r="G624" s="4" t="str">
        <f t="shared" si="28"/>
        <v>Opec Basket</v>
      </c>
      <c r="H624" s="25">
        <f t="shared" si="29"/>
        <v>60.67</v>
      </c>
      <c r="I624" s="25">
        <v>1.7222</v>
      </c>
      <c r="J624" s="88"/>
      <c r="K624" s="106">
        <f>Table1[[#This Row],[GasP]]-Table1[[#This Row],[Gasoline]]</f>
        <v>-1.7222</v>
      </c>
    </row>
    <row r="625" spans="1:11">
      <c r="A625" s="15">
        <v>43857</v>
      </c>
      <c r="B625" s="25">
        <v>63.07</v>
      </c>
      <c r="C625" s="25">
        <v>61.98</v>
      </c>
      <c r="D625" s="25">
        <v>68.91</v>
      </c>
      <c r="F625" s="4">
        <f t="shared" si="27"/>
        <v>2</v>
      </c>
      <c r="G625" s="4" t="str">
        <f t="shared" si="28"/>
        <v>Opec Basket</v>
      </c>
      <c r="H625" s="25">
        <f t="shared" si="29"/>
        <v>61.98</v>
      </c>
      <c r="I625" s="25">
        <v>1.7544</v>
      </c>
      <c r="J625" s="88"/>
      <c r="K625" s="106">
        <f>Table1[[#This Row],[GasP]]-Table1[[#This Row],[Gasoline]]</f>
        <v>-1.7544</v>
      </c>
    </row>
    <row r="626" spans="1:11">
      <c r="A626" s="15">
        <v>43854</v>
      </c>
      <c r="B626" s="25">
        <v>62.87</v>
      </c>
      <c r="C626" s="25">
        <v>62.52</v>
      </c>
      <c r="D626" s="25">
        <v>68.599999999999994</v>
      </c>
      <c r="F626" s="4">
        <f t="shared" si="27"/>
        <v>2</v>
      </c>
      <c r="G626" s="4" t="str">
        <f t="shared" si="28"/>
        <v>Opec Basket</v>
      </c>
      <c r="H626" s="25">
        <f t="shared" si="29"/>
        <v>62.52</v>
      </c>
      <c r="I626" s="25">
        <v>1.7487999999999999</v>
      </c>
      <c r="J626" s="88"/>
      <c r="K626" s="106">
        <f>Table1[[#This Row],[GasP]]-Table1[[#This Row],[Gasoline]]</f>
        <v>-1.7487999999999999</v>
      </c>
    </row>
    <row r="627" spans="1:11">
      <c r="A627" s="15">
        <v>43853</v>
      </c>
      <c r="B627" s="25">
        <v>61.09</v>
      </c>
      <c r="C627" s="25">
        <v>63.26</v>
      </c>
      <c r="D627" s="25">
        <v>66.25</v>
      </c>
      <c r="F627" s="4">
        <f t="shared" si="27"/>
        <v>1</v>
      </c>
      <c r="G627" s="4" t="str">
        <f t="shared" si="28"/>
        <v>WTI Crude</v>
      </c>
      <c r="H627" s="25">
        <f t="shared" si="29"/>
        <v>61.09</v>
      </c>
      <c r="I627" s="25">
        <v>1.7041999999999999</v>
      </c>
      <c r="J627" s="88"/>
      <c r="K627" s="106">
        <f>Table1[[#This Row],[GasP]]-Table1[[#This Row],[Gasoline]]</f>
        <v>-1.7041999999999999</v>
      </c>
    </row>
    <row r="628" spans="1:11">
      <c r="A628" s="15">
        <v>43852</v>
      </c>
      <c r="B628" s="25">
        <v>59.8</v>
      </c>
      <c r="C628" s="25">
        <v>64.66</v>
      </c>
      <c r="D628" s="25">
        <v>66</v>
      </c>
      <c r="F628" s="4">
        <f t="shared" si="27"/>
        <v>1</v>
      </c>
      <c r="G628" s="4" t="str">
        <f t="shared" si="28"/>
        <v>WTI Crude</v>
      </c>
      <c r="H628" s="25">
        <f t="shared" si="29"/>
        <v>59.8</v>
      </c>
      <c r="I628" s="25">
        <v>1.6904999999999999</v>
      </c>
      <c r="J628" s="88"/>
      <c r="K628" s="106">
        <f>Table1[[#This Row],[GasP]]-Table1[[#This Row],[Gasoline]]</f>
        <v>-1.6904999999999999</v>
      </c>
    </row>
    <row r="629" spans="1:11">
      <c r="A629" s="15">
        <v>43851</v>
      </c>
      <c r="B629" s="25">
        <v>59.83</v>
      </c>
      <c r="C629" s="25">
        <v>65.260000000000005</v>
      </c>
      <c r="D629" s="25">
        <v>68.44</v>
      </c>
      <c r="F629" s="4">
        <f t="shared" si="27"/>
        <v>1</v>
      </c>
      <c r="G629" s="4" t="str">
        <f t="shared" si="28"/>
        <v>WTI Crude</v>
      </c>
      <c r="H629" s="25">
        <f t="shared" si="29"/>
        <v>59.83</v>
      </c>
      <c r="I629" s="25">
        <v>1.724</v>
      </c>
      <c r="J629" s="88"/>
      <c r="K629" s="106">
        <f>Table1[[#This Row],[GasP]]-Table1[[#This Row],[Gasoline]]</f>
        <v>-1.724</v>
      </c>
    </row>
    <row r="630" spans="1:11">
      <c r="A630" s="15">
        <v>43850</v>
      </c>
      <c r="B630" s="25">
        <v>59.84</v>
      </c>
      <c r="C630" s="25">
        <v>66.11</v>
      </c>
      <c r="D630" s="25">
        <v>68.16</v>
      </c>
      <c r="F630" s="4">
        <f t="shared" si="27"/>
        <v>1</v>
      </c>
      <c r="G630" s="4" t="str">
        <f t="shared" si="28"/>
        <v>WTI Crude</v>
      </c>
      <c r="H630" s="25">
        <f t="shared" si="29"/>
        <v>59.84</v>
      </c>
      <c r="I630" s="25">
        <v>1.7446999999999999</v>
      </c>
      <c r="J630" s="88"/>
      <c r="K630" s="106">
        <f>Table1[[#This Row],[GasP]]-Table1[[#This Row],[Gasoline]]</f>
        <v>-1.7446999999999999</v>
      </c>
    </row>
    <row r="631" spans="1:11">
      <c r="A631" s="15">
        <v>43847</v>
      </c>
      <c r="B631" s="25">
        <v>59.83</v>
      </c>
      <c r="C631" s="25">
        <v>65.58</v>
      </c>
      <c r="D631" s="25">
        <v>67.92</v>
      </c>
      <c r="F631" s="4">
        <f t="shared" si="27"/>
        <v>1</v>
      </c>
      <c r="G631" s="4" t="str">
        <f t="shared" si="28"/>
        <v>WTI Crude</v>
      </c>
      <c r="H631" s="25">
        <f t="shared" si="29"/>
        <v>59.83</v>
      </c>
      <c r="I631" s="25">
        <v>1.7539</v>
      </c>
      <c r="J631" s="88"/>
      <c r="K631" s="106">
        <f>Table1[[#This Row],[GasP]]-Table1[[#This Row],[Gasoline]]</f>
        <v>-1.7539</v>
      </c>
    </row>
    <row r="632" spans="1:11">
      <c r="A632" s="15">
        <v>43846</v>
      </c>
      <c r="B632" s="25">
        <v>59.72</v>
      </c>
      <c r="C632" s="25">
        <v>65.62</v>
      </c>
      <c r="D632" s="25">
        <v>67.2</v>
      </c>
      <c r="F632" s="4">
        <f t="shared" si="27"/>
        <v>1</v>
      </c>
      <c r="G632" s="4" t="str">
        <f t="shared" si="28"/>
        <v>WTI Crude</v>
      </c>
      <c r="H632" s="25">
        <f t="shared" si="29"/>
        <v>59.72</v>
      </c>
      <c r="I632" s="25">
        <v>1.7274</v>
      </c>
      <c r="J632" s="88"/>
      <c r="K632" s="106">
        <f>Table1[[#This Row],[GasP]]-Table1[[#This Row],[Gasoline]]</f>
        <v>-1.7274</v>
      </c>
    </row>
    <row r="633" spans="1:11">
      <c r="A633" s="15">
        <v>43845</v>
      </c>
      <c r="B633" s="25">
        <v>59.58</v>
      </c>
      <c r="C633" s="25">
        <v>65.319999999999993</v>
      </c>
      <c r="D633" s="25">
        <v>66.39</v>
      </c>
      <c r="F633" s="4">
        <f t="shared" si="27"/>
        <v>1</v>
      </c>
      <c r="G633" s="4" t="str">
        <f t="shared" si="28"/>
        <v>WTI Crude</v>
      </c>
      <c r="H633" s="25">
        <f t="shared" si="29"/>
        <v>59.58</v>
      </c>
      <c r="I633" s="25">
        <v>1.7064999999999999</v>
      </c>
      <c r="J633" s="88"/>
      <c r="K633" s="106">
        <f>Table1[[#This Row],[GasP]]-Table1[[#This Row],[Gasoline]]</f>
        <v>-1.7064999999999999</v>
      </c>
    </row>
    <row r="634" spans="1:11">
      <c r="A634" s="15">
        <v>43844</v>
      </c>
      <c r="B634" s="25">
        <v>59.56</v>
      </c>
      <c r="C634" s="25">
        <v>65.63</v>
      </c>
      <c r="D634" s="25">
        <v>66.14</v>
      </c>
      <c r="F634" s="4">
        <f t="shared" si="27"/>
        <v>1</v>
      </c>
      <c r="G634" s="4" t="str">
        <f t="shared" si="28"/>
        <v>WTI Crude</v>
      </c>
      <c r="H634" s="25">
        <f t="shared" si="29"/>
        <v>59.56</v>
      </c>
      <c r="I634" s="25">
        <v>1.7072000000000001</v>
      </c>
      <c r="J634" s="88"/>
      <c r="K634" s="106">
        <f>Table1[[#This Row],[GasP]]-Table1[[#This Row],[Gasoline]]</f>
        <v>-1.7072000000000001</v>
      </c>
    </row>
    <row r="635" spans="1:11">
      <c r="A635" s="15">
        <v>43843</v>
      </c>
      <c r="B635" s="25">
        <v>59.81</v>
      </c>
      <c r="C635" s="25">
        <v>66.069999999999993</v>
      </c>
      <c r="D635" s="25">
        <v>66.540000000000006</v>
      </c>
      <c r="F635" s="4">
        <f t="shared" si="27"/>
        <v>1</v>
      </c>
      <c r="G635" s="4" t="str">
        <f t="shared" si="28"/>
        <v>WTI Crude</v>
      </c>
      <c r="H635" s="25">
        <f t="shared" si="29"/>
        <v>59.81</v>
      </c>
      <c r="I635" s="25">
        <v>1.7097</v>
      </c>
      <c r="J635" s="88"/>
      <c r="K635" s="106">
        <f>Table1[[#This Row],[GasP]]-Table1[[#This Row],[Gasoline]]</f>
        <v>-1.7097</v>
      </c>
    </row>
    <row r="636" spans="1:11">
      <c r="A636" s="15">
        <v>43840</v>
      </c>
      <c r="B636" s="25">
        <v>59.68</v>
      </c>
      <c r="C636" s="25">
        <v>67.02</v>
      </c>
      <c r="D636" s="25">
        <v>66.17</v>
      </c>
      <c r="F636" s="4">
        <f t="shared" si="27"/>
        <v>1</v>
      </c>
      <c r="G636" s="4" t="str">
        <f t="shared" si="28"/>
        <v>WTI Crude</v>
      </c>
      <c r="H636" s="25">
        <f t="shared" si="29"/>
        <v>59.68</v>
      </c>
      <c r="I636" s="25">
        <v>1.6904999999999999</v>
      </c>
      <c r="J636" s="88"/>
      <c r="K636" s="106">
        <f>Table1[[#This Row],[GasP]]-Table1[[#This Row],[Gasoline]]</f>
        <v>-1.6904999999999999</v>
      </c>
    </row>
    <row r="637" spans="1:11">
      <c r="A637" s="15">
        <v>43839</v>
      </c>
      <c r="B637" s="25">
        <v>59.69</v>
      </c>
      <c r="C637" s="25">
        <v>67.239999999999995</v>
      </c>
      <c r="D637" s="25">
        <v>66.099999999999994</v>
      </c>
      <c r="F637" s="4">
        <f t="shared" si="27"/>
        <v>1</v>
      </c>
      <c r="G637" s="4" t="str">
        <f t="shared" si="28"/>
        <v>WTI Crude</v>
      </c>
      <c r="H637" s="25">
        <f t="shared" si="29"/>
        <v>59.69</v>
      </c>
      <c r="I637" s="25">
        <v>1.6899</v>
      </c>
      <c r="J637" s="88"/>
      <c r="K637" s="106">
        <f>Table1[[#This Row],[GasP]]-Table1[[#This Row],[Gasoline]]</f>
        <v>-1.6899</v>
      </c>
    </row>
    <row r="638" spans="1:11">
      <c r="A638" s="15">
        <v>43838</v>
      </c>
      <c r="B638" s="25">
        <v>59.34</v>
      </c>
      <c r="C638" s="25">
        <v>69.58</v>
      </c>
      <c r="D638" s="25">
        <v>65.34</v>
      </c>
      <c r="F638" s="4">
        <f t="shared" si="27"/>
        <v>1</v>
      </c>
      <c r="G638" s="4" t="str">
        <f t="shared" si="28"/>
        <v>WTI Crude</v>
      </c>
      <c r="H638" s="25">
        <f t="shared" si="29"/>
        <v>59.34</v>
      </c>
      <c r="I638" s="25">
        <v>1.6677999999999999</v>
      </c>
      <c r="J638" s="88"/>
      <c r="K638" s="106">
        <f>Table1[[#This Row],[GasP]]-Table1[[#This Row],[Gasoline]]</f>
        <v>-1.6677999999999999</v>
      </c>
    </row>
    <row r="639" spans="1:11">
      <c r="A639" s="15">
        <v>43837</v>
      </c>
      <c r="B639" s="25">
        <v>59.26</v>
      </c>
      <c r="C639" s="25">
        <v>69.599999999999994</v>
      </c>
      <c r="D639" s="25">
        <v>65.22</v>
      </c>
      <c r="F639" s="4">
        <f t="shared" si="27"/>
        <v>1</v>
      </c>
      <c r="G639" s="4" t="str">
        <f t="shared" si="28"/>
        <v>WTI Crude</v>
      </c>
      <c r="H639" s="25">
        <f t="shared" si="29"/>
        <v>59.26</v>
      </c>
      <c r="I639" s="25">
        <v>1.6632</v>
      </c>
      <c r="J639" s="88"/>
      <c r="K639" s="106">
        <f>Table1[[#This Row],[GasP]]-Table1[[#This Row],[Gasoline]]</f>
        <v>-1.6632</v>
      </c>
    </row>
    <row r="640" spans="1:11">
      <c r="A640" s="15">
        <v>43836</v>
      </c>
      <c r="B640" s="25">
        <v>58.74</v>
      </c>
      <c r="C640" s="25">
        <v>70.87</v>
      </c>
      <c r="D640" s="25">
        <v>64.2</v>
      </c>
      <c r="F640" s="4">
        <f t="shared" si="27"/>
        <v>1</v>
      </c>
      <c r="G640" s="4" t="str">
        <f t="shared" si="28"/>
        <v>WTI Crude</v>
      </c>
      <c r="H640" s="25">
        <f t="shared" si="29"/>
        <v>58.74</v>
      </c>
      <c r="I640" s="25">
        <v>1.6283000000000001</v>
      </c>
      <c r="J640" s="88"/>
      <c r="K640" s="106">
        <f>Table1[[#This Row],[GasP]]-Table1[[#This Row],[Gasoline]]</f>
        <v>-1.6283000000000001</v>
      </c>
    </row>
    <row r="641" spans="1:11">
      <c r="A641" s="15">
        <v>43833</v>
      </c>
      <c r="B641" s="25">
        <v>58.49</v>
      </c>
      <c r="C641" s="25">
        <v>69.38</v>
      </c>
      <c r="D641" s="25">
        <v>63.72</v>
      </c>
      <c r="F641" s="4">
        <f t="shared" si="27"/>
        <v>1</v>
      </c>
      <c r="G641" s="4" t="str">
        <f t="shared" si="28"/>
        <v>WTI Crude</v>
      </c>
      <c r="H641" s="25">
        <f t="shared" si="29"/>
        <v>58.49</v>
      </c>
      <c r="I641" s="25">
        <v>1.6261000000000001</v>
      </c>
      <c r="J641" s="88"/>
      <c r="K641" s="106">
        <f>Table1[[#This Row],[GasP]]-Table1[[#This Row],[Gasoline]]</f>
        <v>-1.6261000000000001</v>
      </c>
    </row>
    <row r="642" spans="1:11">
      <c r="A642" s="15">
        <v>43832</v>
      </c>
      <c r="B642" s="25">
        <v>58.81</v>
      </c>
      <c r="C642" s="25">
        <v>67.12</v>
      </c>
      <c r="D642" s="25">
        <v>64.34</v>
      </c>
      <c r="F642" s="4">
        <f t="shared" ref="F642:F685" si="30">IF(MIN(B642:E642)=B642,1,IF(MIN(B642:E642)=C642,2,IF(MIN(B642:E642)=D642,3,IF(MIN(B642:E642)=E642,4,))))</f>
        <v>1</v>
      </c>
      <c r="G642" s="4" t="str">
        <f t="shared" ref="G642:G685" si="31">IF(MIN(B642:E642)=B642,$B$1,IF(MIN(B642:E642)=C642,$C$1,IF(MIN(B642:E642)=D642,$D$1,IF(MIN(B642:E642)=E642,$E$1,))))</f>
        <v>WTI Crude</v>
      </c>
      <c r="H642" s="25">
        <f t="shared" ref="H642:H685" si="32">IF(MIN(B642:E642)=B642,B642,IF(MIN(B642:E642)=C642,C642,IF(MIN(B642:E642)=D642,D642,IF(MIN(B642:E642)=E642,E642,))))</f>
        <v>58.81</v>
      </c>
      <c r="I642" s="25">
        <v>1.6525000000000001</v>
      </c>
      <c r="J642" s="88"/>
      <c r="K642" s="106">
        <f>Table1[[#This Row],[GasP]]-Table1[[#This Row],[Gasoline]]</f>
        <v>-1.6525000000000001</v>
      </c>
    </row>
    <row r="643" spans="1:11">
      <c r="A643" s="15">
        <v>43830</v>
      </c>
      <c r="B643" s="25">
        <v>58.65</v>
      </c>
      <c r="C643" s="25">
        <v>67.959999999999994</v>
      </c>
      <c r="D643" s="25">
        <v>64.25</v>
      </c>
      <c r="F643" s="4">
        <f t="shared" si="30"/>
        <v>1</v>
      </c>
      <c r="G643" s="4" t="str">
        <f t="shared" si="31"/>
        <v>WTI Crude</v>
      </c>
      <c r="H643" s="25">
        <f t="shared" si="32"/>
        <v>58.65</v>
      </c>
      <c r="I643" s="25">
        <v>1.6548</v>
      </c>
      <c r="J643" s="88"/>
      <c r="K643" s="106">
        <f>Table1[[#This Row],[GasP]]-Table1[[#This Row],[Gasoline]]</f>
        <v>-1.6548</v>
      </c>
    </row>
    <row r="644" spans="1:11">
      <c r="A644" s="15">
        <v>43829</v>
      </c>
      <c r="B644" s="25">
        <v>58.79</v>
      </c>
      <c r="C644" s="25">
        <v>68.89</v>
      </c>
      <c r="D644" s="25">
        <v>64.39</v>
      </c>
      <c r="F644" s="4">
        <f t="shared" si="30"/>
        <v>1</v>
      </c>
      <c r="G644" s="4" t="str">
        <f t="shared" si="31"/>
        <v>WTI Crude</v>
      </c>
      <c r="H644" s="25">
        <f t="shared" si="32"/>
        <v>58.79</v>
      </c>
      <c r="I644" s="25">
        <v>1.6474</v>
      </c>
      <c r="J644" s="88"/>
      <c r="K644" s="106">
        <f>Table1[[#This Row],[GasP]]-Table1[[#This Row],[Gasoline]]</f>
        <v>-1.6474</v>
      </c>
    </row>
    <row r="645" spans="1:11">
      <c r="A645" s="15">
        <v>43826</v>
      </c>
      <c r="B645" s="25">
        <v>58.17</v>
      </c>
      <c r="C645" s="25">
        <v>69.069999999999993</v>
      </c>
      <c r="D645" s="25">
        <v>63.39</v>
      </c>
      <c r="F645" s="4">
        <f t="shared" si="30"/>
        <v>1</v>
      </c>
      <c r="G645" s="4" t="str">
        <f t="shared" si="31"/>
        <v>WTI Crude</v>
      </c>
      <c r="H645" s="25">
        <f t="shared" si="32"/>
        <v>58.17</v>
      </c>
      <c r="I645" s="25">
        <v>1.6211</v>
      </c>
      <c r="J645" s="88"/>
      <c r="K645" s="106">
        <f>Table1[[#This Row],[GasP]]-Table1[[#This Row],[Gasoline]]</f>
        <v>-1.6211</v>
      </c>
    </row>
    <row r="646" spans="1:11">
      <c r="A646" s="15">
        <v>43825</v>
      </c>
      <c r="B646" s="25">
        <v>58.17</v>
      </c>
      <c r="C646" s="25">
        <v>68.48</v>
      </c>
      <c r="D646" s="25">
        <v>63</v>
      </c>
      <c r="F646" s="4">
        <f t="shared" si="30"/>
        <v>1</v>
      </c>
      <c r="G646" s="4" t="str">
        <f t="shared" si="31"/>
        <v>WTI Crude</v>
      </c>
      <c r="H646" s="25">
        <f t="shared" si="32"/>
        <v>58.17</v>
      </c>
      <c r="I646" s="25">
        <v>1.6042000000000001</v>
      </c>
      <c r="J646" s="88"/>
      <c r="K646" s="106">
        <f>Table1[[#This Row],[GasP]]-Table1[[#This Row],[Gasoline]]</f>
        <v>-1.6042000000000001</v>
      </c>
    </row>
    <row r="647" spans="1:11">
      <c r="A647" s="15">
        <v>43823</v>
      </c>
      <c r="B647" s="25">
        <v>56.07</v>
      </c>
      <c r="C647" s="25">
        <v>67.989999999999995</v>
      </c>
      <c r="D647" s="25">
        <v>60.82</v>
      </c>
      <c r="F647" s="4">
        <f t="shared" si="30"/>
        <v>1</v>
      </c>
      <c r="G647" s="4" t="str">
        <f t="shared" si="31"/>
        <v>WTI Crude</v>
      </c>
      <c r="H647" s="25">
        <f t="shared" si="32"/>
        <v>56.07</v>
      </c>
      <c r="I647" s="25">
        <v>1.5629</v>
      </c>
      <c r="J647" s="88"/>
      <c r="K647" s="106">
        <f>Table1[[#This Row],[GasP]]-Table1[[#This Row],[Gasoline]]</f>
        <v>-1.5629</v>
      </c>
    </row>
    <row r="648" spans="1:11">
      <c r="A648" s="15">
        <v>43822</v>
      </c>
      <c r="B648" s="25">
        <v>55.94</v>
      </c>
      <c r="C648" s="25">
        <v>67.58</v>
      </c>
      <c r="D648" s="25">
        <v>60.92</v>
      </c>
      <c r="F648" s="4">
        <f t="shared" si="30"/>
        <v>1</v>
      </c>
      <c r="G648" s="4" t="str">
        <f t="shared" si="31"/>
        <v>WTI Crude</v>
      </c>
      <c r="H648" s="25">
        <f t="shared" si="32"/>
        <v>55.94</v>
      </c>
      <c r="I648" s="25">
        <v>1.5732999999999999</v>
      </c>
      <c r="J648" s="88"/>
      <c r="K648" s="106">
        <f>Table1[[#This Row],[GasP]]-Table1[[#This Row],[Gasoline]]</f>
        <v>-1.5732999999999999</v>
      </c>
    </row>
    <row r="649" spans="1:11">
      <c r="A649" s="15">
        <v>43819</v>
      </c>
      <c r="B649" s="25">
        <v>57.07</v>
      </c>
      <c r="C649" s="25">
        <v>68</v>
      </c>
      <c r="D649" s="25">
        <v>62.43</v>
      </c>
      <c r="F649" s="4">
        <f t="shared" si="30"/>
        <v>1</v>
      </c>
      <c r="G649" s="4" t="str">
        <f t="shared" si="31"/>
        <v>WTI Crude</v>
      </c>
      <c r="H649" s="25">
        <f t="shared" si="32"/>
        <v>57.07</v>
      </c>
      <c r="I649" s="25">
        <v>1.591</v>
      </c>
      <c r="J649" s="88"/>
      <c r="K649" s="106">
        <f>Table1[[#This Row],[GasP]]-Table1[[#This Row],[Gasoline]]</f>
        <v>-1.591</v>
      </c>
    </row>
    <row r="650" spans="1:11">
      <c r="A650" s="15">
        <v>43818</v>
      </c>
      <c r="B650" s="25">
        <v>57.22</v>
      </c>
      <c r="C650" s="25">
        <v>67.930000000000007</v>
      </c>
      <c r="D650" s="25">
        <v>64.06</v>
      </c>
      <c r="F650" s="4">
        <f t="shared" si="30"/>
        <v>1</v>
      </c>
      <c r="G650" s="4" t="str">
        <f t="shared" si="31"/>
        <v>WTI Crude</v>
      </c>
      <c r="H650" s="25">
        <f t="shared" si="32"/>
        <v>57.22</v>
      </c>
      <c r="I650" s="25">
        <v>1.6792</v>
      </c>
      <c r="J650" s="88"/>
      <c r="K650" s="106">
        <f>Table1[[#This Row],[GasP]]-Table1[[#This Row],[Gasoline]]</f>
        <v>-1.6792</v>
      </c>
    </row>
    <row r="651" spans="1:11">
      <c r="A651" s="15">
        <v>43817</v>
      </c>
      <c r="B651" s="25">
        <v>57.25</v>
      </c>
      <c r="C651" s="25">
        <v>67.77</v>
      </c>
      <c r="D651" s="25">
        <v>64.27</v>
      </c>
      <c r="F651" s="4">
        <f t="shared" si="30"/>
        <v>1</v>
      </c>
      <c r="G651" s="4" t="str">
        <f t="shared" si="31"/>
        <v>WTI Crude</v>
      </c>
      <c r="H651" s="25">
        <f t="shared" si="32"/>
        <v>57.25</v>
      </c>
      <c r="I651" s="25">
        <v>1.6976</v>
      </c>
      <c r="J651" s="88"/>
      <c r="K651" s="106">
        <f>Table1[[#This Row],[GasP]]-Table1[[#This Row],[Gasoline]]</f>
        <v>-1.6976</v>
      </c>
    </row>
    <row r="652" spans="1:11">
      <c r="A652" s="15">
        <v>43816</v>
      </c>
      <c r="B652" s="25">
        <v>57.19</v>
      </c>
      <c r="C652" s="25">
        <v>67.48</v>
      </c>
      <c r="D652" s="25">
        <v>63.65</v>
      </c>
      <c r="F652" s="4">
        <f t="shared" si="30"/>
        <v>1</v>
      </c>
      <c r="G652" s="4" t="str">
        <f t="shared" si="31"/>
        <v>WTI Crude</v>
      </c>
      <c r="H652" s="25">
        <f t="shared" si="32"/>
        <v>57.19</v>
      </c>
      <c r="I652" s="25">
        <v>1.6715</v>
      </c>
      <c r="J652" s="88"/>
      <c r="K652" s="106">
        <f>Table1[[#This Row],[GasP]]-Table1[[#This Row],[Gasoline]]</f>
        <v>-1.6715</v>
      </c>
    </row>
    <row r="653" spans="1:11">
      <c r="A653" s="15">
        <v>43815</v>
      </c>
      <c r="B653" s="25">
        <v>57.14</v>
      </c>
      <c r="C653" s="25">
        <v>67.22</v>
      </c>
      <c r="D653" s="25">
        <v>63.39</v>
      </c>
      <c r="F653" s="4">
        <f t="shared" si="30"/>
        <v>1</v>
      </c>
      <c r="G653" s="4" t="str">
        <f t="shared" si="31"/>
        <v>WTI Crude</v>
      </c>
      <c r="H653" s="25">
        <f t="shared" si="32"/>
        <v>57.14</v>
      </c>
      <c r="I653" s="25">
        <v>1.6742999999999999</v>
      </c>
      <c r="J653" s="88"/>
      <c r="K653" s="106">
        <f>Table1[[#This Row],[GasP]]-Table1[[#This Row],[Gasoline]]</f>
        <v>-1.6742999999999999</v>
      </c>
    </row>
    <row r="654" spans="1:11">
      <c r="A654" s="15">
        <v>43812</v>
      </c>
      <c r="B654" s="25">
        <v>57.34</v>
      </c>
      <c r="C654" s="25">
        <v>66.760000000000005</v>
      </c>
      <c r="D654" s="25">
        <v>63.97</v>
      </c>
      <c r="F654" s="4">
        <f t="shared" si="30"/>
        <v>1</v>
      </c>
      <c r="G654" s="4" t="str">
        <f t="shared" si="31"/>
        <v>WTI Crude</v>
      </c>
      <c r="H654" s="25">
        <f t="shared" si="32"/>
        <v>57.34</v>
      </c>
      <c r="I654" s="25">
        <v>1.6982999999999999</v>
      </c>
      <c r="J654" s="88"/>
      <c r="K654" s="106">
        <f>Table1[[#This Row],[GasP]]-Table1[[#This Row],[Gasoline]]</f>
        <v>-1.6982999999999999</v>
      </c>
    </row>
    <row r="655" spans="1:11">
      <c r="A655" s="15">
        <v>43811</v>
      </c>
      <c r="B655" s="25">
        <v>56.87</v>
      </c>
      <c r="C655" s="25">
        <v>65.81</v>
      </c>
      <c r="D655" s="25">
        <v>62.4</v>
      </c>
      <c r="F655" s="4">
        <f t="shared" si="30"/>
        <v>1</v>
      </c>
      <c r="G655" s="4" t="str">
        <f t="shared" si="31"/>
        <v>WTI Crude</v>
      </c>
      <c r="H655" s="25">
        <f t="shared" si="32"/>
        <v>56.87</v>
      </c>
      <c r="I655" s="25">
        <v>1.6563000000000001</v>
      </c>
      <c r="J655" s="88"/>
      <c r="K655" s="106">
        <f>Table1[[#This Row],[GasP]]-Table1[[#This Row],[Gasoline]]</f>
        <v>-1.6563000000000001</v>
      </c>
    </row>
    <row r="656" spans="1:11">
      <c r="A656" s="15">
        <v>43810</v>
      </c>
      <c r="B656" s="25">
        <v>56.28</v>
      </c>
      <c r="C656" s="25">
        <v>65.38</v>
      </c>
      <c r="D656" s="25">
        <v>60.91</v>
      </c>
      <c r="F656" s="4">
        <f t="shared" si="30"/>
        <v>1</v>
      </c>
      <c r="G656" s="4" t="str">
        <f t="shared" si="31"/>
        <v>WTI Crude</v>
      </c>
      <c r="H656" s="25">
        <f t="shared" si="32"/>
        <v>56.28</v>
      </c>
      <c r="I656" s="25">
        <v>1.6036999999999999</v>
      </c>
      <c r="J656" s="88"/>
      <c r="K656" s="106">
        <f>Table1[[#This Row],[GasP]]-Table1[[#This Row],[Gasoline]]</f>
        <v>-1.6036999999999999</v>
      </c>
    </row>
    <row r="657" spans="1:11">
      <c r="A657" s="15">
        <v>43809</v>
      </c>
      <c r="B657" s="25">
        <v>57</v>
      </c>
      <c r="C657" s="25">
        <v>65.66</v>
      </c>
      <c r="D657" s="25">
        <v>62.44</v>
      </c>
      <c r="F657" s="4">
        <f t="shared" si="30"/>
        <v>1</v>
      </c>
      <c r="G657" s="4" t="str">
        <f t="shared" si="31"/>
        <v>WTI Crude</v>
      </c>
      <c r="H657" s="25">
        <f t="shared" si="32"/>
        <v>57</v>
      </c>
      <c r="I657" s="25">
        <v>1.6160000000000001</v>
      </c>
      <c r="J657" s="88"/>
      <c r="K657" s="106">
        <f>Table1[[#This Row],[GasP]]-Table1[[#This Row],[Gasoline]]</f>
        <v>-1.6160000000000001</v>
      </c>
    </row>
    <row r="658" spans="1:11">
      <c r="A658" s="15">
        <v>43808</v>
      </c>
      <c r="B658" s="25">
        <v>57.31</v>
      </c>
      <c r="C658" s="25">
        <v>65.569999999999993</v>
      </c>
      <c r="D658" s="25">
        <v>63.3</v>
      </c>
      <c r="F658" s="4">
        <f t="shared" si="30"/>
        <v>1</v>
      </c>
      <c r="G658" s="4" t="str">
        <f t="shared" si="31"/>
        <v>WTI Crude</v>
      </c>
      <c r="H658" s="25">
        <f t="shared" si="32"/>
        <v>57.31</v>
      </c>
      <c r="I658" s="25">
        <v>1.6308</v>
      </c>
      <c r="J658" s="88"/>
      <c r="K658" s="106">
        <f>Table1[[#This Row],[GasP]]-Table1[[#This Row],[Gasoline]]</f>
        <v>-1.6308</v>
      </c>
    </row>
    <row r="659" spans="1:11">
      <c r="A659" s="15">
        <v>43805</v>
      </c>
      <c r="B659" s="25">
        <v>56.83</v>
      </c>
      <c r="C659" s="25">
        <v>65.239999999999995</v>
      </c>
      <c r="D659" s="25">
        <v>62.28</v>
      </c>
      <c r="F659" s="4">
        <f t="shared" si="30"/>
        <v>1</v>
      </c>
      <c r="G659" s="4" t="str">
        <f t="shared" si="31"/>
        <v>WTI Crude</v>
      </c>
      <c r="H659" s="25">
        <f t="shared" si="32"/>
        <v>56.83</v>
      </c>
      <c r="I659" s="25">
        <v>1.6115999999999999</v>
      </c>
      <c r="J659" s="88"/>
      <c r="K659" s="106">
        <f>Table1[[#This Row],[GasP]]-Table1[[#This Row],[Gasoline]]</f>
        <v>-1.6115999999999999</v>
      </c>
    </row>
    <row r="660" spans="1:11">
      <c r="A660" s="15">
        <v>43804</v>
      </c>
      <c r="B660" s="25">
        <v>57.01</v>
      </c>
      <c r="C660" s="25">
        <v>64.81</v>
      </c>
      <c r="D660" s="25">
        <v>62.37</v>
      </c>
      <c r="F660" s="4">
        <f t="shared" si="30"/>
        <v>1</v>
      </c>
      <c r="G660" s="4" t="str">
        <f t="shared" si="31"/>
        <v>WTI Crude</v>
      </c>
      <c r="H660" s="25">
        <f t="shared" si="32"/>
        <v>57.01</v>
      </c>
      <c r="I660" s="25">
        <v>1.6309</v>
      </c>
      <c r="J660" s="88"/>
      <c r="K660" s="106">
        <f>Table1[[#This Row],[GasP]]-Table1[[#This Row],[Gasoline]]</f>
        <v>-1.6309</v>
      </c>
    </row>
    <row r="661" spans="1:11">
      <c r="A661" s="15">
        <v>43803</v>
      </c>
      <c r="B661" s="25">
        <v>56.81</v>
      </c>
      <c r="C661" s="25">
        <v>63.39</v>
      </c>
      <c r="D661" s="25">
        <v>62.06</v>
      </c>
      <c r="F661" s="4">
        <f t="shared" si="30"/>
        <v>1</v>
      </c>
      <c r="G661" s="4" t="str">
        <f t="shared" si="31"/>
        <v>WTI Crude</v>
      </c>
      <c r="H661" s="25">
        <f t="shared" si="32"/>
        <v>56.81</v>
      </c>
      <c r="I661" s="25">
        <v>1.6144000000000001</v>
      </c>
      <c r="J661" s="88"/>
      <c r="K661" s="106">
        <f>Table1[[#This Row],[GasP]]-Table1[[#This Row],[Gasoline]]</f>
        <v>-1.6144000000000001</v>
      </c>
    </row>
    <row r="662" spans="1:11">
      <c r="A662" s="15">
        <v>43802</v>
      </c>
      <c r="B662" s="25">
        <v>56.85</v>
      </c>
      <c r="C662" s="25">
        <v>62.57</v>
      </c>
      <c r="D662" s="25">
        <v>62.18</v>
      </c>
      <c r="F662" s="4">
        <f t="shared" si="30"/>
        <v>1</v>
      </c>
      <c r="G662" s="4" t="str">
        <f t="shared" si="31"/>
        <v>WTI Crude</v>
      </c>
      <c r="H662" s="25">
        <f t="shared" si="32"/>
        <v>56.85</v>
      </c>
      <c r="I662" s="25">
        <v>1.6099000000000001</v>
      </c>
      <c r="J662" s="88"/>
      <c r="K662" s="106">
        <f>Table1[[#This Row],[GasP]]-Table1[[#This Row],[Gasoline]]</f>
        <v>-1.6099000000000001</v>
      </c>
    </row>
    <row r="663" spans="1:11">
      <c r="A663" s="15">
        <v>43801</v>
      </c>
      <c r="B663" s="25">
        <v>57.11</v>
      </c>
      <c r="C663" s="25">
        <v>62.5</v>
      </c>
      <c r="D663" s="25">
        <v>62.51</v>
      </c>
      <c r="F663" s="4">
        <f t="shared" si="30"/>
        <v>1</v>
      </c>
      <c r="G663" s="4" t="str">
        <f t="shared" si="31"/>
        <v>WTI Crude</v>
      </c>
      <c r="H663" s="25">
        <f t="shared" si="32"/>
        <v>57.11</v>
      </c>
      <c r="I663" s="25">
        <v>1.6336999999999999</v>
      </c>
      <c r="J663" s="88"/>
      <c r="K663" s="106">
        <f>Table1[[#This Row],[GasP]]-Table1[[#This Row],[Gasoline]]</f>
        <v>-1.6336999999999999</v>
      </c>
    </row>
    <row r="664" spans="1:11">
      <c r="A664" s="15">
        <v>43798</v>
      </c>
      <c r="B664" s="25">
        <v>57.04</v>
      </c>
      <c r="C664" s="25">
        <v>63.83</v>
      </c>
      <c r="D664" s="25">
        <v>62.29</v>
      </c>
      <c r="F664" s="4">
        <f t="shared" si="30"/>
        <v>1</v>
      </c>
      <c r="G664" s="4" t="str">
        <f t="shared" si="31"/>
        <v>WTI Crude</v>
      </c>
      <c r="H664" s="25">
        <f t="shared" si="32"/>
        <v>57.04</v>
      </c>
      <c r="I664" s="25">
        <v>1.6355</v>
      </c>
      <c r="J664" s="88"/>
      <c r="K664" s="106">
        <f>Table1[[#This Row],[GasP]]-Table1[[#This Row],[Gasoline]]</f>
        <v>-1.6355</v>
      </c>
    </row>
    <row r="665" spans="1:11">
      <c r="A665" s="15">
        <v>43797</v>
      </c>
      <c r="B665" s="25">
        <v>56.41</v>
      </c>
      <c r="C665" s="25">
        <v>63.94</v>
      </c>
      <c r="D665" s="25">
        <v>61.74</v>
      </c>
      <c r="F665" s="4">
        <f t="shared" si="30"/>
        <v>1</v>
      </c>
      <c r="G665" s="4" t="str">
        <f t="shared" si="31"/>
        <v>WTI Crude</v>
      </c>
      <c r="H665" s="25">
        <f t="shared" si="32"/>
        <v>56.41</v>
      </c>
      <c r="I665" s="25">
        <v>1.6262000000000001</v>
      </c>
      <c r="J665" s="88"/>
      <c r="K665" s="106">
        <f>Table1[[#This Row],[GasP]]-Table1[[#This Row],[Gasoline]]</f>
        <v>-1.6262000000000001</v>
      </c>
    </row>
    <row r="666" spans="1:11">
      <c r="A666" s="15">
        <v>43796</v>
      </c>
      <c r="B666" s="25">
        <v>57.16</v>
      </c>
      <c r="C666" s="25">
        <v>64.400000000000006</v>
      </c>
      <c r="D666" s="25">
        <v>62.96</v>
      </c>
      <c r="F666" s="4">
        <f t="shared" si="30"/>
        <v>1</v>
      </c>
      <c r="G666" s="4" t="str">
        <f t="shared" si="31"/>
        <v>WTI Crude</v>
      </c>
      <c r="H666" s="25">
        <f t="shared" si="32"/>
        <v>57.16</v>
      </c>
      <c r="I666" s="25">
        <v>1.6746000000000001</v>
      </c>
      <c r="J666" s="88"/>
      <c r="K666" s="106">
        <f>Table1[[#This Row],[GasP]]-Table1[[#This Row],[Gasoline]]</f>
        <v>-1.6746000000000001</v>
      </c>
    </row>
    <row r="667" spans="1:11">
      <c r="A667" s="15">
        <v>43795</v>
      </c>
      <c r="B667" s="25">
        <v>56.54</v>
      </c>
      <c r="C667" s="25">
        <v>63.92</v>
      </c>
      <c r="D667" s="25">
        <v>62.13</v>
      </c>
      <c r="F667" s="4">
        <f t="shared" si="30"/>
        <v>1</v>
      </c>
      <c r="G667" s="4" t="str">
        <f t="shared" si="31"/>
        <v>WTI Crude</v>
      </c>
      <c r="H667" s="25">
        <f t="shared" si="32"/>
        <v>56.54</v>
      </c>
      <c r="I667" s="25">
        <v>1.6637</v>
      </c>
      <c r="J667" s="88"/>
      <c r="K667" s="106">
        <f>Table1[[#This Row],[GasP]]-Table1[[#This Row],[Gasoline]]</f>
        <v>-1.6637</v>
      </c>
    </row>
    <row r="668" spans="1:11">
      <c r="A668" s="15">
        <v>43794</v>
      </c>
      <c r="B668" s="25">
        <v>56.22</v>
      </c>
      <c r="C668" s="25">
        <v>64.209999999999994</v>
      </c>
      <c r="D668" s="25">
        <v>61.69</v>
      </c>
      <c r="F668" s="4">
        <f t="shared" si="30"/>
        <v>1</v>
      </c>
      <c r="G668" s="4" t="str">
        <f t="shared" si="31"/>
        <v>WTI Crude</v>
      </c>
      <c r="H668" s="25">
        <f t="shared" si="32"/>
        <v>56.22</v>
      </c>
      <c r="I668" s="25">
        <v>1.6556999999999999</v>
      </c>
      <c r="J668" s="88"/>
      <c r="K668" s="106">
        <f>Table1[[#This Row],[GasP]]-Table1[[#This Row],[Gasoline]]</f>
        <v>-1.6556999999999999</v>
      </c>
    </row>
    <row r="669" spans="1:11">
      <c r="A669" s="15">
        <v>43791</v>
      </c>
      <c r="B669" s="25">
        <v>54.01</v>
      </c>
      <c r="C669" s="25">
        <v>64.56</v>
      </c>
      <c r="D669" s="25">
        <v>60.23</v>
      </c>
      <c r="F669" s="4">
        <f t="shared" si="30"/>
        <v>1</v>
      </c>
      <c r="G669" s="4" t="str">
        <f t="shared" si="31"/>
        <v>WTI Crude</v>
      </c>
      <c r="H669" s="25">
        <f t="shared" si="32"/>
        <v>54.01</v>
      </c>
      <c r="I669" s="25">
        <v>1.5946</v>
      </c>
      <c r="J669" s="88"/>
      <c r="K669" s="106">
        <f>Table1[[#This Row],[GasP]]-Table1[[#This Row],[Gasoline]]</f>
        <v>-1.5946</v>
      </c>
    </row>
    <row r="670" spans="1:11">
      <c r="A670" s="15">
        <v>43790</v>
      </c>
      <c r="B670" s="25">
        <v>54.04</v>
      </c>
      <c r="C670" s="25">
        <v>63.68</v>
      </c>
      <c r="D670" s="25">
        <v>60.61</v>
      </c>
      <c r="F670" s="4">
        <f t="shared" si="30"/>
        <v>1</v>
      </c>
      <c r="G670" s="4" t="str">
        <f t="shared" si="31"/>
        <v>WTI Crude</v>
      </c>
      <c r="H670" s="25">
        <f t="shared" si="32"/>
        <v>54.04</v>
      </c>
      <c r="I670" s="25">
        <v>1.6645000000000001</v>
      </c>
      <c r="J670" s="88"/>
      <c r="K670" s="106">
        <f>Table1[[#This Row],[GasP]]-Table1[[#This Row],[Gasoline]]</f>
        <v>-1.6645000000000001</v>
      </c>
    </row>
    <row r="671" spans="1:11">
      <c r="A671" s="15">
        <v>43789</v>
      </c>
      <c r="B671" s="25">
        <v>54.09</v>
      </c>
      <c r="C671" s="25">
        <v>62.22</v>
      </c>
      <c r="D671" s="25">
        <v>61.59</v>
      </c>
      <c r="F671" s="4">
        <f t="shared" si="30"/>
        <v>1</v>
      </c>
      <c r="G671" s="4" t="str">
        <f t="shared" si="31"/>
        <v>WTI Crude</v>
      </c>
      <c r="H671" s="25">
        <f t="shared" si="32"/>
        <v>54.09</v>
      </c>
      <c r="I671" s="25">
        <v>1.6415999999999999</v>
      </c>
      <c r="J671" s="88"/>
      <c r="K671" s="106">
        <f>Table1[[#This Row],[GasP]]-Table1[[#This Row],[Gasoline]]</f>
        <v>-1.6415999999999999</v>
      </c>
    </row>
    <row r="672" spans="1:11">
      <c r="A672" s="15">
        <v>43788</v>
      </c>
      <c r="B672" s="25">
        <v>54.12</v>
      </c>
      <c r="C672" s="25">
        <v>62.51</v>
      </c>
      <c r="D672" s="25">
        <v>61.57</v>
      </c>
      <c r="F672" s="4">
        <f t="shared" si="30"/>
        <v>1</v>
      </c>
      <c r="G672" s="4" t="str">
        <f t="shared" si="31"/>
        <v>WTI Crude</v>
      </c>
      <c r="H672" s="25">
        <f t="shared" si="32"/>
        <v>54.12</v>
      </c>
      <c r="I672" s="25">
        <v>1.6344000000000001</v>
      </c>
      <c r="J672" s="88"/>
      <c r="K672" s="106">
        <f>Table1[[#This Row],[GasP]]-Table1[[#This Row],[Gasoline]]</f>
        <v>-1.6344000000000001</v>
      </c>
    </row>
    <row r="673" spans="1:11">
      <c r="A673" s="15">
        <v>43787</v>
      </c>
      <c r="B673" s="25">
        <v>54.27</v>
      </c>
      <c r="C673" s="25">
        <v>63.44</v>
      </c>
      <c r="D673" s="25">
        <v>62.02</v>
      </c>
      <c r="F673" s="4">
        <f t="shared" si="30"/>
        <v>1</v>
      </c>
      <c r="G673" s="4" t="str">
        <f t="shared" si="31"/>
        <v>WTI Crude</v>
      </c>
      <c r="H673" s="25">
        <f t="shared" si="32"/>
        <v>54.27</v>
      </c>
      <c r="I673" s="25">
        <v>1.6355999999999999</v>
      </c>
      <c r="J673" s="88"/>
      <c r="K673" s="106">
        <f>Table1[[#This Row],[GasP]]-Table1[[#This Row],[Gasoline]]</f>
        <v>-1.6355999999999999</v>
      </c>
    </row>
    <row r="674" spans="1:11">
      <c r="A674" s="15">
        <v>43784</v>
      </c>
      <c r="B674" s="25">
        <v>54.18</v>
      </c>
      <c r="C674" s="25">
        <v>63.12</v>
      </c>
      <c r="D674" s="25">
        <v>61.67</v>
      </c>
      <c r="F674" s="4">
        <f t="shared" si="30"/>
        <v>1</v>
      </c>
      <c r="G674" s="4" t="str">
        <f t="shared" si="31"/>
        <v>WTI Crude</v>
      </c>
      <c r="H674" s="25">
        <f t="shared" si="32"/>
        <v>54.18</v>
      </c>
      <c r="I674" s="25">
        <v>1.6258999999999999</v>
      </c>
      <c r="J674" s="88"/>
      <c r="K674" s="106">
        <f>Table1[[#This Row],[GasP]]-Table1[[#This Row],[Gasoline]]</f>
        <v>-1.6258999999999999</v>
      </c>
    </row>
    <row r="675" spans="1:11">
      <c r="A675" s="15">
        <v>43783</v>
      </c>
      <c r="B675" s="25">
        <v>54.11</v>
      </c>
      <c r="C675" s="25">
        <v>63</v>
      </c>
      <c r="D675" s="25">
        <v>61.17</v>
      </c>
      <c r="F675" s="4">
        <f t="shared" si="30"/>
        <v>1</v>
      </c>
      <c r="G675" s="4" t="str">
        <f t="shared" si="31"/>
        <v>WTI Crude</v>
      </c>
      <c r="H675" s="25">
        <f t="shared" si="32"/>
        <v>54.11</v>
      </c>
      <c r="I675" s="25">
        <v>1.6133</v>
      </c>
      <c r="J675" s="88"/>
      <c r="K675" s="106">
        <f>Table1[[#This Row],[GasP]]-Table1[[#This Row],[Gasoline]]</f>
        <v>-1.6133</v>
      </c>
    </row>
    <row r="676" spans="1:11">
      <c r="A676" s="15">
        <v>43782</v>
      </c>
      <c r="B676" s="25">
        <v>53.65</v>
      </c>
      <c r="C676" s="25">
        <v>62.48</v>
      </c>
      <c r="D676" s="25">
        <v>59.7</v>
      </c>
      <c r="F676" s="4">
        <f t="shared" si="30"/>
        <v>1</v>
      </c>
      <c r="G676" s="4" t="str">
        <f t="shared" si="31"/>
        <v>WTI Crude</v>
      </c>
      <c r="H676" s="25">
        <f t="shared" si="32"/>
        <v>53.65</v>
      </c>
      <c r="I676" s="25">
        <v>1.569</v>
      </c>
      <c r="J676" s="88"/>
      <c r="K676" s="106">
        <f>Table1[[#This Row],[GasP]]-Table1[[#This Row],[Gasoline]]</f>
        <v>-1.569</v>
      </c>
    </row>
    <row r="677" spans="1:11">
      <c r="A677" s="15">
        <v>43781</v>
      </c>
      <c r="B677" s="25">
        <v>53.32</v>
      </c>
      <c r="C677" s="25">
        <v>62.82</v>
      </c>
      <c r="D677" s="25">
        <v>58.96</v>
      </c>
      <c r="F677" s="4">
        <f t="shared" si="30"/>
        <v>1</v>
      </c>
      <c r="G677" s="4" t="str">
        <f t="shared" si="31"/>
        <v>WTI Crude</v>
      </c>
      <c r="H677" s="25">
        <f t="shared" si="32"/>
        <v>53.32</v>
      </c>
      <c r="I677" s="25">
        <v>1.5637000000000001</v>
      </c>
      <c r="J677" s="88"/>
      <c r="K677" s="106">
        <f>Table1[[#This Row],[GasP]]-Table1[[#This Row],[Gasoline]]</f>
        <v>-1.5637000000000001</v>
      </c>
    </row>
    <row r="678" spans="1:11">
      <c r="A678" s="15">
        <v>43780</v>
      </c>
      <c r="B678" s="25">
        <v>53.47</v>
      </c>
      <c r="C678" s="25">
        <v>62.26</v>
      </c>
      <c r="D678" s="25">
        <v>59.42</v>
      </c>
      <c r="F678" s="4">
        <f t="shared" si="30"/>
        <v>1</v>
      </c>
      <c r="G678" s="4" t="str">
        <f t="shared" si="31"/>
        <v>WTI Crude</v>
      </c>
      <c r="H678" s="25">
        <f t="shared" si="32"/>
        <v>53.47</v>
      </c>
      <c r="I678" s="25">
        <v>1.5778000000000001</v>
      </c>
      <c r="J678" s="88"/>
      <c r="K678" s="106">
        <f>Table1[[#This Row],[GasP]]-Table1[[#This Row],[Gasoline]]</f>
        <v>-1.5778000000000001</v>
      </c>
    </row>
    <row r="679" spans="1:11">
      <c r="A679" s="15">
        <v>43777</v>
      </c>
      <c r="B679" s="25">
        <v>53.54</v>
      </c>
      <c r="C679" s="25">
        <v>61.98</v>
      </c>
      <c r="D679" s="25">
        <v>59.91</v>
      </c>
      <c r="F679" s="4">
        <f t="shared" si="30"/>
        <v>1</v>
      </c>
      <c r="G679" s="4" t="str">
        <f t="shared" si="31"/>
        <v>WTI Crude</v>
      </c>
      <c r="H679" s="25">
        <f t="shared" si="32"/>
        <v>53.54</v>
      </c>
      <c r="I679" s="25">
        <v>1.5819000000000001</v>
      </c>
      <c r="J679" s="88"/>
      <c r="K679" s="106">
        <f>Table1[[#This Row],[GasP]]-Table1[[#This Row],[Gasoline]]</f>
        <v>-1.5819000000000001</v>
      </c>
    </row>
    <row r="680" spans="1:11">
      <c r="A680" s="15">
        <v>43776</v>
      </c>
      <c r="B680" s="25">
        <v>53.26</v>
      </c>
      <c r="C680" s="25">
        <v>62.32</v>
      </c>
      <c r="D680" s="25">
        <v>59.42</v>
      </c>
      <c r="F680" s="4">
        <f t="shared" si="30"/>
        <v>1</v>
      </c>
      <c r="G680" s="4" t="str">
        <f t="shared" si="31"/>
        <v>WTI Crude</v>
      </c>
      <c r="H680" s="25">
        <f t="shared" si="32"/>
        <v>53.26</v>
      </c>
      <c r="I680" s="25">
        <v>1.5842000000000001</v>
      </c>
      <c r="J680" s="88"/>
      <c r="K680" s="106">
        <f>Table1[[#This Row],[GasP]]-Table1[[#This Row],[Gasoline]]</f>
        <v>-1.5842000000000001</v>
      </c>
    </row>
    <row r="681" spans="1:11">
      <c r="A681" s="15">
        <v>43775</v>
      </c>
      <c r="B681" s="25">
        <v>52.97</v>
      </c>
      <c r="C681" s="25">
        <v>62.39</v>
      </c>
      <c r="D681" s="25">
        <v>58.74</v>
      </c>
      <c r="F681" s="4">
        <f t="shared" si="30"/>
        <v>1</v>
      </c>
      <c r="G681" s="4" t="str">
        <f t="shared" si="31"/>
        <v>WTI Crude</v>
      </c>
      <c r="H681" s="25">
        <f t="shared" si="32"/>
        <v>52.97</v>
      </c>
      <c r="I681" s="25">
        <v>1.5704</v>
      </c>
      <c r="J681" s="88"/>
      <c r="K681" s="106">
        <f>Table1[[#This Row],[GasP]]-Table1[[#This Row],[Gasoline]]</f>
        <v>-1.5704</v>
      </c>
    </row>
    <row r="682" spans="1:11">
      <c r="A682" s="15">
        <v>43774</v>
      </c>
      <c r="B682" s="25">
        <v>53.41</v>
      </c>
      <c r="C682" s="25">
        <v>62.57</v>
      </c>
      <c r="D682" s="25">
        <v>59.35</v>
      </c>
      <c r="F682" s="4">
        <f t="shared" si="30"/>
        <v>1</v>
      </c>
      <c r="G682" s="4" t="str">
        <f t="shared" si="31"/>
        <v>WTI Crude</v>
      </c>
      <c r="H682" s="25">
        <f t="shared" si="32"/>
        <v>53.41</v>
      </c>
      <c r="I682" s="25">
        <v>1.5702</v>
      </c>
      <c r="J682" s="88"/>
      <c r="K682" s="106">
        <f>Table1[[#This Row],[GasP]]-Table1[[#This Row],[Gasoline]]</f>
        <v>-1.5702</v>
      </c>
    </row>
    <row r="683" spans="1:11">
      <c r="A683" s="15">
        <v>43773</v>
      </c>
      <c r="B683" s="25">
        <v>54.09</v>
      </c>
      <c r="C683" s="25">
        <v>62</v>
      </c>
      <c r="D683" s="25">
        <v>60.51</v>
      </c>
      <c r="F683" s="4">
        <f t="shared" si="30"/>
        <v>1</v>
      </c>
      <c r="G683" s="4" t="str">
        <f t="shared" si="31"/>
        <v>WTI Crude</v>
      </c>
      <c r="H683" s="25">
        <f t="shared" si="32"/>
        <v>54.09</v>
      </c>
      <c r="I683" s="25">
        <v>1.6388</v>
      </c>
      <c r="J683" s="88"/>
      <c r="K683" s="106">
        <f>Table1[[#This Row],[GasP]]-Table1[[#This Row],[Gasoline]]</f>
        <v>-1.6388</v>
      </c>
    </row>
    <row r="684" spans="1:11">
      <c r="A684" s="15">
        <v>43770</v>
      </c>
      <c r="B684" s="25">
        <v>53.32</v>
      </c>
      <c r="C684" s="25">
        <v>60.19</v>
      </c>
      <c r="D684" s="25">
        <v>59.1</v>
      </c>
      <c r="F684" s="4">
        <f t="shared" si="30"/>
        <v>1</v>
      </c>
      <c r="G684" s="4" t="str">
        <f t="shared" si="31"/>
        <v>WTI Crude</v>
      </c>
      <c r="H684" s="25">
        <f t="shared" si="32"/>
        <v>53.32</v>
      </c>
      <c r="I684" s="25">
        <v>1.6233</v>
      </c>
      <c r="J684" s="88"/>
      <c r="K684" s="106">
        <f>Table1[[#This Row],[GasP]]-Table1[[#This Row],[Gasoline]]</f>
        <v>-1.6233</v>
      </c>
    </row>
    <row r="685" spans="1:11">
      <c r="A685" s="15">
        <v>43769</v>
      </c>
      <c r="B685" s="25">
        <v>52.66</v>
      </c>
      <c r="C685" s="25">
        <v>60.52</v>
      </c>
      <c r="D685" s="25">
        <v>58.32</v>
      </c>
      <c r="F685" s="4">
        <f t="shared" si="30"/>
        <v>1</v>
      </c>
      <c r="G685" s="4" t="str">
        <f t="shared" si="31"/>
        <v>WTI Crude</v>
      </c>
      <c r="H685" s="25">
        <f t="shared" si="32"/>
        <v>52.66</v>
      </c>
      <c r="I685" s="25">
        <v>1.5871</v>
      </c>
      <c r="J685" s="88"/>
      <c r="K685" s="106">
        <f>Table1[[#This Row],[GasP]]-Table1[[#This Row],[Gasoline]]</f>
        <v>-1.5871</v>
      </c>
    </row>
    <row r="686" spans="1:11">
      <c r="B686" s="4">
        <v>52.68</v>
      </c>
      <c r="D686" s="4">
        <v>58.24</v>
      </c>
      <c r="I686" s="3">
        <v>1.5809</v>
      </c>
      <c r="J686" s="86"/>
      <c r="K686" s="106" t="e">
        <f>Table1[[#This Row],[GasP]]-Table1[[#This Row],[Gasoline]]</f>
        <v>#VALUE!</v>
      </c>
    </row>
    <row r="687" spans="1:11">
      <c r="B687" s="4">
        <v>52.76</v>
      </c>
      <c r="D687" s="4">
        <v>58.35</v>
      </c>
      <c r="I687" s="3">
        <v>1.5693999999999999</v>
      </c>
      <c r="J687" s="86"/>
      <c r="K687" s="106" t="e">
        <f>Table1[[#This Row],[GasP]]-Table1[[#This Row],[Gasoline]]</f>
        <v>#VALUE!</v>
      </c>
    </row>
    <row r="688" spans="1:11">
      <c r="B688" s="4">
        <v>52.8</v>
      </c>
      <c r="D688" s="4">
        <v>58.37</v>
      </c>
      <c r="I688" s="3">
        <v>1.5733999999999999</v>
      </c>
      <c r="J688" s="86"/>
      <c r="K688" s="106" t="e">
        <f>Table1[[#This Row],[GasP]]-Table1[[#This Row],[Gasoline]]</f>
        <v>#VALUE!</v>
      </c>
    </row>
    <row r="689" spans="2:11">
      <c r="B689" s="4">
        <v>52.48</v>
      </c>
      <c r="D689" s="4">
        <v>57.71</v>
      </c>
      <c r="I689" s="3">
        <v>1.5559000000000001</v>
      </c>
      <c r="J689" s="86"/>
      <c r="K689" s="106" t="e">
        <f>Table1[[#This Row],[GasP]]-Table1[[#This Row],[Gasoline]]</f>
        <v>#VALUE!</v>
      </c>
    </row>
    <row r="690" spans="2:11">
      <c r="B690" s="4">
        <v>52.64</v>
      </c>
      <c r="D690" s="4">
        <v>57.69</v>
      </c>
      <c r="I690" s="3">
        <v>1.5455000000000001</v>
      </c>
      <c r="J690" s="86"/>
      <c r="K690" s="106" t="e">
        <f>Table1[[#This Row],[GasP]]-Table1[[#This Row],[Gasoline]]</f>
        <v>#VALUE!</v>
      </c>
    </row>
    <row r="691" spans="2:11">
      <c r="B691" s="4">
        <v>53.58</v>
      </c>
      <c r="D691" s="4">
        <v>58.89</v>
      </c>
      <c r="I691" s="3">
        <v>1.5737000000000001</v>
      </c>
      <c r="J691" s="86"/>
      <c r="K691" s="106" t="e">
        <f>Table1[[#This Row],[GasP]]-Table1[[#This Row],[Gasoline]]</f>
        <v>#VALUE!</v>
      </c>
    </row>
    <row r="692" spans="2:11">
      <c r="B692" s="4">
        <v>56.97</v>
      </c>
      <c r="D692" s="4">
        <v>60.78</v>
      </c>
      <c r="I692" s="3">
        <v>1.5665</v>
      </c>
      <c r="J692" s="86"/>
      <c r="K692" s="106" t="e">
        <f>Table1[[#This Row],[GasP]]-Table1[[#This Row],[Gasoline]]</f>
        <v>#VALUE!</v>
      </c>
    </row>
    <row r="693" spans="2:11">
      <c r="B693" s="4">
        <v>57.06</v>
      </c>
      <c r="D693" s="4">
        <v>61.91</v>
      </c>
      <c r="I693" s="3">
        <v>1.6065</v>
      </c>
      <c r="J693" s="86"/>
      <c r="K693" s="106" t="e">
        <f>Table1[[#This Row],[GasP]]-Table1[[#This Row],[Gasoline]]</f>
        <v>#VALUE!</v>
      </c>
    </row>
    <row r="694" spans="2:11">
      <c r="B694" s="4">
        <v>57.11</v>
      </c>
      <c r="D694" s="4">
        <v>62.74</v>
      </c>
      <c r="I694" s="3">
        <v>1.6221000000000001</v>
      </c>
      <c r="J694" s="86"/>
      <c r="K694" s="106" t="e">
        <f>Table1[[#This Row],[GasP]]-Table1[[#This Row],[Gasoline]]</f>
        <v>#VALUE!</v>
      </c>
    </row>
    <row r="695" spans="2:11">
      <c r="B695" s="4">
        <v>57.12</v>
      </c>
      <c r="D695" s="4">
        <v>62.39</v>
      </c>
      <c r="I695" s="3">
        <v>1.6002000000000001</v>
      </c>
      <c r="J695" s="86"/>
      <c r="K695" s="106" t="e">
        <f>Table1[[#This Row],[GasP]]-Table1[[#This Row],[Gasoline]]</f>
        <v>#VALUE!</v>
      </c>
    </row>
    <row r="696" spans="2:11">
      <c r="B696" s="4">
        <v>57.28</v>
      </c>
      <c r="D696" s="4">
        <v>63.1</v>
      </c>
      <c r="I696" s="3">
        <v>1.6543000000000001</v>
      </c>
      <c r="J696" s="86"/>
      <c r="K696" s="106" t="e">
        <f>Table1[[#This Row],[GasP]]-Table1[[#This Row],[Gasoline]]</f>
        <v>#VALUE!</v>
      </c>
    </row>
    <row r="697" spans="2:11">
      <c r="B697" s="4">
        <v>57.62</v>
      </c>
      <c r="D697" s="4">
        <v>64.77</v>
      </c>
      <c r="I697" s="3">
        <v>1.6579999999999999</v>
      </c>
      <c r="J697" s="86"/>
      <c r="K697" s="106" t="e">
        <f>Table1[[#This Row],[GasP]]-Table1[[#This Row],[Gasoline]]</f>
        <v>#VALUE!</v>
      </c>
    </row>
    <row r="698" spans="2:11">
      <c r="B698" s="4">
        <v>57.45</v>
      </c>
      <c r="D698" s="4">
        <v>64.28</v>
      </c>
      <c r="I698" s="3">
        <v>1.6783999999999999</v>
      </c>
      <c r="J698" s="86"/>
      <c r="K698" s="106" t="e">
        <f>Table1[[#This Row],[GasP]]-Table1[[#This Row],[Gasoline]]</f>
        <v>#VALUE!</v>
      </c>
    </row>
    <row r="699" spans="2:11">
      <c r="B699" s="4">
        <v>57.49</v>
      </c>
      <c r="D699" s="4">
        <v>64.400000000000006</v>
      </c>
      <c r="I699" s="3">
        <v>1.6631</v>
      </c>
      <c r="J699" s="86"/>
      <c r="K699" s="106" t="e">
        <f>Table1[[#This Row],[GasP]]-Table1[[#This Row],[Gasoline]]</f>
        <v>#VALUE!</v>
      </c>
    </row>
    <row r="700" spans="2:11">
      <c r="B700" s="4">
        <v>57.44</v>
      </c>
      <c r="D700" s="4">
        <v>63.6</v>
      </c>
      <c r="I700" s="3">
        <v>1.6301000000000001</v>
      </c>
      <c r="J700" s="86"/>
      <c r="K700" s="106" t="e">
        <f>Table1[[#This Row],[GasP]]-Table1[[#This Row],[Gasoline]]</f>
        <v>#VALUE!</v>
      </c>
    </row>
    <row r="701" spans="2:11">
      <c r="B701" s="4">
        <v>57.94</v>
      </c>
      <c r="D701" s="4">
        <v>64.55</v>
      </c>
      <c r="I701" s="3">
        <v>1.6488</v>
      </c>
      <c r="J701" s="86"/>
      <c r="K701" s="106" t="e">
        <f>Table1[[#This Row],[GasP]]-Table1[[#This Row],[Gasoline]]</f>
        <v>#VALUE!</v>
      </c>
    </row>
    <row r="702" spans="2:11">
      <c r="B702" s="4">
        <v>59.72</v>
      </c>
      <c r="D702" s="4">
        <v>69.02</v>
      </c>
      <c r="I702" s="3">
        <v>1.7524</v>
      </c>
      <c r="J702" s="86"/>
    </row>
    <row r="703" spans="2:11">
      <c r="B703" s="4">
        <v>55.35</v>
      </c>
      <c r="D703" s="4">
        <v>60.22</v>
      </c>
      <c r="I703" s="3">
        <v>1.5530999999999999</v>
      </c>
      <c r="J703" s="86"/>
    </row>
    <row r="704" spans="2:11">
      <c r="B704" s="4">
        <v>55.5</v>
      </c>
      <c r="D704" s="4">
        <v>60.38</v>
      </c>
      <c r="I704" s="3">
        <v>1.5529999999999999</v>
      </c>
      <c r="J704" s="86"/>
    </row>
    <row r="705" spans="2:10">
      <c r="B705" s="4">
        <v>55.91</v>
      </c>
      <c r="D705" s="4">
        <v>60.81</v>
      </c>
      <c r="I705" s="3">
        <v>1.5699000000000001</v>
      </c>
      <c r="J705" s="86"/>
    </row>
    <row r="706" spans="2:10">
      <c r="B706" s="4">
        <v>57.06</v>
      </c>
      <c r="D706" s="4">
        <v>62.38</v>
      </c>
      <c r="I706" s="3">
        <v>1.5908</v>
      </c>
      <c r="J706" s="86"/>
    </row>
    <row r="707" spans="2:10">
      <c r="B707" s="4">
        <v>57.4</v>
      </c>
      <c r="D707" s="4">
        <v>62.59</v>
      </c>
      <c r="I707" s="3">
        <v>1.5846</v>
      </c>
      <c r="J707" s="86"/>
    </row>
    <row r="708" spans="2:10">
      <c r="B708" s="4">
        <v>56.34</v>
      </c>
      <c r="D708" s="4">
        <v>61.54</v>
      </c>
      <c r="I708" s="3">
        <v>1.5742</v>
      </c>
      <c r="J708" s="86"/>
    </row>
    <row r="709" spans="2:10">
      <c r="B709" s="4">
        <v>56.14</v>
      </c>
      <c r="D709" s="4">
        <v>60.95</v>
      </c>
      <c r="I709" s="3">
        <v>1.546</v>
      </c>
      <c r="J709" s="86"/>
    </row>
    <row r="710" spans="2:10">
      <c r="B710" s="4">
        <v>56.1</v>
      </c>
      <c r="D710" s="4">
        <v>60.7</v>
      </c>
      <c r="I710" s="3">
        <v>1.5328999999999999</v>
      </c>
      <c r="J710" s="86"/>
    </row>
    <row r="711" spans="2:10">
      <c r="B711" s="4">
        <v>53.89</v>
      </c>
      <c r="D711" s="4">
        <v>58.26</v>
      </c>
      <c r="I711" s="3">
        <v>1.4704999999999999</v>
      </c>
      <c r="J711" s="86"/>
    </row>
    <row r="712" spans="2:10">
      <c r="B712" s="4">
        <v>54.84</v>
      </c>
      <c r="D712" s="4">
        <v>60.37</v>
      </c>
      <c r="I712" s="3">
        <v>1.5276000000000001</v>
      </c>
      <c r="J712" s="86"/>
    </row>
    <row r="713" spans="2:10">
      <c r="B713" s="4">
        <v>54.92</v>
      </c>
      <c r="D713" s="4">
        <v>61.08</v>
      </c>
      <c r="I713" s="3">
        <v>1.5748</v>
      </c>
      <c r="J713" s="86"/>
    </row>
    <row r="714" spans="2:10">
      <c r="B714" s="4">
        <v>54.83</v>
      </c>
      <c r="D714" s="4">
        <v>60.49</v>
      </c>
      <c r="I714" s="3">
        <v>1.5648</v>
      </c>
      <c r="J714" s="86"/>
    </row>
    <row r="715" spans="2:10">
      <c r="B715" s="4">
        <v>54.72</v>
      </c>
      <c r="D715" s="4">
        <v>59.51</v>
      </c>
      <c r="I715" s="3">
        <v>1.5387</v>
      </c>
      <c r="J715" s="86"/>
    </row>
    <row r="716" spans="2:10">
      <c r="B716" s="4">
        <v>54.48</v>
      </c>
      <c r="D716" s="4">
        <v>58.7</v>
      </c>
      <c r="I716" s="3">
        <v>1.5079</v>
      </c>
      <c r="J716" s="86"/>
    </row>
    <row r="717" spans="2:10">
      <c r="B717" s="4">
        <v>54.6</v>
      </c>
      <c r="D717" s="4">
        <v>59.34</v>
      </c>
      <c r="I717" s="3">
        <v>1.5269999999999999</v>
      </c>
      <c r="J717" s="86"/>
    </row>
    <row r="718" spans="2:10">
      <c r="B718" s="4">
        <v>54.92</v>
      </c>
      <c r="D718" s="4">
        <v>59.92</v>
      </c>
      <c r="I718" s="3">
        <v>1.6675</v>
      </c>
      <c r="J718" s="86"/>
    </row>
    <row r="719" spans="2:10">
      <c r="B719" s="4">
        <v>55.03</v>
      </c>
      <c r="D719" s="4">
        <v>60.3</v>
      </c>
      <c r="I719" s="3">
        <v>1.5639000000000001</v>
      </c>
      <c r="J719" s="86"/>
    </row>
    <row r="720" spans="2:10">
      <c r="B720" s="4">
        <v>55.19</v>
      </c>
      <c r="D720" s="4">
        <v>60.03</v>
      </c>
      <c r="I720" s="3">
        <v>1.5482</v>
      </c>
      <c r="J720" s="86"/>
    </row>
    <row r="721" spans="2:10">
      <c r="B721" s="4">
        <v>55.19</v>
      </c>
      <c r="D721" s="4">
        <v>59.74</v>
      </c>
      <c r="I721" s="3">
        <v>1.5305</v>
      </c>
      <c r="J721" s="86"/>
    </row>
    <row r="722" spans="2:10">
      <c r="B722" s="4">
        <v>54.59</v>
      </c>
      <c r="D722" s="4">
        <v>58.64</v>
      </c>
      <c r="I722" s="3">
        <v>1.522</v>
      </c>
      <c r="J722" s="86"/>
    </row>
    <row r="723" spans="2:10">
      <c r="B723" s="4">
        <v>54.39</v>
      </c>
      <c r="D723" s="4">
        <v>58.23</v>
      </c>
      <c r="I723" s="3">
        <v>1.5068999999999999</v>
      </c>
      <c r="J723" s="86"/>
    </row>
    <row r="724" spans="2:10">
      <c r="B724" s="4">
        <v>54.83</v>
      </c>
      <c r="D724" s="4">
        <v>59.48</v>
      </c>
      <c r="I724" s="3">
        <v>1.5402</v>
      </c>
      <c r="J724" s="86"/>
    </row>
    <row r="725" spans="2:10">
      <c r="B725" s="4">
        <v>55.93</v>
      </c>
      <c r="D725" s="4">
        <v>61.3</v>
      </c>
      <c r="I725" s="3">
        <v>1.7363999999999999</v>
      </c>
      <c r="J725" s="86"/>
    </row>
    <row r="726" spans="2:10">
      <c r="B726" s="4">
        <v>54.52</v>
      </c>
      <c r="D726" s="4">
        <v>58.57</v>
      </c>
      <c r="I726" s="3">
        <v>1.6652</v>
      </c>
      <c r="J726" s="86"/>
    </row>
    <row r="727" spans="2:10">
      <c r="B727" s="4">
        <v>54.21</v>
      </c>
      <c r="D727" s="4">
        <v>58.53</v>
      </c>
      <c r="I727" s="3">
        <v>1.6739999999999999</v>
      </c>
      <c r="J727" s="86"/>
    </row>
    <row r="728" spans="2:10">
      <c r="B728" s="4">
        <v>52.8</v>
      </c>
      <c r="D728" s="4">
        <v>57.38</v>
      </c>
      <c r="I728" s="3">
        <v>1.6456999999999999</v>
      </c>
    </row>
    <row r="729" spans="2:10">
      <c r="B729" s="4">
        <v>51.69</v>
      </c>
      <c r="D729" s="4">
        <v>56.23</v>
      </c>
      <c r="I729" s="3">
        <v>1.6203000000000001</v>
      </c>
    </row>
    <row r="730" spans="2:10">
      <c r="B730" s="4">
        <v>53.77</v>
      </c>
      <c r="D730" s="4">
        <v>58.94</v>
      </c>
      <c r="I730" s="3">
        <v>1.6873</v>
      </c>
    </row>
    <row r="731" spans="2:10">
      <c r="B731" s="4">
        <v>54.66</v>
      </c>
      <c r="D731" s="4">
        <v>59.81</v>
      </c>
      <c r="I731" s="3">
        <v>1.718</v>
      </c>
    </row>
    <row r="732" spans="2:10">
      <c r="B732" s="4">
        <v>55.59</v>
      </c>
      <c r="D732" s="4">
        <v>61.89</v>
      </c>
      <c r="I732" s="3">
        <v>1.7815000000000001</v>
      </c>
    </row>
    <row r="733" spans="2:10">
      <c r="B733" s="4">
        <v>53.97</v>
      </c>
      <c r="D733" s="4">
        <v>60.5</v>
      </c>
      <c r="I733" s="3">
        <v>1.7499</v>
      </c>
    </row>
    <row r="734" spans="2:10">
      <c r="B734" s="4">
        <v>57.55</v>
      </c>
      <c r="D734" s="4">
        <v>65.17</v>
      </c>
      <c r="I734" s="3">
        <v>1.8628</v>
      </c>
    </row>
    <row r="735" spans="2:10">
      <c r="B735" s="4">
        <v>57.52</v>
      </c>
      <c r="D735" s="4">
        <v>64.72</v>
      </c>
      <c r="I735" s="3">
        <v>1.8460000000000001</v>
      </c>
    </row>
    <row r="736" spans="2:10">
      <c r="B736" s="4">
        <v>57.42</v>
      </c>
      <c r="D736" s="4">
        <v>63.71</v>
      </c>
      <c r="I736" s="3">
        <v>1.8152999999999999</v>
      </c>
    </row>
    <row r="737" spans="2:9">
      <c r="B737" s="4">
        <v>57.32</v>
      </c>
      <c r="D737" s="4">
        <v>63.46</v>
      </c>
      <c r="I737" s="3">
        <v>1.8224</v>
      </c>
    </row>
    <row r="738" spans="2:9">
      <c r="B738" s="4">
        <v>57.29</v>
      </c>
      <c r="D738" s="4">
        <v>63.39</v>
      </c>
      <c r="I738" s="3">
        <v>1.8253999999999999</v>
      </c>
    </row>
    <row r="739" spans="2:9">
      <c r="B739" s="4">
        <v>57.26</v>
      </c>
      <c r="D739" s="4">
        <v>63.18</v>
      </c>
      <c r="I739" s="3">
        <v>1.8043</v>
      </c>
    </row>
    <row r="740" spans="2:9">
      <c r="B740" s="4">
        <v>57.5</v>
      </c>
      <c r="D740" s="4">
        <v>63.83</v>
      </c>
      <c r="I740" s="3">
        <v>1.8140000000000001</v>
      </c>
    </row>
    <row r="741" spans="2:9">
      <c r="B741" s="4">
        <v>57.33</v>
      </c>
      <c r="D741" s="4">
        <v>63.26</v>
      </c>
      <c r="I741" s="3">
        <v>1.7882</v>
      </c>
    </row>
    <row r="742" spans="2:9">
      <c r="B742" s="4">
        <v>57.15</v>
      </c>
      <c r="D742" s="4">
        <v>62.47</v>
      </c>
      <c r="I742" s="3">
        <v>1.7951999999999999</v>
      </c>
    </row>
    <row r="743" spans="2:9">
      <c r="B743" s="4">
        <v>57.02</v>
      </c>
      <c r="D743" s="4">
        <v>61.93</v>
      </c>
      <c r="I743" s="3">
        <v>1.7862</v>
      </c>
    </row>
    <row r="744" spans="2:9">
      <c r="B744" s="4">
        <v>57.69</v>
      </c>
      <c r="D744" s="4">
        <v>63.66</v>
      </c>
      <c r="I744" s="3">
        <v>1.8787</v>
      </c>
    </row>
    <row r="745" spans="2:9">
      <c r="B745" s="4">
        <v>58.11</v>
      </c>
      <c r="D745" s="4">
        <v>64.349999999999994</v>
      </c>
      <c r="I745" s="3">
        <v>1.8448</v>
      </c>
    </row>
    <row r="746" spans="2:9">
      <c r="B746" s="4">
        <v>59.17</v>
      </c>
      <c r="D746" s="4">
        <v>66.48</v>
      </c>
      <c r="I746" s="3">
        <v>1.8867</v>
      </c>
    </row>
    <row r="747" spans="2:9">
      <c r="B747" s="4">
        <v>59.54</v>
      </c>
      <c r="D747" s="4">
        <v>66.72</v>
      </c>
      <c r="I747" s="3">
        <v>1.9260999999999999</v>
      </c>
    </row>
    <row r="748" spans="2:9">
      <c r="B748" s="4">
        <v>59.53</v>
      </c>
      <c r="D748" s="4">
        <v>66.52</v>
      </c>
      <c r="I748" s="3">
        <v>1.9895</v>
      </c>
    </row>
    <row r="749" spans="2:9">
      <c r="B749" s="4">
        <v>59.69</v>
      </c>
      <c r="D749" s="4">
        <v>67.010000000000005</v>
      </c>
      <c r="I749" s="3">
        <v>2.0051999999999999</v>
      </c>
    </row>
    <row r="750" spans="2:9">
      <c r="B750" s="4">
        <v>57.81</v>
      </c>
      <c r="D750" s="4">
        <v>64.16</v>
      </c>
      <c r="I750" s="3">
        <v>1.9269000000000001</v>
      </c>
    </row>
    <row r="751" spans="2:9">
      <c r="B751" s="4">
        <v>57.67</v>
      </c>
      <c r="D751" s="4">
        <v>64.11</v>
      </c>
      <c r="I751" s="3">
        <v>1.9013</v>
      </c>
    </row>
    <row r="752" spans="2:9">
      <c r="B752" s="4">
        <v>57.54</v>
      </c>
      <c r="D752" s="4">
        <v>64.23</v>
      </c>
      <c r="I752" s="3">
        <v>1.9295</v>
      </c>
    </row>
    <row r="753" spans="2:9">
      <c r="B753" s="4">
        <v>57.4</v>
      </c>
      <c r="D753" s="4">
        <v>63.82</v>
      </c>
      <c r="I753" s="3">
        <v>1.9167000000000001</v>
      </c>
    </row>
    <row r="754" spans="2:9">
      <c r="B754" s="4">
        <v>56.41</v>
      </c>
      <c r="D754" s="4">
        <v>62.4</v>
      </c>
      <c r="I754" s="3">
        <v>1.8703000000000001</v>
      </c>
    </row>
    <row r="755" spans="2:9">
      <c r="B755" s="4">
        <v>59.11</v>
      </c>
      <c r="D755" s="4">
        <v>65.06</v>
      </c>
      <c r="I755" s="3">
        <v>1.9305000000000001</v>
      </c>
    </row>
    <row r="756" spans="2:9">
      <c r="B756" s="4">
        <v>54.71</v>
      </c>
      <c r="D756" s="4">
        <v>64.739999999999995</v>
      </c>
      <c r="I756" s="3">
        <v>1.8966000000000001</v>
      </c>
    </row>
    <row r="757" spans="2:9">
      <c r="B757" s="4">
        <v>54.75</v>
      </c>
      <c r="D757" s="4">
        <v>66.55</v>
      </c>
      <c r="I757" s="3">
        <v>1.9149</v>
      </c>
    </row>
    <row r="758" spans="2:9">
      <c r="B758" s="4">
        <v>54.75</v>
      </c>
      <c r="D758" s="4">
        <v>66.489999999999995</v>
      </c>
      <c r="I758" s="3">
        <v>1.9703999999999999</v>
      </c>
    </row>
    <row r="759" spans="2:9">
      <c r="B759" s="4">
        <v>54.52</v>
      </c>
      <c r="D759" s="4">
        <v>65.05</v>
      </c>
      <c r="I759" s="3">
        <v>1.8435999999999999</v>
      </c>
    </row>
    <row r="760" spans="2:9">
      <c r="B760" s="4">
        <v>54.53</v>
      </c>
      <c r="D760" s="4">
        <v>64.86</v>
      </c>
      <c r="I760" s="3">
        <v>1.8171999999999999</v>
      </c>
    </row>
    <row r="761" spans="2:9">
      <c r="B761" s="4">
        <v>54.41</v>
      </c>
      <c r="D761" s="4">
        <v>65.2</v>
      </c>
      <c r="I761" s="3">
        <v>1.8161</v>
      </c>
    </row>
    <row r="762" spans="2:9">
      <c r="B762" s="4">
        <v>54.31</v>
      </c>
      <c r="D762" s="4">
        <v>64.45</v>
      </c>
      <c r="I762" s="3">
        <v>1.7622</v>
      </c>
    </row>
    <row r="763" spans="2:9">
      <c r="B763" s="4">
        <v>53.23</v>
      </c>
      <c r="D763" s="4">
        <v>61.82</v>
      </c>
      <c r="I763" s="3">
        <v>1.7096</v>
      </c>
    </row>
    <row r="764" spans="2:9">
      <c r="B764" s="4">
        <v>53.29</v>
      </c>
      <c r="D764" s="4">
        <v>62.14</v>
      </c>
      <c r="I764" s="3">
        <v>1.7</v>
      </c>
    </row>
    <row r="765" spans="2:9">
      <c r="B765" s="4">
        <v>52.41</v>
      </c>
      <c r="D765" s="4">
        <v>60.94</v>
      </c>
      <c r="I765" s="3">
        <v>1.6696</v>
      </c>
    </row>
    <row r="766" spans="2:9">
      <c r="B766" s="4">
        <v>52.71</v>
      </c>
      <c r="D766" s="4">
        <v>62.01</v>
      </c>
      <c r="I766" s="3">
        <v>1.7324999999999999</v>
      </c>
    </row>
    <row r="767" spans="2:9">
      <c r="B767" s="4">
        <v>52.58</v>
      </c>
      <c r="D767" s="4">
        <v>61.31</v>
      </c>
      <c r="I767" s="3">
        <v>1.7199</v>
      </c>
    </row>
    <row r="768" spans="2:9">
      <c r="B768" s="4">
        <v>51.89</v>
      </c>
      <c r="D768" s="4">
        <v>59.97</v>
      </c>
      <c r="I768" s="3">
        <v>1.6860999999999999</v>
      </c>
    </row>
    <row r="769" spans="2:9">
      <c r="B769" s="4">
        <v>53.28</v>
      </c>
      <c r="D769" s="4">
        <v>62.29</v>
      </c>
      <c r="I769" s="3">
        <v>1.7563</v>
      </c>
    </row>
    <row r="770" spans="2:9">
      <c r="B770" s="4">
        <v>53.26</v>
      </c>
      <c r="D770" s="4">
        <v>62.29</v>
      </c>
      <c r="I770" s="3">
        <v>1.7302999999999999</v>
      </c>
    </row>
    <row r="771" spans="2:9">
      <c r="B771" s="4">
        <v>53.79</v>
      </c>
      <c r="D771" s="4">
        <v>63.29</v>
      </c>
      <c r="I771" s="3">
        <v>1.7388999999999999</v>
      </c>
    </row>
    <row r="772" spans="2:9">
      <c r="B772" s="4">
        <v>52.66</v>
      </c>
      <c r="D772" s="4">
        <v>61.67</v>
      </c>
      <c r="I772" s="3">
        <v>1.7076</v>
      </c>
    </row>
    <row r="773" spans="2:9">
      <c r="B773" s="4">
        <v>51.89</v>
      </c>
      <c r="D773" s="4">
        <v>60.63</v>
      </c>
      <c r="I773" s="3">
        <v>1.6928000000000001</v>
      </c>
    </row>
    <row r="774" spans="2:9">
      <c r="B774" s="4">
        <v>53.51</v>
      </c>
      <c r="D774" s="4">
        <v>61.97</v>
      </c>
      <c r="I774" s="3">
        <v>1.7242</v>
      </c>
    </row>
    <row r="775" spans="2:9">
      <c r="B775" s="4">
        <v>53.29</v>
      </c>
      <c r="D775" s="4">
        <v>61.28</v>
      </c>
      <c r="I775" s="3">
        <v>1.7413000000000001</v>
      </c>
    </row>
    <row r="776" spans="2:9">
      <c r="B776" s="4">
        <v>60.87</v>
      </c>
      <c r="D776" s="4">
        <v>61.99</v>
      </c>
      <c r="I776" s="3">
        <v>1.7714000000000001</v>
      </c>
    </row>
    <row r="777" spans="2:9">
      <c r="B777" s="4">
        <v>61.01</v>
      </c>
      <c r="D777" s="4">
        <v>66.87</v>
      </c>
      <c r="I777" s="3">
        <v>1.8786</v>
      </c>
    </row>
    <row r="778" spans="2:9">
      <c r="B778" s="4">
        <v>61.21</v>
      </c>
      <c r="D778" s="4">
        <v>69.45</v>
      </c>
      <c r="I778" s="3">
        <v>1.9201999999999999</v>
      </c>
    </row>
    <row r="779" spans="2:9">
      <c r="B779" s="4">
        <v>61.25</v>
      </c>
      <c r="D779" s="4">
        <v>70.11</v>
      </c>
      <c r="I779" s="3">
        <v>1.9359999999999999</v>
      </c>
    </row>
    <row r="780" spans="2:9">
      <c r="B780" s="4">
        <v>61.16</v>
      </c>
      <c r="D780" s="4">
        <v>68.69</v>
      </c>
      <c r="I780" s="3">
        <v>1.9132</v>
      </c>
    </row>
    <row r="781" spans="2:9">
      <c r="B781" s="4">
        <v>61</v>
      </c>
      <c r="D781" s="4">
        <v>67.760000000000005</v>
      </c>
      <c r="I781" s="3">
        <v>1.891</v>
      </c>
    </row>
    <row r="782" spans="2:9">
      <c r="B782" s="4">
        <v>61.95</v>
      </c>
      <c r="D782" s="4">
        <v>70.989999999999995</v>
      </c>
      <c r="I782" s="3">
        <v>1.9675</v>
      </c>
    </row>
    <row r="783" spans="2:9">
      <c r="B783" s="4">
        <v>62.5</v>
      </c>
      <c r="D783" s="4">
        <v>72.180000000000007</v>
      </c>
      <c r="I783" s="3">
        <v>1.9973000000000001</v>
      </c>
    </row>
    <row r="784" spans="2:9">
      <c r="B784" s="4">
        <v>62.53</v>
      </c>
      <c r="D784" s="4">
        <v>71.97</v>
      </c>
      <c r="I784" s="3">
        <v>1.9849000000000001</v>
      </c>
    </row>
    <row r="785" spans="2:9">
      <c r="B785" s="4">
        <v>62.41</v>
      </c>
      <c r="D785" s="4">
        <v>72.209999999999994</v>
      </c>
      <c r="I785" s="3">
        <v>2.0182000000000002</v>
      </c>
    </row>
    <row r="786" spans="2:9">
      <c r="B786" s="4">
        <v>62.46</v>
      </c>
      <c r="D786" s="4">
        <v>72.62</v>
      </c>
      <c r="I786" s="3">
        <v>2.028</v>
      </c>
    </row>
    <row r="787" spans="2:9">
      <c r="B787" s="4">
        <v>62.05</v>
      </c>
      <c r="D787" s="4">
        <v>71.77</v>
      </c>
      <c r="I787" s="3">
        <v>1.9822</v>
      </c>
    </row>
    <row r="788" spans="2:9">
      <c r="B788" s="4">
        <v>61.91</v>
      </c>
      <c r="D788" s="4">
        <v>71.239999999999995</v>
      </c>
      <c r="I788" s="3">
        <v>1.95</v>
      </c>
    </row>
    <row r="789" spans="2:9">
      <c r="B789" s="4">
        <v>61.47</v>
      </c>
      <c r="D789" s="4">
        <v>70.23</v>
      </c>
      <c r="I789" s="3">
        <v>1.9333</v>
      </c>
    </row>
    <row r="790" spans="2:9">
      <c r="B790" s="4">
        <v>61.85</v>
      </c>
      <c r="D790" s="4">
        <v>70.62</v>
      </c>
      <c r="I790" s="3">
        <v>1.9891000000000001</v>
      </c>
    </row>
    <row r="791" spans="2:9">
      <c r="B791" s="4">
        <v>61.87</v>
      </c>
      <c r="D791" s="4">
        <v>70.39</v>
      </c>
      <c r="I791" s="3">
        <v>1.9754</v>
      </c>
    </row>
    <row r="792" spans="2:9">
      <c r="B792" s="4">
        <v>62.17</v>
      </c>
      <c r="D792" s="4">
        <v>70.37</v>
      </c>
      <c r="I792" s="3">
        <v>1.9750000000000001</v>
      </c>
    </row>
    <row r="793" spans="2:9">
      <c r="B793" s="4">
        <v>61.62</v>
      </c>
      <c r="D793" s="4">
        <v>69.88</v>
      </c>
      <c r="I793" s="3">
        <v>1.9487000000000001</v>
      </c>
    </row>
    <row r="794" spans="2:9">
      <c r="B794" s="4">
        <v>62.32</v>
      </c>
      <c r="D794" s="4">
        <v>71.239999999999995</v>
      </c>
      <c r="I794" s="3">
        <v>1.9965999999999999</v>
      </c>
    </row>
    <row r="795" spans="2:9">
      <c r="B795" s="4">
        <v>62.04</v>
      </c>
      <c r="D795" s="4">
        <v>70.849999999999994</v>
      </c>
      <c r="I795" s="3">
        <v>2.0265</v>
      </c>
    </row>
    <row r="796" spans="2:9">
      <c r="B796" s="4">
        <v>61.92</v>
      </c>
      <c r="D796" s="4">
        <v>70.75</v>
      </c>
      <c r="I796" s="3">
        <v>2.0183</v>
      </c>
    </row>
    <row r="797" spans="2:9">
      <c r="B797" s="4">
        <v>63.63</v>
      </c>
      <c r="D797" s="4">
        <v>72.180000000000007</v>
      </c>
      <c r="I797" s="3">
        <v>2.0642</v>
      </c>
    </row>
    <row r="798" spans="2:9">
      <c r="B798" s="4">
        <v>63.87</v>
      </c>
      <c r="D798" s="4">
        <v>72.8</v>
      </c>
      <c r="I798" s="3">
        <v>2.1232000000000002</v>
      </c>
    </row>
    <row r="799" spans="2:9">
      <c r="B799" s="4">
        <v>63.85</v>
      </c>
      <c r="D799" s="4">
        <v>72.040000000000006</v>
      </c>
      <c r="I799" s="3">
        <v>2.0293999999999999</v>
      </c>
    </row>
    <row r="800" spans="2:9">
      <c r="B800" s="4">
        <v>63.83</v>
      </c>
      <c r="D800" s="4">
        <v>72.150000000000006</v>
      </c>
      <c r="I800" s="3">
        <v>2.0463</v>
      </c>
    </row>
    <row r="801" spans="2:9">
      <c r="B801" s="4">
        <v>64.11</v>
      </c>
      <c r="D801" s="4">
        <v>74.349999999999994</v>
      </c>
      <c r="I801" s="3">
        <v>2.0781999999999998</v>
      </c>
    </row>
    <row r="802" spans="2:9">
      <c r="B802" s="4">
        <v>64.23</v>
      </c>
      <c r="D802" s="4">
        <v>74.569999999999993</v>
      </c>
      <c r="I802" s="3">
        <v>2.0746000000000002</v>
      </c>
    </row>
    <row r="803" spans="2:9">
      <c r="B803" s="4">
        <v>64.33</v>
      </c>
      <c r="D803" s="4">
        <v>74.510000000000005</v>
      </c>
      <c r="I803" s="3">
        <v>2.0819999999999999</v>
      </c>
    </row>
    <row r="804" spans="2:9">
      <c r="B804" s="4">
        <v>64.12</v>
      </c>
      <c r="D804" s="4">
        <v>74.040000000000006</v>
      </c>
      <c r="I804" s="3">
        <v>2.0764999999999998</v>
      </c>
    </row>
    <row r="805" spans="2:9">
      <c r="B805" s="4">
        <v>63.61</v>
      </c>
      <c r="D805" s="4">
        <v>71.97</v>
      </c>
      <c r="I805" s="3">
        <v>2.0325000000000002</v>
      </c>
    </row>
    <row r="806" spans="2:9">
      <c r="B806" s="4">
        <v>63.53</v>
      </c>
      <c r="D806" s="4">
        <v>71.62</v>
      </c>
      <c r="I806" s="3">
        <v>2.0110999999999999</v>
      </c>
    </row>
    <row r="807" spans="2:9">
      <c r="B807" s="4">
        <v>63.67</v>
      </c>
      <c r="D807" s="4">
        <v>71.72</v>
      </c>
      <c r="I807" s="3">
        <v>2.0081000000000002</v>
      </c>
    </row>
    <row r="808" spans="2:9">
      <c r="B808" s="4">
        <v>63.36</v>
      </c>
      <c r="D808" s="4">
        <v>71.180000000000007</v>
      </c>
      <c r="I808" s="3">
        <v>1.9911000000000001</v>
      </c>
    </row>
    <row r="809" spans="2:9">
      <c r="B809" s="4">
        <v>63.61</v>
      </c>
      <c r="D809" s="4">
        <v>71.55</v>
      </c>
      <c r="I809" s="3">
        <v>2.0123000000000002</v>
      </c>
    </row>
    <row r="810" spans="2:9">
      <c r="B810" s="4">
        <v>63.42</v>
      </c>
      <c r="D810" s="4">
        <v>70.83</v>
      </c>
      <c r="I810" s="3">
        <v>2.0022000000000002</v>
      </c>
    </row>
    <row r="811" spans="2:9">
      <c r="B811" s="4">
        <v>64.05</v>
      </c>
      <c r="D811" s="4">
        <v>71.73</v>
      </c>
      <c r="I811" s="3">
        <v>2.0691999999999999</v>
      </c>
    </row>
    <row r="812" spans="2:9">
      <c r="B812" s="4">
        <v>63.61</v>
      </c>
      <c r="D812" s="4">
        <v>70.61</v>
      </c>
      <c r="I812" s="3">
        <v>1.9990000000000001</v>
      </c>
    </row>
    <row r="813" spans="2:9">
      <c r="B813" s="4">
        <v>63.89</v>
      </c>
      <c r="D813" s="4">
        <v>71.099999999999994</v>
      </c>
      <c r="I813" s="3">
        <v>1.988</v>
      </c>
    </row>
    <row r="814" spans="2:9">
      <c r="B814" s="4">
        <v>62.93</v>
      </c>
      <c r="D814" s="4">
        <v>70.34</v>
      </c>
      <c r="I814" s="3">
        <v>1.9686999999999999</v>
      </c>
    </row>
    <row r="815" spans="2:9">
      <c r="B815" s="4">
        <v>62.14</v>
      </c>
      <c r="D815" s="4">
        <v>69.400000000000006</v>
      </c>
      <c r="I815" s="3">
        <v>1.9399</v>
      </c>
    </row>
    <row r="816" spans="2:9">
      <c r="B816" s="4">
        <v>62.44</v>
      </c>
      <c r="D816" s="4">
        <v>69.31</v>
      </c>
      <c r="I816" s="3">
        <v>1.9512</v>
      </c>
    </row>
    <row r="817" spans="2:9">
      <c r="B817" s="4">
        <v>62.54</v>
      </c>
      <c r="D817" s="4">
        <v>69.37</v>
      </c>
      <c r="I817" s="3">
        <v>1.9285000000000001</v>
      </c>
    </row>
    <row r="818" spans="2:9">
      <c r="B818" s="4">
        <v>61.62</v>
      </c>
      <c r="D818" s="4">
        <v>69.010000000000005</v>
      </c>
      <c r="I818" s="3">
        <v>1.8989</v>
      </c>
    </row>
    <row r="819" spans="2:9">
      <c r="B819" s="4">
        <v>58.17</v>
      </c>
      <c r="D819" s="4">
        <v>67.58</v>
      </c>
      <c r="I819" s="3">
        <v>1.8825000000000001</v>
      </c>
    </row>
    <row r="820" spans="2:9">
      <c r="B820" s="4">
        <v>58.13</v>
      </c>
      <c r="D820" s="4">
        <v>67.819999999999993</v>
      </c>
      <c r="I820" s="3">
        <v>1.8638999999999999</v>
      </c>
    </row>
    <row r="821" spans="2:9">
      <c r="B821" s="4">
        <v>58.14</v>
      </c>
      <c r="D821" s="4">
        <v>67.83</v>
      </c>
      <c r="I821" s="3">
        <v>1.8733</v>
      </c>
    </row>
    <row r="822" spans="2:9">
      <c r="B822" s="4">
        <v>58.21</v>
      </c>
      <c r="D822" s="4">
        <v>67.97</v>
      </c>
      <c r="I822" s="3">
        <v>1.9059999999999999</v>
      </c>
    </row>
    <row r="823" spans="2:9">
      <c r="B823" s="4">
        <v>58</v>
      </c>
      <c r="D823" s="4">
        <v>67.209999999999994</v>
      </c>
      <c r="I823" s="3">
        <v>1.8893</v>
      </c>
    </row>
    <row r="824" spans="2:9">
      <c r="B824" s="4">
        <v>58.05</v>
      </c>
      <c r="D824" s="4">
        <v>67.03</v>
      </c>
      <c r="I824" s="3">
        <v>1.8900999999999999</v>
      </c>
    </row>
    <row r="825" spans="2:9">
      <c r="B825" s="4">
        <v>58.32</v>
      </c>
      <c r="D825" s="4">
        <v>67.86</v>
      </c>
      <c r="I825" s="3">
        <v>1.8940999999999999</v>
      </c>
    </row>
    <row r="826" spans="2:9">
      <c r="B826" s="4">
        <v>58.41</v>
      </c>
      <c r="D826" s="4">
        <v>68.5</v>
      </c>
      <c r="I826" s="3">
        <v>1.9166000000000001</v>
      </c>
    </row>
    <row r="827" spans="2:9">
      <c r="B827" s="4">
        <v>58.05</v>
      </c>
      <c r="D827" s="4">
        <v>67.61</v>
      </c>
      <c r="I827" s="3">
        <v>1.8746</v>
      </c>
    </row>
    <row r="828" spans="2:9">
      <c r="B828" s="4">
        <v>58.09</v>
      </c>
      <c r="D828" s="4">
        <v>67.540000000000006</v>
      </c>
      <c r="I828" s="3">
        <v>1.8663000000000001</v>
      </c>
    </row>
    <row r="829" spans="2:9">
      <c r="B829" s="4">
        <v>57.82</v>
      </c>
      <c r="D829" s="4">
        <v>67.16</v>
      </c>
      <c r="I829" s="3">
        <v>1.8453999999999999</v>
      </c>
    </row>
    <row r="830" spans="2:9">
      <c r="B830" s="4">
        <v>57.87</v>
      </c>
      <c r="D830" s="4">
        <v>67.23</v>
      </c>
      <c r="I830" s="3">
        <v>1.8494999999999999</v>
      </c>
    </row>
    <row r="831" spans="2:9">
      <c r="B831" s="4">
        <v>57.68</v>
      </c>
      <c r="D831" s="4">
        <v>67.55</v>
      </c>
      <c r="I831" s="3">
        <v>1.8488</v>
      </c>
    </row>
    <row r="832" spans="2:9">
      <c r="B832" s="4">
        <v>56.82</v>
      </c>
      <c r="D832" s="4">
        <v>66.67</v>
      </c>
      <c r="I832" s="3">
        <v>1.8154999999999999</v>
      </c>
    </row>
    <row r="833" spans="2:9">
      <c r="B833" s="4">
        <v>56.76</v>
      </c>
      <c r="D833" s="4">
        <v>66.58</v>
      </c>
      <c r="I833" s="3">
        <v>1.8260000000000001</v>
      </c>
    </row>
    <row r="834" spans="2:9">
      <c r="B834" s="4">
        <v>56.26</v>
      </c>
      <c r="D834" s="4">
        <v>65.739999999999995</v>
      </c>
      <c r="I834" s="3">
        <v>1.8017000000000001</v>
      </c>
    </row>
    <row r="835" spans="2:9">
      <c r="B835" s="4">
        <v>56.71</v>
      </c>
      <c r="D835" s="4">
        <v>66.3</v>
      </c>
      <c r="I835" s="3">
        <v>1.8053999999999999</v>
      </c>
    </row>
    <row r="836" spans="2:9">
      <c r="B836" s="4">
        <v>56.37</v>
      </c>
      <c r="D836" s="4">
        <v>65.989999999999995</v>
      </c>
      <c r="I836" s="3">
        <v>1.7889999999999999</v>
      </c>
    </row>
    <row r="837" spans="2:9">
      <c r="B837" s="4">
        <v>56.65</v>
      </c>
      <c r="D837" s="4">
        <v>65.86</v>
      </c>
      <c r="I837" s="3">
        <v>1.7674000000000001</v>
      </c>
    </row>
    <row r="838" spans="2:9">
      <c r="B838" s="4">
        <v>56.68</v>
      </c>
      <c r="D838" s="4">
        <v>65.67</v>
      </c>
      <c r="I838" s="3">
        <v>1.7490000000000001</v>
      </c>
    </row>
    <row r="839" spans="2:9">
      <c r="B839" s="4">
        <v>55.93</v>
      </c>
      <c r="D839" s="4">
        <v>65.069999999999993</v>
      </c>
      <c r="I839" s="3">
        <v>1.7302999999999999</v>
      </c>
    </row>
    <row r="840" spans="2:9">
      <c r="B840" s="4">
        <v>54.98</v>
      </c>
      <c r="D840" s="4">
        <v>66.03</v>
      </c>
      <c r="I840" s="3">
        <v>1.7523</v>
      </c>
    </row>
    <row r="841" spans="2:9">
      <c r="B841" s="4">
        <v>54.97</v>
      </c>
      <c r="D841" s="4">
        <v>66.39</v>
      </c>
      <c r="I841" s="3">
        <v>1.6339999999999999</v>
      </c>
    </row>
    <row r="842" spans="2:9">
      <c r="B842" s="4">
        <v>54.81</v>
      </c>
      <c r="D842" s="4">
        <v>65.209999999999994</v>
      </c>
      <c r="I842" s="3">
        <v>1.7242999999999999</v>
      </c>
    </row>
    <row r="843" spans="2:9">
      <c r="B843" s="4">
        <v>54.81</v>
      </c>
      <c r="D843" s="4">
        <v>64.760000000000005</v>
      </c>
      <c r="I843" s="3">
        <v>1.7037</v>
      </c>
    </row>
    <row r="844" spans="2:9">
      <c r="B844" s="4">
        <v>55.19</v>
      </c>
      <c r="D844" s="4">
        <v>67.12</v>
      </c>
      <c r="I844" s="3">
        <v>1.7668999999999999</v>
      </c>
    </row>
    <row r="845" spans="2:9">
      <c r="B845" s="4">
        <v>55.11</v>
      </c>
      <c r="D845" s="4">
        <v>67.069999999999993</v>
      </c>
      <c r="I845" s="3">
        <v>1.7678</v>
      </c>
    </row>
    <row r="846" spans="2:9">
      <c r="B846" s="4">
        <v>55.17</v>
      </c>
      <c r="D846" s="4">
        <v>67.08</v>
      </c>
      <c r="I846" s="3">
        <v>1.7644</v>
      </c>
    </row>
    <row r="847" spans="2:9">
      <c r="B847" s="4">
        <v>54.9</v>
      </c>
      <c r="D847" s="4">
        <v>66.45</v>
      </c>
      <c r="I847" s="3">
        <v>1.7359</v>
      </c>
    </row>
    <row r="848" spans="2:9">
      <c r="B848" s="4">
        <v>54.7</v>
      </c>
      <c r="D848" s="4">
        <v>66.25</v>
      </c>
      <c r="I848" s="3">
        <v>1.7382</v>
      </c>
    </row>
    <row r="849" spans="2:9">
      <c r="B849" s="4">
        <v>54.14</v>
      </c>
      <c r="D849" s="4">
        <v>64.569999999999993</v>
      </c>
      <c r="I849" s="3">
        <v>1.6838</v>
      </c>
    </row>
    <row r="850" spans="2:9">
      <c r="B850" s="4">
        <v>53.88</v>
      </c>
      <c r="D850" s="4">
        <v>63.61</v>
      </c>
      <c r="I850" s="3">
        <v>1.4651000000000001</v>
      </c>
    </row>
    <row r="851" spans="2:9">
      <c r="B851" s="4">
        <v>53.4</v>
      </c>
      <c r="D851" s="4">
        <v>62.42</v>
      </c>
      <c r="I851" s="3">
        <v>1.4272</v>
      </c>
    </row>
    <row r="852" spans="2:9">
      <c r="B852" s="4">
        <v>52.97</v>
      </c>
      <c r="D852" s="4">
        <v>61.51</v>
      </c>
      <c r="I852" s="3">
        <v>1.4192</v>
      </c>
    </row>
    <row r="853" spans="2:9">
      <c r="B853" s="4">
        <v>53.18</v>
      </c>
      <c r="D853" s="4">
        <v>62.1</v>
      </c>
      <c r="I853" s="3">
        <v>1.4463999999999999</v>
      </c>
    </row>
    <row r="854" spans="2:9">
      <c r="B854" s="4">
        <v>53.12</v>
      </c>
      <c r="D854" s="4">
        <v>61.63</v>
      </c>
      <c r="I854" s="3">
        <v>1.4258</v>
      </c>
    </row>
    <row r="855" spans="2:9">
      <c r="B855" s="4">
        <v>54.19</v>
      </c>
      <c r="D855" s="4">
        <v>62.69</v>
      </c>
      <c r="I855" s="3">
        <v>1.4591000000000001</v>
      </c>
    </row>
    <row r="856" spans="2:9">
      <c r="B856" s="4">
        <v>53.9</v>
      </c>
      <c r="D856" s="4">
        <v>61.98</v>
      </c>
      <c r="I856" s="3">
        <v>1.4258999999999999</v>
      </c>
    </row>
    <row r="857" spans="2:9">
      <c r="B857" s="4">
        <v>54.7</v>
      </c>
      <c r="D857" s="4">
        <v>62.51</v>
      </c>
      <c r="I857" s="3">
        <v>1.4322999999999999</v>
      </c>
    </row>
    <row r="858" spans="2:9">
      <c r="B858" s="4">
        <v>55.35</v>
      </c>
      <c r="D858" s="4">
        <v>62.75</v>
      </c>
      <c r="I858" s="3">
        <v>1.4369000000000001</v>
      </c>
    </row>
    <row r="859" spans="2:9">
      <c r="B859" s="4">
        <v>51.55</v>
      </c>
      <c r="D859" s="4">
        <v>61.89</v>
      </c>
      <c r="I859" s="3">
        <v>1.3775999999999999</v>
      </c>
    </row>
    <row r="860" spans="2:9">
      <c r="B860" s="4">
        <v>51.57</v>
      </c>
      <c r="D860" s="4">
        <v>61.65</v>
      </c>
      <c r="I860" s="3">
        <v>1.4026000000000001</v>
      </c>
    </row>
    <row r="861" spans="2:9">
      <c r="B861" s="4">
        <v>51.48</v>
      </c>
      <c r="D861" s="4">
        <v>61.32</v>
      </c>
      <c r="I861" s="3">
        <v>1.3722000000000001</v>
      </c>
    </row>
    <row r="862" spans="2:9">
      <c r="B862" s="4">
        <v>51.3</v>
      </c>
      <c r="D862" s="4">
        <v>59.93</v>
      </c>
      <c r="I862" s="3">
        <v>1.3517999999999999</v>
      </c>
    </row>
    <row r="863" spans="2:9">
      <c r="B863" s="4">
        <v>51.62</v>
      </c>
      <c r="D863" s="4">
        <v>61.64</v>
      </c>
      <c r="I863" s="3">
        <v>1.4047000000000001</v>
      </c>
    </row>
    <row r="864" spans="2:9">
      <c r="B864" s="4">
        <v>51.49</v>
      </c>
      <c r="D864" s="4">
        <v>61.09</v>
      </c>
      <c r="I864" s="3">
        <v>1.4035</v>
      </c>
    </row>
    <row r="865" spans="2:9">
      <c r="B865" s="4">
        <v>51.34</v>
      </c>
      <c r="D865" s="4">
        <v>61.14</v>
      </c>
      <c r="I865" s="3">
        <v>1.4016999999999999</v>
      </c>
    </row>
    <row r="866" spans="2:9">
      <c r="B866" s="4">
        <v>51.47</v>
      </c>
      <c r="D866" s="4">
        <v>61.5</v>
      </c>
      <c r="I866" s="3">
        <v>1.4157999999999999</v>
      </c>
    </row>
    <row r="867" spans="2:9">
      <c r="B867" s="4">
        <v>51.87</v>
      </c>
      <c r="D867" s="4">
        <v>62.7</v>
      </c>
      <c r="I867" s="3">
        <v>1.4658</v>
      </c>
    </row>
    <row r="868" spans="2:9">
      <c r="B868" s="4">
        <v>51.15</v>
      </c>
      <c r="D868" s="4">
        <v>61.18</v>
      </c>
      <c r="I868" s="3">
        <v>1.4432</v>
      </c>
    </row>
    <row r="869" spans="2:9">
      <c r="B869" s="4">
        <v>51.26</v>
      </c>
      <c r="D869" s="4">
        <v>61.32</v>
      </c>
      <c r="I869" s="3">
        <v>1.4328000000000001</v>
      </c>
    </row>
    <row r="870" spans="2:9">
      <c r="B870" s="4">
        <v>51.15</v>
      </c>
      <c r="D870" s="4">
        <v>60.64</v>
      </c>
      <c r="I870" s="3">
        <v>1.4273</v>
      </c>
    </row>
    <row r="871" spans="2:9">
      <c r="B871" s="4">
        <v>50.24</v>
      </c>
      <c r="D871" s="4">
        <v>58.99</v>
      </c>
      <c r="I871" s="3">
        <v>1.3637999999999999</v>
      </c>
    </row>
    <row r="872" spans="2:9">
      <c r="B872" s="4">
        <v>50.92</v>
      </c>
      <c r="D872" s="4">
        <v>60.48</v>
      </c>
      <c r="I872" s="3">
        <v>1.4007000000000001</v>
      </c>
    </row>
    <row r="873" spans="2:9">
      <c r="B873" s="4">
        <v>51.59</v>
      </c>
      <c r="D873" s="4">
        <v>61.68</v>
      </c>
      <c r="I873" s="3">
        <v>1.4307000000000001</v>
      </c>
    </row>
    <row r="874" spans="2:9">
      <c r="B874" s="4">
        <v>51.43</v>
      </c>
      <c r="D874" s="4">
        <v>61.44</v>
      </c>
      <c r="I874" s="3">
        <v>1.4254</v>
      </c>
    </row>
    <row r="875" spans="2:9">
      <c r="B875" s="4">
        <v>49.46</v>
      </c>
      <c r="D875" s="4">
        <v>58.72</v>
      </c>
      <c r="I875" s="3">
        <v>1.3626</v>
      </c>
    </row>
    <row r="876" spans="2:9">
      <c r="B876" s="4">
        <v>48.43</v>
      </c>
      <c r="D876" s="4">
        <v>57.33</v>
      </c>
      <c r="I876" s="3">
        <v>1.3408</v>
      </c>
    </row>
    <row r="877" spans="2:9">
      <c r="B877" s="4">
        <v>47.96</v>
      </c>
      <c r="D877" s="4">
        <v>57.06</v>
      </c>
      <c r="I877" s="3">
        <v>1.3478000000000001</v>
      </c>
    </row>
    <row r="878" spans="2:9">
      <c r="B878" s="4">
        <v>47.17</v>
      </c>
      <c r="D878" s="4">
        <v>55.95</v>
      </c>
      <c r="I878" s="3">
        <v>1.3494999999999999</v>
      </c>
    </row>
    <row r="879" spans="2:9">
      <c r="B879" s="4">
        <v>46.65</v>
      </c>
      <c r="D879" s="4">
        <v>54.91</v>
      </c>
      <c r="I879" s="3">
        <v>1.3255999999999999</v>
      </c>
    </row>
    <row r="880" spans="2:9">
      <c r="B880" s="4">
        <v>45.51</v>
      </c>
      <c r="D880" s="4">
        <v>53.8</v>
      </c>
      <c r="I880" s="3">
        <v>1.3021</v>
      </c>
    </row>
    <row r="881" spans="2:9">
      <c r="B881" s="4">
        <v>48.98</v>
      </c>
      <c r="D881" s="4">
        <v>53.21</v>
      </c>
      <c r="I881" s="3">
        <v>1.3013999999999999</v>
      </c>
    </row>
    <row r="882" spans="2:9">
      <c r="B882" s="4">
        <v>48.91</v>
      </c>
      <c r="D882" s="4">
        <v>52.16</v>
      </c>
      <c r="I882" s="3">
        <v>1.2849999999999999</v>
      </c>
    </row>
    <row r="883" spans="2:9">
      <c r="B883" s="4">
        <v>49.15</v>
      </c>
      <c r="D883" s="4">
        <v>54.47</v>
      </c>
      <c r="I883" s="3">
        <v>1.3199000000000001</v>
      </c>
    </row>
    <row r="884" spans="2:9">
      <c r="B884" s="4">
        <v>48.41</v>
      </c>
      <c r="D884" s="4">
        <v>50.47</v>
      </c>
      <c r="I884" s="3">
        <v>1.2388999999999999</v>
      </c>
    </row>
    <row r="885" spans="2:9">
      <c r="B885" s="4">
        <v>49.18</v>
      </c>
      <c r="D885" s="4">
        <v>53.82</v>
      </c>
      <c r="I885" s="3">
        <v>1.3061</v>
      </c>
    </row>
    <row r="886" spans="2:9">
      <c r="B886" s="4">
        <v>49.26</v>
      </c>
      <c r="D886" s="4">
        <v>54.35</v>
      </c>
      <c r="I886" s="3">
        <v>1.3079000000000001</v>
      </c>
    </row>
    <row r="887" spans="2:9">
      <c r="B887" s="4">
        <v>50.06</v>
      </c>
      <c r="D887" s="4">
        <v>57.24</v>
      </c>
      <c r="I887" s="3">
        <v>1.3731</v>
      </c>
    </row>
    <row r="888" spans="2:9">
      <c r="B888" s="4">
        <v>49.47</v>
      </c>
      <c r="D888" s="4">
        <v>56.26</v>
      </c>
      <c r="I888" s="3">
        <v>1.3455999999999999</v>
      </c>
    </row>
    <row r="889" spans="2:9">
      <c r="B889" s="4">
        <v>51.09</v>
      </c>
      <c r="D889" s="4">
        <v>59.61</v>
      </c>
      <c r="I889" s="3">
        <v>1.4128000000000001</v>
      </c>
    </row>
    <row r="890" spans="2:9">
      <c r="B890" s="4">
        <v>51.73</v>
      </c>
      <c r="D890" s="4">
        <v>60.28</v>
      </c>
      <c r="I890" s="3">
        <v>1.4380999999999999</v>
      </c>
    </row>
    <row r="891" spans="2:9">
      <c r="B891" s="4">
        <v>52.49</v>
      </c>
      <c r="D891" s="4">
        <v>61.45</v>
      </c>
      <c r="I891" s="3">
        <v>1.4782</v>
      </c>
    </row>
    <row r="892" spans="2:9">
      <c r="B892" s="4">
        <v>51.61</v>
      </c>
      <c r="D892" s="4">
        <v>60.15</v>
      </c>
      <c r="I892" s="3">
        <v>1.4204000000000001</v>
      </c>
    </row>
    <row r="893" spans="2:9">
      <c r="B893" s="4">
        <v>51.93</v>
      </c>
      <c r="D893" s="4">
        <v>60.2</v>
      </c>
      <c r="I893" s="3">
        <v>1.4398</v>
      </c>
    </row>
    <row r="894" spans="2:9">
      <c r="B894" s="4">
        <v>51.48</v>
      </c>
      <c r="D894" s="4">
        <v>59.97</v>
      </c>
      <c r="I894" s="3">
        <v>1.4189000000000001</v>
      </c>
    </row>
    <row r="895" spans="2:9">
      <c r="B895" s="4">
        <v>52.69</v>
      </c>
      <c r="D895" s="4">
        <v>61.67</v>
      </c>
      <c r="I895" s="3">
        <v>1.4858</v>
      </c>
    </row>
    <row r="896" spans="2:9">
      <c r="B896" s="4">
        <v>51.79</v>
      </c>
      <c r="D896" s="4">
        <v>60.06</v>
      </c>
      <c r="I896" s="3">
        <v>1.4334</v>
      </c>
    </row>
    <row r="897" spans="2:9">
      <c r="B897" s="4">
        <v>52.99</v>
      </c>
      <c r="D897" s="4">
        <v>61.56</v>
      </c>
      <c r="I897" s="3">
        <v>1.4456</v>
      </c>
    </row>
    <row r="898" spans="2:9">
      <c r="B898" s="4">
        <v>53.31</v>
      </c>
      <c r="D898" s="4">
        <v>62.08</v>
      </c>
      <c r="I898" s="3">
        <v>1.4434</v>
      </c>
    </row>
    <row r="899" spans="2:9">
      <c r="B899" s="4">
        <v>53.02</v>
      </c>
      <c r="D899" s="4">
        <v>61.69</v>
      </c>
      <c r="I899" s="3">
        <v>1.4314</v>
      </c>
    </row>
    <row r="900" spans="2:9">
      <c r="B900" s="4">
        <v>56.69</v>
      </c>
      <c r="D900" s="4">
        <v>59.46</v>
      </c>
      <c r="I900" s="3">
        <v>1.4018999999999999</v>
      </c>
    </row>
    <row r="901" spans="2:9">
      <c r="B901" s="4">
        <v>56.72</v>
      </c>
      <c r="D901" s="4">
        <v>59.51</v>
      </c>
      <c r="I901" s="3">
        <v>1.4298999999999999</v>
      </c>
    </row>
    <row r="902" spans="2:9">
      <c r="B902" s="4">
        <v>56.61</v>
      </c>
      <c r="D902" s="4">
        <v>58.76</v>
      </c>
      <c r="I902" s="3">
        <v>1.3784000000000001</v>
      </c>
    </row>
    <row r="903" spans="2:9">
      <c r="B903" s="4">
        <v>56.79</v>
      </c>
      <c r="D903" s="4">
        <v>60.21</v>
      </c>
      <c r="I903" s="3">
        <v>1.4039999999999999</v>
      </c>
    </row>
    <row r="904" spans="2:9">
      <c r="B904" s="4">
        <v>56.8</v>
      </c>
      <c r="D904" s="4">
        <v>60.48</v>
      </c>
      <c r="I904" s="3">
        <v>1.4232</v>
      </c>
    </row>
    <row r="905" spans="2:9">
      <c r="B905" s="4">
        <v>56.51</v>
      </c>
      <c r="D905" s="4">
        <v>58.8</v>
      </c>
      <c r="I905" s="3">
        <v>1.3759999999999999</v>
      </c>
    </row>
    <row r="906" spans="2:9">
      <c r="B906" s="4">
        <v>57.72</v>
      </c>
      <c r="D906" s="4">
        <v>63.48</v>
      </c>
      <c r="I906" s="3">
        <v>1.5106999999999999</v>
      </c>
    </row>
    <row r="907" spans="2:9">
      <c r="B907" s="4">
        <v>57.32</v>
      </c>
      <c r="D907" s="4">
        <v>62.53</v>
      </c>
      <c r="I907" s="3">
        <v>1.4792000000000001</v>
      </c>
    </row>
    <row r="908" spans="2:9">
      <c r="B908" s="4">
        <v>58.75</v>
      </c>
      <c r="D908" s="4">
        <v>66.790000000000006</v>
      </c>
      <c r="I908" s="3">
        <v>1.5717000000000001</v>
      </c>
    </row>
    <row r="909" spans="2:9">
      <c r="B909" s="4">
        <v>58.54</v>
      </c>
      <c r="D909" s="4">
        <v>66.760000000000005</v>
      </c>
      <c r="I909" s="3">
        <v>1.5682</v>
      </c>
    </row>
    <row r="910" spans="2:9">
      <c r="B910" s="4">
        <v>58.54</v>
      </c>
      <c r="D910" s="4">
        <v>66.62</v>
      </c>
      <c r="I910" s="3">
        <v>1.5464</v>
      </c>
    </row>
    <row r="911" spans="2:9">
      <c r="B911" s="4">
        <v>58.42</v>
      </c>
      <c r="D911" s="4">
        <v>66.12</v>
      </c>
      <c r="I911" s="3">
        <v>1.5471999999999999</v>
      </c>
    </row>
    <row r="912" spans="2:9">
      <c r="B912" s="4">
        <v>58.08</v>
      </c>
      <c r="D912" s="4">
        <v>65.47</v>
      </c>
      <c r="I912" s="3">
        <v>1.5427</v>
      </c>
    </row>
    <row r="913" spans="2:9">
      <c r="B913" s="4">
        <v>60.71</v>
      </c>
      <c r="D913" s="4">
        <v>70.12</v>
      </c>
      <c r="I913" s="3">
        <v>1.6367</v>
      </c>
    </row>
    <row r="914" spans="2:9">
      <c r="B914" s="4">
        <v>60.89</v>
      </c>
      <c r="D914" s="4">
        <v>70.180000000000007</v>
      </c>
      <c r="I914" s="3">
        <v>1.6214</v>
      </c>
    </row>
    <row r="915" spans="2:9">
      <c r="B915" s="4">
        <v>61.24</v>
      </c>
      <c r="D915" s="4">
        <v>70.650000000000006</v>
      </c>
      <c r="I915" s="3">
        <v>1.6443000000000001</v>
      </c>
    </row>
    <row r="916" spans="2:9">
      <c r="B916" s="4">
        <v>61.99</v>
      </c>
      <c r="D916" s="4">
        <v>72.069999999999993</v>
      </c>
      <c r="I916" s="3">
        <v>1.6474</v>
      </c>
    </row>
    <row r="917" spans="2:9">
      <c r="B917" s="4">
        <v>62.42</v>
      </c>
      <c r="D917" s="4">
        <v>72.13</v>
      </c>
      <c r="I917" s="3">
        <v>1.694</v>
      </c>
    </row>
    <row r="918" spans="2:9">
      <c r="B918" s="4">
        <v>63.17</v>
      </c>
      <c r="D918" s="4">
        <v>73.17</v>
      </c>
      <c r="I918" s="3">
        <v>1.6919</v>
      </c>
    </row>
    <row r="919" spans="2:9">
      <c r="B919" s="4">
        <v>63.22</v>
      </c>
      <c r="D919" s="4">
        <v>72.83</v>
      </c>
      <c r="I919" s="3">
        <v>1.7082999999999999</v>
      </c>
    </row>
    <row r="920" spans="2:9">
      <c r="B920" s="4">
        <v>63.74</v>
      </c>
      <c r="D920" s="4">
        <v>72.89</v>
      </c>
      <c r="I920" s="3">
        <v>1.7164999999999999</v>
      </c>
    </row>
    <row r="921" spans="2:9">
      <c r="B921" s="4">
        <v>70.760000000000005</v>
      </c>
      <c r="D921" s="4">
        <v>75.47</v>
      </c>
      <c r="I921" s="3">
        <v>1.7514000000000001</v>
      </c>
    </row>
    <row r="922" spans="2:9">
      <c r="B922" s="4">
        <v>70.8</v>
      </c>
      <c r="D922" s="4">
        <v>75.91</v>
      </c>
      <c r="I922" s="3">
        <v>1.8023</v>
      </c>
    </row>
    <row r="923" spans="2:9">
      <c r="B923" s="4">
        <v>70.87</v>
      </c>
      <c r="D923" s="4">
        <v>77.34</v>
      </c>
      <c r="I923" s="3">
        <v>1.8209</v>
      </c>
    </row>
    <row r="924" spans="2:9">
      <c r="B924" s="4">
        <v>70.94</v>
      </c>
      <c r="D924" s="4">
        <v>77.62</v>
      </c>
      <c r="I924" s="3">
        <v>1.8120000000000001</v>
      </c>
    </row>
    <row r="925" spans="2:9">
      <c r="B925" s="4">
        <v>70.900000000000006</v>
      </c>
      <c r="D925" s="4">
        <v>76.89</v>
      </c>
      <c r="I925" s="3">
        <v>1.8104</v>
      </c>
    </row>
    <row r="926" spans="2:9">
      <c r="B926" s="4">
        <v>70.790000000000006</v>
      </c>
      <c r="D926" s="4">
        <v>76.17</v>
      </c>
      <c r="I926" s="3">
        <v>1.8192999999999999</v>
      </c>
    </row>
    <row r="927" spans="2:9">
      <c r="B927" s="4">
        <v>70.680000000000007</v>
      </c>
      <c r="D927" s="4">
        <v>76.44</v>
      </c>
      <c r="I927" s="3">
        <v>1.8344</v>
      </c>
    </row>
    <row r="928" spans="2:9">
      <c r="B928" s="4">
        <v>71.58</v>
      </c>
      <c r="D928" s="4">
        <v>79.83</v>
      </c>
      <c r="I928" s="3">
        <v>1.905</v>
      </c>
    </row>
    <row r="929" spans="2:9">
      <c r="B929" s="4">
        <v>71.55</v>
      </c>
      <c r="D929" s="4">
        <v>79.78</v>
      </c>
      <c r="I929" s="3">
        <v>1.9101999999999999</v>
      </c>
    </row>
    <row r="930" spans="2:9">
      <c r="B930" s="4">
        <v>71.34</v>
      </c>
      <c r="D930" s="4">
        <v>79.290000000000006</v>
      </c>
      <c r="I930" s="3">
        <v>1.8879999999999999</v>
      </c>
    </row>
    <row r="931" spans="2:9">
      <c r="B931" s="4">
        <v>71.78</v>
      </c>
      <c r="D931" s="4">
        <v>80.05</v>
      </c>
      <c r="I931" s="3">
        <v>1.9165000000000001</v>
      </c>
    </row>
    <row r="932" spans="2:9">
      <c r="B932" s="4">
        <v>72.78</v>
      </c>
      <c r="D932" s="4">
        <v>81.41</v>
      </c>
      <c r="I932" s="3">
        <v>1.9738</v>
      </c>
    </row>
    <row r="933" spans="2:9">
      <c r="B933" s="4">
        <v>72.709999999999994</v>
      </c>
      <c r="D933" s="4">
        <v>80.78</v>
      </c>
      <c r="I933" s="3">
        <v>1.9442999999999999</v>
      </c>
    </row>
    <row r="934" spans="2:9">
      <c r="B934" s="4">
        <v>72.459999999999994</v>
      </c>
      <c r="D934" s="4">
        <v>80.430000000000007</v>
      </c>
      <c r="I934" s="3">
        <v>1.9403999999999999</v>
      </c>
    </row>
    <row r="935" spans="2:9">
      <c r="B935" s="4">
        <v>72.239999999999995</v>
      </c>
      <c r="D935" s="4">
        <v>80.260000000000005</v>
      </c>
      <c r="I935" s="3">
        <v>1.9314</v>
      </c>
    </row>
    <row r="936" spans="2:9">
      <c r="B936" s="4">
        <v>73.680000000000007</v>
      </c>
      <c r="D936" s="4">
        <v>83.09</v>
      </c>
      <c r="I936" s="3">
        <v>2.0204</v>
      </c>
    </row>
    <row r="937" spans="2:9">
      <c r="B937" s="4">
        <v>74.92</v>
      </c>
      <c r="D937" s="4">
        <v>85</v>
      </c>
      <c r="I937" s="3">
        <v>2.0773999999999999</v>
      </c>
    </row>
    <row r="938" spans="2:9">
      <c r="B938" s="4">
        <v>74.430000000000007</v>
      </c>
      <c r="D938" s="4">
        <v>83.91</v>
      </c>
      <c r="I938" s="3">
        <v>2.0937000000000001</v>
      </c>
    </row>
    <row r="939" spans="2:9">
      <c r="B939" s="4">
        <v>74.489999999999995</v>
      </c>
      <c r="D939" s="4">
        <v>84.16</v>
      </c>
      <c r="I939" s="3">
        <v>2.0861000000000001</v>
      </c>
    </row>
    <row r="940" spans="2:9">
      <c r="B940" s="4">
        <v>74.48</v>
      </c>
      <c r="D940" s="4">
        <v>84.58</v>
      </c>
      <c r="I940" s="3">
        <v>2.1004</v>
      </c>
    </row>
    <row r="941" spans="2:9">
      <c r="B941" s="4">
        <v>76.260000000000005</v>
      </c>
      <c r="D941" s="4">
        <v>86.29</v>
      </c>
      <c r="I941" s="3">
        <v>2.1377999999999999</v>
      </c>
    </row>
    <row r="942" spans="2:9">
      <c r="B942" s="4">
        <v>75.180000000000007</v>
      </c>
      <c r="D942" s="4">
        <v>84.8</v>
      </c>
      <c r="I942" s="3">
        <v>2.1269</v>
      </c>
    </row>
    <row r="943" spans="2:9">
      <c r="B943" s="4">
        <v>75.25</v>
      </c>
      <c r="D943" s="4">
        <v>84.98</v>
      </c>
      <c r="I943" s="3">
        <v>2.1274999999999999</v>
      </c>
    </row>
    <row r="944" spans="2:9">
      <c r="B944" s="4">
        <v>70.08</v>
      </c>
      <c r="D944" s="4">
        <v>82.73</v>
      </c>
      <c r="I944" s="3">
        <v>2.0857000000000001</v>
      </c>
    </row>
    <row r="945" spans="2:9">
      <c r="B945" s="4">
        <v>70.03</v>
      </c>
      <c r="D945" s="4">
        <v>81.72</v>
      </c>
      <c r="I945" s="3">
        <v>2.0823999999999998</v>
      </c>
    </row>
    <row r="946" spans="2:9">
      <c r="B946" s="4">
        <v>69.97</v>
      </c>
      <c r="D946" s="4">
        <v>81.34</v>
      </c>
      <c r="I946" s="3">
        <v>2.0461999999999998</v>
      </c>
    </row>
    <row r="947" spans="2:9">
      <c r="B947" s="4">
        <v>70.08</v>
      </c>
      <c r="D947" s="4">
        <v>81.87</v>
      </c>
      <c r="I947" s="3">
        <v>2.0554999999999999</v>
      </c>
    </row>
    <row r="948" spans="2:9">
      <c r="B948" s="4">
        <v>70.040000000000006</v>
      </c>
      <c r="D948" s="4">
        <v>81.2</v>
      </c>
      <c r="I948" s="3">
        <v>2.0421</v>
      </c>
    </row>
    <row r="949" spans="2:9">
      <c r="B949" s="4">
        <v>69.7</v>
      </c>
      <c r="D949" s="4">
        <v>78.8</v>
      </c>
      <c r="I949" s="3">
        <v>2.0021</v>
      </c>
    </row>
    <row r="950" spans="2:9">
      <c r="B950" s="4">
        <v>69.55</v>
      </c>
      <c r="D950" s="4">
        <v>78.7</v>
      </c>
      <c r="I950" s="3">
        <v>2.0013000000000001</v>
      </c>
    </row>
    <row r="951" spans="2:9">
      <c r="B951" s="4">
        <v>69.709999999999994</v>
      </c>
      <c r="D951" s="4">
        <v>79.400000000000006</v>
      </c>
      <c r="I951" s="3">
        <v>2.0207000000000002</v>
      </c>
    </row>
    <row r="952" spans="2:9">
      <c r="B952" s="4">
        <v>69.2</v>
      </c>
      <c r="D952" s="4">
        <v>79.03</v>
      </c>
      <c r="I952" s="3">
        <v>1.9926999999999999</v>
      </c>
    </row>
    <row r="953" spans="2:9">
      <c r="B953" s="4">
        <v>68.77</v>
      </c>
      <c r="D953" s="4">
        <v>78.05</v>
      </c>
      <c r="I953" s="3">
        <v>1.9645999999999999</v>
      </c>
    </row>
    <row r="954" spans="2:9">
      <c r="B954" s="4">
        <v>68.81</v>
      </c>
      <c r="D954" s="4">
        <v>78.09</v>
      </c>
      <c r="I954" s="3">
        <v>1.9591000000000001</v>
      </c>
    </row>
    <row r="955" spans="2:9">
      <c r="B955" s="4">
        <v>68.59</v>
      </c>
      <c r="D955" s="4">
        <v>78.180000000000007</v>
      </c>
      <c r="I955" s="3">
        <v>1.9763999999999999</v>
      </c>
    </row>
    <row r="956" spans="2:9">
      <c r="B956" s="4">
        <v>69.709999999999994</v>
      </c>
      <c r="D956" s="4">
        <v>79.739999999999995</v>
      </c>
      <c r="I956" s="3">
        <v>2.0154999999999998</v>
      </c>
    </row>
    <row r="957" spans="2:9">
      <c r="B957" s="4">
        <v>68.94</v>
      </c>
      <c r="D957" s="4">
        <v>79.06</v>
      </c>
      <c r="I957" s="3">
        <v>1.9943</v>
      </c>
    </row>
    <row r="958" spans="2:9">
      <c r="B958" s="4">
        <v>67.709999999999994</v>
      </c>
      <c r="D958" s="4">
        <v>77.37</v>
      </c>
      <c r="I958" s="3">
        <v>1.9592000000000001</v>
      </c>
    </row>
    <row r="959" spans="2:9">
      <c r="B959" s="4">
        <v>67.849999999999994</v>
      </c>
      <c r="D959" s="4">
        <v>76.83</v>
      </c>
      <c r="I959" s="3">
        <v>1.97</v>
      </c>
    </row>
    <row r="960" spans="2:9">
      <c r="B960" s="4">
        <v>67.849999999999994</v>
      </c>
      <c r="D960" s="4">
        <v>76.5</v>
      </c>
      <c r="I960" s="3">
        <v>1.9510000000000001</v>
      </c>
    </row>
    <row r="961" spans="2:9">
      <c r="B961" s="4">
        <v>68.69</v>
      </c>
      <c r="D961" s="4">
        <v>77.27</v>
      </c>
      <c r="I961" s="3">
        <v>1.9648000000000001</v>
      </c>
    </row>
    <row r="962" spans="2:9">
      <c r="B962" s="4">
        <v>69.77</v>
      </c>
      <c r="D962" s="4">
        <v>78.17</v>
      </c>
      <c r="I962" s="3">
        <v>1.9942</v>
      </c>
    </row>
    <row r="963" spans="2:9">
      <c r="B963" s="4">
        <v>67.849999999999994</v>
      </c>
      <c r="D963" s="4">
        <v>77.64</v>
      </c>
      <c r="I963" s="3">
        <v>1.9970000000000001</v>
      </c>
    </row>
    <row r="964" spans="2:9">
      <c r="B964" s="4">
        <v>67.86</v>
      </c>
      <c r="D964" s="4">
        <v>77.77</v>
      </c>
      <c r="I964" s="3">
        <v>2.0089999999999999</v>
      </c>
    </row>
    <row r="965" spans="2:9">
      <c r="B965" s="4">
        <v>67.8</v>
      </c>
      <c r="D965" s="4">
        <v>77.14</v>
      </c>
      <c r="I965" s="3">
        <v>1.9998</v>
      </c>
    </row>
    <row r="966" spans="2:9">
      <c r="B966" s="4">
        <v>67.67</v>
      </c>
      <c r="D966" s="4">
        <v>75.95</v>
      </c>
      <c r="I966" s="3">
        <v>2.0787</v>
      </c>
    </row>
    <row r="967" spans="2:9">
      <c r="B967" s="4">
        <v>67.73</v>
      </c>
      <c r="D967" s="4">
        <v>76.209999999999994</v>
      </c>
      <c r="I967" s="3">
        <v>1.9866999999999999</v>
      </c>
    </row>
    <row r="968" spans="2:9">
      <c r="B968" s="4">
        <v>67.7</v>
      </c>
      <c r="D968" s="4">
        <v>75.819999999999993</v>
      </c>
      <c r="I968" s="3">
        <v>1.9753000000000001</v>
      </c>
    </row>
    <row r="969" spans="2:9">
      <c r="B969" s="4">
        <v>67.47</v>
      </c>
      <c r="D969" s="4">
        <v>74.73</v>
      </c>
      <c r="I969" s="3">
        <v>1.9551000000000001</v>
      </c>
    </row>
    <row r="970" spans="2:9">
      <c r="B970" s="4">
        <v>67.48</v>
      </c>
      <c r="D970" s="4">
        <v>74.78</v>
      </c>
      <c r="I970" s="3">
        <v>1.9605999999999999</v>
      </c>
    </row>
    <row r="971" spans="2:9">
      <c r="B971" s="4">
        <v>66.77</v>
      </c>
      <c r="D971" s="4">
        <v>72.63</v>
      </c>
      <c r="I971" s="3">
        <v>1.911</v>
      </c>
    </row>
    <row r="972" spans="2:9">
      <c r="B972" s="4">
        <v>66.59</v>
      </c>
      <c r="D972" s="4">
        <v>72.209999999999994</v>
      </c>
      <c r="I972" s="3">
        <v>1.9109</v>
      </c>
    </row>
    <row r="973" spans="2:9">
      <c r="B973" s="4">
        <v>66.47</v>
      </c>
      <c r="D973" s="4">
        <v>71.83</v>
      </c>
      <c r="I973" s="3">
        <v>1.8841000000000001</v>
      </c>
    </row>
    <row r="974" spans="2:9">
      <c r="B974" s="4">
        <v>66.3</v>
      </c>
      <c r="D974" s="4">
        <v>71.430000000000007</v>
      </c>
      <c r="I974" s="3">
        <v>1.8853</v>
      </c>
    </row>
    <row r="975" spans="2:9">
      <c r="B975" s="4">
        <v>66.069999999999993</v>
      </c>
      <c r="D975" s="4">
        <v>70.760000000000005</v>
      </c>
      <c r="I975" s="3">
        <v>1.8896999999999999</v>
      </c>
    </row>
    <row r="976" spans="2:9">
      <c r="B976" s="4">
        <v>67.16</v>
      </c>
      <c r="D976" s="4">
        <v>72.459999999999994</v>
      </c>
      <c r="I976" s="3">
        <v>2.0341</v>
      </c>
    </row>
    <row r="977" spans="2:9">
      <c r="B977" s="4">
        <v>67.290000000000006</v>
      </c>
      <c r="D977" s="4">
        <v>72.61</v>
      </c>
      <c r="I977" s="3">
        <v>1.9081999999999999</v>
      </c>
    </row>
    <row r="978" spans="2:9">
      <c r="B978" s="4">
        <v>67.55</v>
      </c>
      <c r="D978" s="4">
        <v>72.81</v>
      </c>
      <c r="I978" s="3">
        <v>1.9274</v>
      </c>
    </row>
    <row r="979" spans="2:9">
      <c r="B979" s="4">
        <v>66.98</v>
      </c>
      <c r="D979" s="4">
        <v>72.069999999999993</v>
      </c>
      <c r="I979" s="3">
        <v>1.9999</v>
      </c>
    </row>
    <row r="980" spans="2:9">
      <c r="B980" s="4">
        <v>67.069999999999993</v>
      </c>
      <c r="D980" s="4">
        <v>72.28</v>
      </c>
      <c r="I980" s="3">
        <v>2.0194999999999999</v>
      </c>
    </row>
    <row r="981" spans="2:9">
      <c r="B981" s="4">
        <v>68.77</v>
      </c>
      <c r="D981" s="4">
        <v>74.650000000000006</v>
      </c>
      <c r="I981" s="3">
        <v>2.1040000000000001</v>
      </c>
    </row>
    <row r="982" spans="2:9">
      <c r="B982" s="4">
        <v>68.55</v>
      </c>
      <c r="D982" s="4">
        <v>73.75</v>
      </c>
      <c r="I982" s="3">
        <v>2.0651000000000002</v>
      </c>
    </row>
    <row r="983" spans="2:9">
      <c r="B983" s="4">
        <v>68.08</v>
      </c>
      <c r="D983" s="4">
        <v>73.209999999999994</v>
      </c>
      <c r="I983" s="3">
        <v>2.0655000000000001</v>
      </c>
    </row>
    <row r="984" spans="2:9">
      <c r="B984" s="4">
        <v>68.45</v>
      </c>
      <c r="D984" s="4">
        <v>73.45</v>
      </c>
      <c r="I984" s="3">
        <v>2.0680999999999998</v>
      </c>
    </row>
    <row r="985" spans="2:9">
      <c r="B985" s="4">
        <v>67.260000000000005</v>
      </c>
      <c r="D985" s="4">
        <v>72.39</v>
      </c>
      <c r="I985" s="3">
        <v>2.0451000000000001</v>
      </c>
    </row>
    <row r="986" spans="2:9">
      <c r="B986" s="4">
        <v>70.58</v>
      </c>
      <c r="D986" s="4">
        <v>74.25</v>
      </c>
      <c r="I986" s="3">
        <v>2.0804999999999998</v>
      </c>
    </row>
    <row r="987" spans="2:9">
      <c r="B987" s="4">
        <v>70.650000000000006</v>
      </c>
      <c r="D987" s="4">
        <v>74.97</v>
      </c>
      <c r="I987" s="3">
        <v>2.1132</v>
      </c>
    </row>
    <row r="988" spans="2:9">
      <c r="B988" s="4">
        <v>70.510000000000005</v>
      </c>
      <c r="D988" s="4">
        <v>74.290000000000006</v>
      </c>
      <c r="I988" s="3">
        <v>2.1128</v>
      </c>
    </row>
    <row r="989" spans="2:9">
      <c r="B989" s="4">
        <v>70.64</v>
      </c>
      <c r="D989" s="4">
        <v>74.540000000000006</v>
      </c>
      <c r="I989" s="3">
        <v>2.1623000000000001</v>
      </c>
    </row>
    <row r="990" spans="2:9">
      <c r="B990" s="4">
        <v>70.58</v>
      </c>
      <c r="D990" s="4">
        <v>73.930000000000007</v>
      </c>
      <c r="I990" s="3">
        <v>2.0851000000000002</v>
      </c>
    </row>
    <row r="991" spans="2:9">
      <c r="B991" s="4">
        <v>70.400000000000006</v>
      </c>
      <c r="D991" s="4">
        <v>73.44</v>
      </c>
      <c r="I991" s="3">
        <v>2.0587</v>
      </c>
    </row>
    <row r="992" spans="2:9">
      <c r="B992" s="4">
        <v>70.22</v>
      </c>
      <c r="D992" s="4">
        <v>73.06</v>
      </c>
      <c r="I992" s="3">
        <v>2.0914000000000001</v>
      </c>
    </row>
    <row r="993" spans="2:9">
      <c r="B993" s="4">
        <v>70.34</v>
      </c>
      <c r="D993" s="4">
        <v>73.069999999999993</v>
      </c>
      <c r="I993" s="3">
        <v>2.0343</v>
      </c>
    </row>
    <row r="994" spans="2:9">
      <c r="B994" s="4">
        <v>70.290000000000006</v>
      </c>
      <c r="D994" s="4">
        <v>72.58</v>
      </c>
      <c r="I994" s="3">
        <v>2.0135000000000001</v>
      </c>
    </row>
    <row r="995" spans="2:9">
      <c r="B995" s="4">
        <v>70.06</v>
      </c>
      <c r="D995" s="4">
        <v>72.900000000000006</v>
      </c>
      <c r="I995" s="3">
        <v>2.0158999999999998</v>
      </c>
    </row>
    <row r="996" spans="2:9">
      <c r="B996" s="4">
        <v>69.760000000000005</v>
      </c>
      <c r="D996" s="4">
        <v>72.16</v>
      </c>
      <c r="I996" s="3">
        <v>1.9972000000000001</v>
      </c>
    </row>
    <row r="997" spans="2:9">
      <c r="B997" s="4">
        <v>69.73</v>
      </c>
      <c r="D997" s="4">
        <v>71.84</v>
      </c>
      <c r="I997" s="3">
        <v>2.0022000000000002</v>
      </c>
    </row>
    <row r="998" spans="2:9">
      <c r="B998" s="4">
        <v>71.39</v>
      </c>
      <c r="D998" s="4">
        <v>75.33</v>
      </c>
      <c r="I998" s="3">
        <v>2.0762</v>
      </c>
    </row>
    <row r="999" spans="2:9">
      <c r="B999" s="4">
        <v>71</v>
      </c>
      <c r="D999" s="4">
        <v>74.45</v>
      </c>
      <c r="I999" s="3">
        <v>2.0468000000000002</v>
      </c>
    </row>
    <row r="1000" spans="2:9">
      <c r="B1000" s="4">
        <v>70.849999999999994</v>
      </c>
      <c r="D1000" s="4">
        <v>73.400000000000006</v>
      </c>
      <c r="I1000" s="3">
        <v>2.0613999999999999</v>
      </c>
    </row>
    <row r="1001" spans="2:9">
      <c r="B1001" s="4">
        <v>73.5</v>
      </c>
      <c r="D1001" s="4">
        <v>78.86</v>
      </c>
      <c r="I1001" s="3">
        <v>2.1602999999999999</v>
      </c>
    </row>
    <row r="1002" spans="2:9">
      <c r="B1002" s="4">
        <v>73.2</v>
      </c>
      <c r="D1002" s="4">
        <v>78.069999999999993</v>
      </c>
      <c r="I1002" s="3">
        <v>2.1484999999999999</v>
      </c>
    </row>
    <row r="1003" spans="2:9">
      <c r="B1003" s="4">
        <v>73.040000000000006</v>
      </c>
      <c r="D1003" s="4">
        <v>77.11</v>
      </c>
      <c r="I1003" s="3">
        <v>2.1084999999999998</v>
      </c>
    </row>
    <row r="1004" spans="2:9">
      <c r="B1004" s="4">
        <v>72.27</v>
      </c>
      <c r="D1004" s="4">
        <v>77.39</v>
      </c>
      <c r="I1004" s="3">
        <v>2.1293000000000002</v>
      </c>
    </row>
    <row r="1005" spans="2:9">
      <c r="B1005" s="4">
        <v>73.28</v>
      </c>
      <c r="D1005" s="4">
        <v>77.760000000000005</v>
      </c>
      <c r="I1005" s="3">
        <v>2.1175999999999999</v>
      </c>
    </row>
    <row r="1006" spans="2:9">
      <c r="B1006" s="4">
        <v>73.17</v>
      </c>
      <c r="D1006" s="4">
        <v>77.3</v>
      </c>
      <c r="I1006" s="3">
        <v>2.1048</v>
      </c>
    </row>
    <row r="1007" spans="2:9">
      <c r="B1007" s="4">
        <v>67.319999999999993</v>
      </c>
      <c r="D1007" s="4">
        <v>79.23</v>
      </c>
      <c r="I1007" s="3">
        <v>2.1511999999999998</v>
      </c>
    </row>
    <row r="1008" spans="2:9">
      <c r="B1008" s="4">
        <v>67.290000000000006</v>
      </c>
      <c r="D1008" s="4">
        <v>77.849999999999994</v>
      </c>
      <c r="I1008" s="3">
        <v>2.1055000000000001</v>
      </c>
    </row>
    <row r="1009" spans="2:9">
      <c r="B1009" s="4">
        <v>67.22</v>
      </c>
      <c r="D1009" s="4">
        <v>77.62</v>
      </c>
      <c r="I1009" s="3">
        <v>2.1103000000000001</v>
      </c>
    </row>
    <row r="1010" spans="2:9">
      <c r="B1010" s="4">
        <v>66.91</v>
      </c>
      <c r="D1010" s="4">
        <v>76.31</v>
      </c>
      <c r="I1010" s="3">
        <v>2.0567000000000002</v>
      </c>
    </row>
    <row r="1011" spans="2:9">
      <c r="B1011" s="4">
        <v>66.44</v>
      </c>
      <c r="D1011" s="4">
        <v>74.73</v>
      </c>
      <c r="I1011" s="3">
        <v>2.0339</v>
      </c>
    </row>
    <row r="1012" spans="2:9">
      <c r="B1012" s="4">
        <v>66.56</v>
      </c>
      <c r="D1012" s="4">
        <v>75.55</v>
      </c>
      <c r="I1012" s="3">
        <v>2.0539000000000001</v>
      </c>
    </row>
    <row r="1013" spans="2:9">
      <c r="B1013" s="4">
        <v>65.69</v>
      </c>
      <c r="D1013" s="4">
        <v>73.05</v>
      </c>
      <c r="I1013" s="3">
        <v>1.996</v>
      </c>
    </row>
    <row r="1014" spans="2:9">
      <c r="B1014" s="4">
        <v>65.75</v>
      </c>
      <c r="D1014" s="4">
        <v>74.739999999999995</v>
      </c>
      <c r="I1014" s="3">
        <v>2.0112000000000001</v>
      </c>
    </row>
    <row r="1015" spans="2:9">
      <c r="B1015" s="4">
        <v>65.42</v>
      </c>
      <c r="D1015" s="4">
        <v>75.08</v>
      </c>
      <c r="I1015" s="3">
        <v>2.0270999999999999</v>
      </c>
    </row>
    <row r="1016" spans="2:9">
      <c r="B1016" s="4">
        <v>65.760000000000005</v>
      </c>
      <c r="D1016" s="4">
        <v>75.34</v>
      </c>
      <c r="I1016" s="3">
        <v>2.044</v>
      </c>
    </row>
    <row r="1017" spans="2:9">
      <c r="B1017" s="4">
        <v>65.37</v>
      </c>
      <c r="D1017" s="4">
        <v>73.44</v>
      </c>
      <c r="I1017" s="3">
        <v>2.0114000000000001</v>
      </c>
    </row>
    <row r="1018" spans="2:9">
      <c r="B1018" s="4">
        <v>66.33</v>
      </c>
      <c r="D1018" s="4">
        <v>75.94</v>
      </c>
      <c r="I1018" s="3">
        <v>2.0910000000000002</v>
      </c>
    </row>
    <row r="1019" spans="2:9">
      <c r="B1019" s="4">
        <v>66.209999999999994</v>
      </c>
      <c r="D1019" s="4">
        <v>76.739999999999995</v>
      </c>
      <c r="I1019" s="3">
        <v>2.1252</v>
      </c>
    </row>
    <row r="1020" spans="2:9">
      <c r="B1020" s="4">
        <v>66.05</v>
      </c>
      <c r="D1020" s="4">
        <v>75.88</v>
      </c>
      <c r="I1020" s="3">
        <v>2.0899000000000001</v>
      </c>
    </row>
    <row r="1021" spans="2:9">
      <c r="B1021" s="4">
        <v>65.88</v>
      </c>
      <c r="D1021" s="4">
        <v>76.459999999999994</v>
      </c>
      <c r="I1021" s="3">
        <v>2.1049000000000002</v>
      </c>
    </row>
    <row r="1022" spans="2:9">
      <c r="B1022" s="4">
        <v>65.62</v>
      </c>
      <c r="D1022" s="4">
        <v>76.459999999999994</v>
      </c>
      <c r="I1022" s="3">
        <v>2.1153</v>
      </c>
    </row>
    <row r="1023" spans="2:9">
      <c r="B1023" s="4">
        <v>65.790000000000006</v>
      </c>
      <c r="D1023" s="4">
        <v>77.319999999999993</v>
      </c>
      <c r="I1023" s="3">
        <v>2.1147999999999998</v>
      </c>
    </row>
    <row r="1024" spans="2:9">
      <c r="B1024" s="4">
        <v>64.81</v>
      </c>
      <c r="D1024" s="4">
        <v>75.36</v>
      </c>
      <c r="I1024" s="3">
        <v>2.0699999999999998</v>
      </c>
    </row>
    <row r="1025" spans="2:9">
      <c r="B1025" s="4">
        <v>65.48</v>
      </c>
      <c r="D1025" s="4">
        <v>75.38</v>
      </c>
      <c r="I1025" s="3">
        <v>2.1061999999999999</v>
      </c>
    </row>
    <row r="1026" spans="2:9">
      <c r="B1026" s="4">
        <v>64.78</v>
      </c>
      <c r="D1026" s="4">
        <v>75.290000000000006</v>
      </c>
      <c r="I1026" s="3">
        <v>2.1223999999999998</v>
      </c>
    </row>
    <row r="1027" spans="2:9">
      <c r="B1027" s="4">
        <v>65.8</v>
      </c>
      <c r="D1027" s="4">
        <v>76.790000000000006</v>
      </c>
      <c r="I1027" s="3">
        <v>2.1434000000000002</v>
      </c>
    </row>
    <row r="1028" spans="2:9">
      <c r="B1028" s="4">
        <v>69.98</v>
      </c>
      <c r="D1028" s="4">
        <v>77.56</v>
      </c>
      <c r="I1028" s="3">
        <v>2.1604999999999999</v>
      </c>
    </row>
    <row r="1029" spans="2:9">
      <c r="B1029" s="4">
        <v>70.040000000000006</v>
      </c>
      <c r="D1029" s="4">
        <v>77.5</v>
      </c>
      <c r="I1029" s="3">
        <v>2.1724000000000001</v>
      </c>
    </row>
    <row r="1030" spans="2:9">
      <c r="B1030" s="4">
        <v>69.900000000000006</v>
      </c>
      <c r="D1030" s="4">
        <v>75.39</v>
      </c>
      <c r="I1030" s="3">
        <v>2.1371000000000002</v>
      </c>
    </row>
    <row r="1031" spans="2:9">
      <c r="B1031" s="4">
        <v>70.06</v>
      </c>
      <c r="D1031" s="4">
        <v>76.44</v>
      </c>
      <c r="I1031" s="3">
        <v>2.1743000000000001</v>
      </c>
    </row>
    <row r="1032" spans="2:9">
      <c r="B1032" s="4">
        <v>70.569999999999993</v>
      </c>
      <c r="D1032" s="4">
        <v>78.790000000000006</v>
      </c>
      <c r="I1032" s="3">
        <v>2.2282000000000002</v>
      </c>
    </row>
    <row r="1033" spans="2:9">
      <c r="B1033" s="4">
        <v>70.83</v>
      </c>
      <c r="D1033" s="4">
        <v>79.8</v>
      </c>
      <c r="I1033" s="3">
        <v>2.2547000000000001</v>
      </c>
    </row>
    <row r="1034" spans="2:9">
      <c r="B1034" s="4">
        <v>70.930000000000007</v>
      </c>
      <c r="D1034" s="4">
        <v>79.569999999999993</v>
      </c>
      <c r="I1034" s="3">
        <v>2.2635999999999998</v>
      </c>
    </row>
    <row r="1035" spans="2:9">
      <c r="B1035" s="4">
        <v>70.97</v>
      </c>
      <c r="D1035" s="4">
        <v>79.22</v>
      </c>
      <c r="I1035" s="3">
        <v>2.2524000000000002</v>
      </c>
    </row>
    <row r="1036" spans="2:9">
      <c r="B1036" s="4">
        <v>70.62</v>
      </c>
      <c r="D1036" s="4">
        <v>78.510000000000005</v>
      </c>
      <c r="I1036" s="3">
        <v>2.2303000000000002</v>
      </c>
    </row>
    <row r="1037" spans="2:9">
      <c r="B1037" s="4">
        <v>70.7</v>
      </c>
      <c r="D1037" s="4">
        <v>79.3</v>
      </c>
      <c r="I1037" s="3">
        <v>2.2393999999999998</v>
      </c>
    </row>
    <row r="1038" spans="2:9">
      <c r="B1038" s="4">
        <v>70.7</v>
      </c>
      <c r="D1038" s="4">
        <v>79.28</v>
      </c>
      <c r="I1038" s="3">
        <v>2.2454999999999998</v>
      </c>
    </row>
    <row r="1039" spans="2:9">
      <c r="B1039" s="4">
        <v>70.61</v>
      </c>
      <c r="D1039" s="4">
        <v>78.430000000000007</v>
      </c>
      <c r="I1039" s="3">
        <v>2.2044999999999999</v>
      </c>
    </row>
    <row r="1040" spans="2:9">
      <c r="B1040" s="4">
        <v>70.41</v>
      </c>
      <c r="D1040" s="4">
        <v>78.23</v>
      </c>
      <c r="I1040" s="3">
        <v>2.2002000000000002</v>
      </c>
    </row>
    <row r="1041" spans="2:9">
      <c r="B1041" s="4">
        <v>70.239999999999995</v>
      </c>
      <c r="D1041" s="4">
        <v>77.12</v>
      </c>
      <c r="I1041" s="3">
        <v>2.1888000000000001</v>
      </c>
    </row>
    <row r="1042" spans="2:9">
      <c r="B1042" s="4">
        <v>70.650000000000006</v>
      </c>
      <c r="D1042" s="4">
        <v>77.47</v>
      </c>
      <c r="I1042" s="3">
        <v>2.1890000000000001</v>
      </c>
    </row>
    <row r="1043" spans="2:9">
      <c r="B1043" s="4">
        <v>70.489999999999995</v>
      </c>
      <c r="D1043" s="4">
        <v>77.209999999999994</v>
      </c>
      <c r="I1043" s="3">
        <v>2.1673</v>
      </c>
    </row>
    <row r="1044" spans="2:9">
      <c r="B1044" s="4">
        <v>68.98</v>
      </c>
      <c r="D1044" s="4">
        <v>74.849999999999994</v>
      </c>
      <c r="I1044" s="3">
        <v>2.1114000000000002</v>
      </c>
    </row>
    <row r="1045" spans="2:9">
      <c r="B1045" s="4">
        <v>70.260000000000005</v>
      </c>
      <c r="D1045" s="4">
        <v>76.17</v>
      </c>
      <c r="I1045" s="3">
        <v>2.1339999999999999</v>
      </c>
    </row>
    <row r="1046" spans="2:9">
      <c r="B1046" s="4">
        <v>69.430000000000007</v>
      </c>
      <c r="D1046" s="4">
        <v>74.87</v>
      </c>
      <c r="I1046" s="3">
        <v>2.1139999999999999</v>
      </c>
    </row>
    <row r="1047" spans="2:9">
      <c r="B1047" s="4">
        <v>68.31</v>
      </c>
      <c r="D1047" s="4">
        <v>73.62</v>
      </c>
      <c r="I1047" s="3">
        <v>2.0874999999999999</v>
      </c>
    </row>
    <row r="1048" spans="2:9">
      <c r="B1048" s="4">
        <v>67.86</v>
      </c>
      <c r="D1048" s="4">
        <v>73.36</v>
      </c>
      <c r="I1048" s="3">
        <v>2.0798000000000001</v>
      </c>
    </row>
    <row r="1049" spans="2:9">
      <c r="B1049" s="4">
        <v>67.22</v>
      </c>
      <c r="D1049" s="4">
        <v>73.13</v>
      </c>
      <c r="I1049" s="3">
        <v>2.0876000000000001</v>
      </c>
    </row>
    <row r="1050" spans="2:9">
      <c r="B1050" s="4">
        <v>66.33</v>
      </c>
      <c r="D1050" s="4">
        <v>75.17</v>
      </c>
      <c r="I1050" s="3">
        <v>2.1307999999999998</v>
      </c>
    </row>
    <row r="1051" spans="2:9">
      <c r="B1051" s="4">
        <v>66.3</v>
      </c>
      <c r="D1051" s="4">
        <v>74.64</v>
      </c>
      <c r="I1051" s="3">
        <v>2.1278999999999999</v>
      </c>
    </row>
    <row r="1052" spans="2:9">
      <c r="B1052" s="4">
        <v>66.31</v>
      </c>
      <c r="D1052" s="4">
        <v>74.739999999999995</v>
      </c>
      <c r="I1052" s="3">
        <v>2.1166</v>
      </c>
    </row>
    <row r="1053" spans="2:9">
      <c r="B1053" s="4">
        <v>66.290000000000006</v>
      </c>
      <c r="D1053" s="4">
        <v>74</v>
      </c>
      <c r="I1053" s="3">
        <v>2.0949</v>
      </c>
    </row>
    <row r="1054" spans="2:9">
      <c r="B1054" s="4">
        <v>66.22</v>
      </c>
      <c r="D1054" s="4">
        <v>73.86</v>
      </c>
      <c r="I1054" s="3">
        <v>2.0996000000000001</v>
      </c>
    </row>
    <row r="1055" spans="2:9">
      <c r="B1055" s="4">
        <v>66.45</v>
      </c>
      <c r="D1055" s="4">
        <v>74.709999999999994</v>
      </c>
      <c r="I1055" s="3">
        <v>2.1267</v>
      </c>
    </row>
    <row r="1056" spans="2:9">
      <c r="B1056" s="4">
        <v>66.38</v>
      </c>
      <c r="D1056" s="4">
        <v>74.06</v>
      </c>
      <c r="I1056" s="3">
        <v>2.0996000000000001</v>
      </c>
    </row>
    <row r="1057" spans="2:9">
      <c r="B1057" s="4">
        <v>66.36</v>
      </c>
      <c r="D1057" s="4">
        <v>73.78</v>
      </c>
      <c r="I1057" s="3">
        <v>2.0828000000000002</v>
      </c>
    </row>
    <row r="1058" spans="2:9">
      <c r="B1058" s="4">
        <v>66.41</v>
      </c>
      <c r="D1058" s="4">
        <v>73.48</v>
      </c>
      <c r="I1058" s="3">
        <v>2.0741999999999998</v>
      </c>
    </row>
    <row r="1059" spans="2:9">
      <c r="B1059" s="4">
        <v>65.569999999999993</v>
      </c>
      <c r="D1059" s="4">
        <v>71.58</v>
      </c>
      <c r="I1059" s="3">
        <v>2.0468000000000002</v>
      </c>
    </row>
    <row r="1060" spans="2:9">
      <c r="B1060" s="4">
        <v>65.430000000000007</v>
      </c>
      <c r="D1060" s="4">
        <v>71.42</v>
      </c>
      <c r="I1060" s="3">
        <v>2.0444</v>
      </c>
    </row>
    <row r="1061" spans="2:9">
      <c r="B1061" s="4">
        <v>66.03</v>
      </c>
      <c r="D1061" s="4">
        <v>72.58</v>
      </c>
      <c r="I1061" s="3">
        <v>2.0686</v>
      </c>
    </row>
    <row r="1062" spans="2:9">
      <c r="B1062" s="4">
        <v>65.83</v>
      </c>
      <c r="D1062" s="4">
        <v>72.02</v>
      </c>
      <c r="I1062" s="3">
        <v>2.0546000000000002</v>
      </c>
    </row>
    <row r="1063" spans="2:9">
      <c r="B1063" s="4">
        <v>65.69</v>
      </c>
      <c r="D1063" s="4">
        <v>72.06</v>
      </c>
      <c r="I1063" s="3">
        <v>2.0676000000000001</v>
      </c>
    </row>
    <row r="1064" spans="2:9">
      <c r="B1064" s="4">
        <v>64.819999999999993</v>
      </c>
      <c r="D1064" s="4">
        <v>71.040000000000006</v>
      </c>
      <c r="I1064" s="3">
        <v>2.0409000000000002</v>
      </c>
    </row>
    <row r="1065" spans="2:9">
      <c r="B1065" s="4">
        <v>63.35</v>
      </c>
      <c r="D1065" s="4">
        <v>68.650000000000006</v>
      </c>
      <c r="I1065" s="3">
        <v>1.9842</v>
      </c>
    </row>
    <row r="1066" spans="2:9">
      <c r="B1066" s="4">
        <v>62.32</v>
      </c>
      <c r="D1066" s="4">
        <v>67.11</v>
      </c>
      <c r="I1066" s="3">
        <v>1.9547000000000001</v>
      </c>
    </row>
    <row r="1067" spans="2:9">
      <c r="B1067" s="4">
        <v>63.51</v>
      </c>
      <c r="D1067" s="4">
        <v>68.33</v>
      </c>
      <c r="I1067" s="3">
        <v>1.9816</v>
      </c>
    </row>
    <row r="1068" spans="2:9">
      <c r="B1068" s="4">
        <v>63.35</v>
      </c>
      <c r="D1068" s="4">
        <v>68.02</v>
      </c>
      <c r="I1068" s="3">
        <v>1.9767999999999999</v>
      </c>
    </row>
    <row r="1069" spans="2:9">
      <c r="B1069" s="4">
        <v>63.47</v>
      </c>
      <c r="D1069" s="4">
        <v>68.12</v>
      </c>
      <c r="I1069" s="3">
        <v>1.9741</v>
      </c>
    </row>
    <row r="1070" spans="2:9">
      <c r="B1070" s="4">
        <v>63</v>
      </c>
      <c r="D1070" s="4">
        <v>67.64</v>
      </c>
      <c r="I1070" s="3">
        <v>1.9661</v>
      </c>
    </row>
    <row r="1071" spans="2:9">
      <c r="B1071" s="4">
        <v>3.1259999999999999</v>
      </c>
      <c r="D1071" s="4">
        <v>69.34</v>
      </c>
      <c r="I1071" s="3">
        <v>2.0206</v>
      </c>
    </row>
    <row r="1072" spans="2:9">
      <c r="B1072" s="4">
        <v>62.75</v>
      </c>
      <c r="D1072" s="4">
        <v>69.53</v>
      </c>
      <c r="I1072" s="3">
        <v>2.0192000000000001</v>
      </c>
    </row>
    <row r="1073" spans="2:9">
      <c r="B1073" s="4">
        <v>62.83</v>
      </c>
      <c r="D1073" s="4">
        <v>70.11</v>
      </c>
      <c r="I1073" s="3">
        <v>2.0209999999999999</v>
      </c>
    </row>
    <row r="1074" spans="2:9">
      <c r="B1074" s="4">
        <v>62.87</v>
      </c>
      <c r="D1074" s="4">
        <v>70.12</v>
      </c>
      <c r="I1074" s="3">
        <v>2.0203000000000002</v>
      </c>
    </row>
    <row r="1075" spans="2:9">
      <c r="B1075" s="4">
        <v>62.93</v>
      </c>
      <c r="D1075" s="4">
        <v>70.45</v>
      </c>
      <c r="I1075" s="3">
        <v>2.0415000000000001</v>
      </c>
    </row>
    <row r="1076" spans="2:9">
      <c r="B1076" s="4">
        <v>62.56</v>
      </c>
      <c r="D1076" s="4">
        <v>68.91</v>
      </c>
      <c r="I1076" s="3">
        <v>2.0179</v>
      </c>
    </row>
    <row r="1077" spans="2:9">
      <c r="B1077" s="4">
        <v>62.81</v>
      </c>
      <c r="D1077" s="4">
        <v>69.47</v>
      </c>
      <c r="I1077" s="3">
        <v>2.0222000000000002</v>
      </c>
    </row>
    <row r="1078" spans="2:9">
      <c r="B1078" s="4">
        <v>62.26</v>
      </c>
      <c r="D1078" s="4">
        <v>67.42</v>
      </c>
      <c r="I1078" s="3">
        <v>1.9751000000000001</v>
      </c>
    </row>
    <row r="1079" spans="2:9">
      <c r="B1079" s="4">
        <v>61.73</v>
      </c>
      <c r="D1079" s="4">
        <v>66.05</v>
      </c>
      <c r="I1079" s="3">
        <v>1.9375</v>
      </c>
    </row>
    <row r="1080" spans="2:9">
      <c r="B1080" s="4">
        <v>61.85</v>
      </c>
      <c r="D1080" s="4">
        <v>66.209999999999994</v>
      </c>
      <c r="I1080" s="3">
        <v>1.9573</v>
      </c>
    </row>
    <row r="1081" spans="2:9">
      <c r="B1081" s="4">
        <v>61.3</v>
      </c>
      <c r="D1081" s="4">
        <v>65.12</v>
      </c>
      <c r="I1081" s="3">
        <v>1.9345000000000001</v>
      </c>
    </row>
    <row r="1082" spans="2:9">
      <c r="B1082" s="4">
        <v>61.18</v>
      </c>
      <c r="D1082" s="4">
        <v>64.89</v>
      </c>
      <c r="I1082" s="3">
        <v>1.9330000000000001</v>
      </c>
    </row>
    <row r="1083" spans="2:9">
      <c r="B1083" s="4">
        <v>61.03</v>
      </c>
      <c r="D1083" s="4">
        <v>64.64</v>
      </c>
      <c r="I1083" s="3">
        <v>1.9</v>
      </c>
    </row>
    <row r="1084" spans="2:9">
      <c r="B1084" s="4">
        <v>61.41</v>
      </c>
      <c r="D1084" s="4">
        <v>64.95</v>
      </c>
      <c r="I1084" s="3">
        <v>1.9086000000000001</v>
      </c>
    </row>
    <row r="1085" spans="2:9">
      <c r="B1085" s="4">
        <v>61.83</v>
      </c>
      <c r="D1085" s="4">
        <v>65.489999999999995</v>
      </c>
      <c r="I1085" s="3">
        <v>1.9181999999999999</v>
      </c>
    </row>
    <row r="1086" spans="2:9">
      <c r="B1086" s="4">
        <v>60.48</v>
      </c>
      <c r="D1086" s="4">
        <v>63.61</v>
      </c>
      <c r="I1086" s="3">
        <v>1.8676999999999999</v>
      </c>
    </row>
    <row r="1087" spans="2:9">
      <c r="B1087" s="4">
        <v>61.24</v>
      </c>
      <c r="D1087" s="4">
        <v>64.34</v>
      </c>
      <c r="I1087" s="3">
        <v>1.9103000000000001</v>
      </c>
    </row>
    <row r="1088" spans="2:9">
      <c r="B1088" s="4">
        <v>62.41</v>
      </c>
      <c r="D1088" s="4">
        <v>65.790000000000006</v>
      </c>
      <c r="I1088" s="3">
        <v>1.9331</v>
      </c>
    </row>
    <row r="1089" spans="2:9">
      <c r="B1089" s="4">
        <v>62.37</v>
      </c>
      <c r="D1089" s="4">
        <v>65.540000000000006</v>
      </c>
      <c r="I1089" s="3">
        <v>1.9349000000000001</v>
      </c>
    </row>
    <row r="1090" spans="2:9">
      <c r="B1090" s="4">
        <v>61.18</v>
      </c>
      <c r="D1090" s="4">
        <v>64.37</v>
      </c>
      <c r="I1090" s="3">
        <v>1.9014</v>
      </c>
    </row>
    <row r="1091" spans="2:9">
      <c r="B1091" s="4">
        <v>60.93</v>
      </c>
      <c r="D1091" s="4">
        <v>63.83</v>
      </c>
      <c r="I1091" s="3">
        <v>1.8964000000000001</v>
      </c>
    </row>
    <row r="1092" spans="2:9">
      <c r="B1092" s="4">
        <v>62.18</v>
      </c>
      <c r="D1092" s="4">
        <v>65.78</v>
      </c>
      <c r="I1092" s="3">
        <v>1.9246000000000001</v>
      </c>
    </row>
    <row r="1093" spans="2:9">
      <c r="B1093" s="4">
        <v>62.26</v>
      </c>
      <c r="D1093" s="4">
        <v>66.63</v>
      </c>
      <c r="I1093" s="3">
        <v>1.8033999999999999</v>
      </c>
    </row>
    <row r="1094" spans="2:9">
      <c r="B1094" s="4">
        <v>62.35</v>
      </c>
      <c r="D1094" s="4">
        <v>67.5</v>
      </c>
      <c r="I1094" s="3">
        <v>2.0028000000000001</v>
      </c>
    </row>
    <row r="1095" spans="2:9">
      <c r="B1095" s="4">
        <v>62.29</v>
      </c>
      <c r="D1095" s="4">
        <v>67.31</v>
      </c>
      <c r="I1095" s="3">
        <v>1.9896</v>
      </c>
    </row>
    <row r="1096" spans="2:9">
      <c r="B1096" s="4">
        <v>62.13</v>
      </c>
      <c r="D1096" s="4">
        <v>66.39</v>
      </c>
      <c r="I1096" s="3">
        <v>1.9607000000000001</v>
      </c>
    </row>
    <row r="1097" spans="2:9">
      <c r="B1097" s="4">
        <v>61.84</v>
      </c>
      <c r="D1097" s="4">
        <v>65.42</v>
      </c>
      <c r="I1097" s="3">
        <v>1.9446000000000001</v>
      </c>
    </row>
    <row r="1098" spans="2:9">
      <c r="B1098" s="4">
        <v>61.88</v>
      </c>
      <c r="D1098" s="4">
        <v>65.25</v>
      </c>
      <c r="I1098" s="3">
        <v>1.9346000000000001</v>
      </c>
    </row>
    <row r="1099" spans="2:9">
      <c r="B1099" s="4">
        <v>61.79</v>
      </c>
      <c r="D1099" s="4">
        <v>64.84</v>
      </c>
      <c r="I1099" s="3">
        <v>1.9319999999999999</v>
      </c>
    </row>
    <row r="1100" spans="2:9">
      <c r="B1100" s="4">
        <v>61.63</v>
      </c>
      <c r="D1100" s="4">
        <v>64.33</v>
      </c>
      <c r="I1100" s="3">
        <v>1.9142999999999999</v>
      </c>
    </row>
    <row r="1101" spans="2:9">
      <c r="B1101" s="4">
        <v>61.31</v>
      </c>
      <c r="D1101" s="4">
        <v>64.36</v>
      </c>
      <c r="I1101" s="3">
        <v>1.8959999999999999</v>
      </c>
    </row>
    <row r="1102" spans="2:9">
      <c r="B1102" s="4">
        <v>60.54</v>
      </c>
      <c r="D1102" s="4">
        <v>62.72</v>
      </c>
      <c r="I1102" s="3">
        <v>1.8662000000000001</v>
      </c>
    </row>
    <row r="1103" spans="2:9">
      <c r="B1103" s="4">
        <v>60.59</v>
      </c>
      <c r="D1103" s="4">
        <v>62.59</v>
      </c>
      <c r="I1103" s="3">
        <v>1.6785000000000001</v>
      </c>
    </row>
    <row r="1104" spans="2:9">
      <c r="B1104" s="4">
        <v>60.53</v>
      </c>
      <c r="D1104" s="4">
        <v>62.79</v>
      </c>
      <c r="I1104" s="3">
        <v>1.7001999999999999</v>
      </c>
    </row>
    <row r="1105" spans="2:9">
      <c r="B1105" s="4">
        <v>61.86</v>
      </c>
      <c r="D1105" s="4">
        <v>64.81</v>
      </c>
      <c r="I1105" s="3">
        <v>1.7649999999999999</v>
      </c>
    </row>
    <row r="1106" spans="2:9">
      <c r="B1106" s="4">
        <v>62.33</v>
      </c>
      <c r="D1106" s="4">
        <v>65.510000000000005</v>
      </c>
      <c r="I1106" s="3">
        <v>1.766</v>
      </c>
    </row>
    <row r="1107" spans="2:9">
      <c r="B1107" s="4">
        <v>63.58</v>
      </c>
      <c r="D1107" s="4">
        <v>66.86</v>
      </c>
      <c r="I1107" s="3">
        <v>1.8051999999999999</v>
      </c>
    </row>
    <row r="1108" spans="2:9">
      <c r="B1108" s="4">
        <v>64.2</v>
      </c>
      <c r="D1108" s="4">
        <v>67.62</v>
      </c>
      <c r="I1108" s="3">
        <v>1.8466</v>
      </c>
    </row>
    <row r="1109" spans="2:9">
      <c r="B1109" s="4">
        <v>65.349999999999994</v>
      </c>
      <c r="D1109" s="4">
        <v>68.58</v>
      </c>
      <c r="I1109" s="3">
        <v>1.8720000000000001</v>
      </c>
    </row>
    <row r="1110" spans="2:9">
      <c r="B1110" s="4">
        <v>65.72</v>
      </c>
      <c r="D1110" s="4">
        <v>69.650000000000006</v>
      </c>
      <c r="I1110" s="3">
        <v>1.8957999999999999</v>
      </c>
    </row>
    <row r="1111" spans="2:9">
      <c r="B1111" s="4">
        <v>63.66</v>
      </c>
      <c r="D1111" s="4">
        <v>69.05</v>
      </c>
      <c r="I1111" s="3">
        <v>1.8936999999999999</v>
      </c>
    </row>
    <row r="1112" spans="2:9">
      <c r="B1112" s="4">
        <v>63.65</v>
      </c>
      <c r="D1112" s="4">
        <v>69.02</v>
      </c>
      <c r="I1112" s="3">
        <v>1.8707</v>
      </c>
    </row>
    <row r="1113" spans="2:9">
      <c r="B1113" s="4">
        <v>63.75</v>
      </c>
      <c r="D1113" s="4">
        <v>69.459999999999994</v>
      </c>
      <c r="I1113" s="3">
        <v>1.9159999999999999</v>
      </c>
    </row>
    <row r="1114" spans="2:9">
      <c r="B1114" s="4">
        <v>63.83</v>
      </c>
      <c r="D1114" s="4">
        <v>70.52</v>
      </c>
      <c r="I1114" s="3">
        <v>1.9262999999999999</v>
      </c>
    </row>
    <row r="1115" spans="2:9">
      <c r="B1115" s="4">
        <v>63.71</v>
      </c>
      <c r="D1115" s="4">
        <v>70.42</v>
      </c>
      <c r="I1115" s="3">
        <v>1.9089</v>
      </c>
    </row>
    <row r="1116" spans="2:9">
      <c r="B1116" s="4">
        <v>63.74</v>
      </c>
      <c r="D1116" s="4">
        <v>70.53</v>
      </c>
      <c r="I1116" s="3">
        <v>1.9121999999999999</v>
      </c>
    </row>
    <row r="1117" spans="2:9">
      <c r="B1117" s="4">
        <v>63.41</v>
      </c>
      <c r="D1117" s="4">
        <v>69.959999999999994</v>
      </c>
      <c r="I1117" s="3">
        <v>1.9075</v>
      </c>
    </row>
    <row r="1118" spans="2:9">
      <c r="B1118" s="4">
        <v>63.11</v>
      </c>
      <c r="D1118" s="4">
        <v>69.03</v>
      </c>
      <c r="I1118" s="3">
        <v>1.8801000000000001</v>
      </c>
    </row>
    <row r="1119" spans="2:9">
      <c r="B1119" s="4">
        <v>63.02</v>
      </c>
      <c r="D1119" s="4">
        <v>68.61</v>
      </c>
      <c r="I1119" s="3">
        <v>1.8647</v>
      </c>
    </row>
    <row r="1120" spans="2:9">
      <c r="B1120" s="4">
        <v>63.27</v>
      </c>
      <c r="D1120" s="4">
        <v>69.31</v>
      </c>
      <c r="I1120" s="3">
        <v>1.8876999999999999</v>
      </c>
    </row>
    <row r="1121" spans="2:9">
      <c r="B1121" s="4">
        <v>63.28</v>
      </c>
      <c r="D1121" s="4">
        <v>69.38</v>
      </c>
      <c r="I1121" s="3">
        <v>1.8691</v>
      </c>
    </row>
    <row r="1122" spans="2:9">
      <c r="B1122" s="4">
        <v>63.15</v>
      </c>
      <c r="D1122" s="4">
        <v>69.150000000000006</v>
      </c>
      <c r="I1122" s="3">
        <v>1.8529</v>
      </c>
    </row>
    <row r="1123" spans="2:9">
      <c r="B1123" s="4">
        <v>63.47</v>
      </c>
      <c r="D1123" s="4">
        <v>69.87</v>
      </c>
      <c r="I1123" s="3">
        <v>1.8655999999999999</v>
      </c>
    </row>
    <row r="1124" spans="2:9">
      <c r="B1124" s="4">
        <v>63.15</v>
      </c>
      <c r="D1124" s="4">
        <v>69.260000000000005</v>
      </c>
      <c r="I1124" s="3">
        <v>1.8541000000000001</v>
      </c>
    </row>
    <row r="1125" spans="2:9">
      <c r="B1125" s="4">
        <v>62.98</v>
      </c>
      <c r="D1125" s="4">
        <v>69.2</v>
      </c>
      <c r="I1125" s="3">
        <v>1.8327</v>
      </c>
    </row>
    <row r="1126" spans="2:9">
      <c r="B1126" s="4">
        <v>62.57</v>
      </c>
      <c r="D1126" s="4">
        <v>68.819999999999993</v>
      </c>
      <c r="I1126" s="3">
        <v>1.8362000000000001</v>
      </c>
    </row>
    <row r="1127" spans="2:9">
      <c r="B1127" s="4">
        <v>61.66</v>
      </c>
      <c r="D1127" s="4">
        <v>67.78</v>
      </c>
      <c r="I1127" s="3">
        <v>1.7918000000000001</v>
      </c>
    </row>
    <row r="1128" spans="2:9">
      <c r="B1128" s="4">
        <v>61.42</v>
      </c>
      <c r="D1128" s="4">
        <v>67.62</v>
      </c>
      <c r="I1128" s="3">
        <v>1.7858000000000001</v>
      </c>
    </row>
    <row r="1129" spans="2:9">
      <c r="B1129" s="4">
        <v>61.88</v>
      </c>
      <c r="D1129" s="4">
        <v>68.069999999999993</v>
      </c>
      <c r="I1129" s="3">
        <v>1.8067</v>
      </c>
    </row>
    <row r="1130" spans="2:9">
      <c r="B1130" s="4">
        <v>61.54</v>
      </c>
      <c r="D1130" s="4">
        <v>67.84</v>
      </c>
      <c r="I1130" s="3">
        <v>1.7974000000000001</v>
      </c>
    </row>
    <row r="1131" spans="2:9">
      <c r="B1131" s="4">
        <v>60.37</v>
      </c>
      <c r="D1131" s="4">
        <v>66.569999999999993</v>
      </c>
      <c r="I1131" s="3">
        <v>1.7630999999999999</v>
      </c>
    </row>
    <row r="1132" spans="2:9">
      <c r="B1132" s="4">
        <v>57.95</v>
      </c>
      <c r="D1132" s="4">
        <v>66.87</v>
      </c>
      <c r="I1132" s="3">
        <v>1.7958000000000001</v>
      </c>
    </row>
    <row r="1133" spans="2:9">
      <c r="B1133" s="4">
        <v>57.92</v>
      </c>
      <c r="D1133" s="4">
        <v>66.72</v>
      </c>
      <c r="I1133" s="3">
        <v>1.7946</v>
      </c>
    </row>
    <row r="1134" spans="2:9">
      <c r="B1134" s="4">
        <v>57.9</v>
      </c>
      <c r="D1134" s="4">
        <v>66.44</v>
      </c>
      <c r="I1134" s="3">
        <v>1.7952999999999999</v>
      </c>
    </row>
    <row r="1135" spans="2:9">
      <c r="B1135" s="4">
        <v>57.95</v>
      </c>
      <c r="D1135" s="4">
        <v>67.02</v>
      </c>
      <c r="I1135" s="3">
        <v>1.7927999999999999</v>
      </c>
    </row>
    <row r="1136" spans="2:9">
      <c r="B1136" s="4">
        <v>57.65</v>
      </c>
      <c r="D1136" s="4">
        <v>65.25</v>
      </c>
      <c r="I1136" s="3">
        <v>1.7667999999999999</v>
      </c>
    </row>
    <row r="1137" spans="2:9">
      <c r="B1137" s="4">
        <v>57.62</v>
      </c>
      <c r="D1137" s="4">
        <v>64.900000000000006</v>
      </c>
      <c r="I1137" s="3">
        <v>1.7555000000000001</v>
      </c>
    </row>
    <row r="1138" spans="2:9">
      <c r="B1138" s="4">
        <v>57.54</v>
      </c>
      <c r="D1138" s="4">
        <v>64.56</v>
      </c>
      <c r="I1138" s="3">
        <v>1.7446999999999999</v>
      </c>
    </row>
    <row r="1139" spans="2:9">
      <c r="B1139" s="4">
        <v>57.35</v>
      </c>
      <c r="D1139" s="4">
        <v>63.8</v>
      </c>
      <c r="I1139" s="3">
        <v>1.7109000000000001</v>
      </c>
    </row>
    <row r="1140" spans="2:9">
      <c r="B1140" s="4">
        <v>57.22</v>
      </c>
      <c r="D1140" s="4">
        <v>63.41</v>
      </c>
      <c r="I1140" s="3">
        <v>1.6879999999999999</v>
      </c>
    </row>
    <row r="1141" spans="2:9">
      <c r="B1141" s="4">
        <v>57.27</v>
      </c>
      <c r="D1141" s="4">
        <v>63.23</v>
      </c>
      <c r="I1141" s="3">
        <v>1.6725000000000001</v>
      </c>
    </row>
    <row r="1142" spans="2:9">
      <c r="B1142" s="4">
        <v>57.15</v>
      </c>
      <c r="D1142" s="4">
        <v>63.31</v>
      </c>
      <c r="I1142" s="3">
        <v>1.6707000000000001</v>
      </c>
    </row>
    <row r="1143" spans="2:9">
      <c r="B1143" s="4">
        <v>56.89</v>
      </c>
      <c r="D1143" s="4">
        <v>62.44</v>
      </c>
      <c r="I1143" s="3">
        <v>1.6467000000000001</v>
      </c>
    </row>
    <row r="1144" spans="2:9">
      <c r="B1144" s="4">
        <v>57.22</v>
      </c>
      <c r="D1144" s="4">
        <v>63.34</v>
      </c>
      <c r="I1144" s="3">
        <v>1.6976</v>
      </c>
    </row>
    <row r="1145" spans="2:9">
      <c r="B1145" s="4">
        <v>57.79</v>
      </c>
      <c r="D1145" s="4">
        <v>64.69</v>
      </c>
      <c r="I1145" s="3">
        <v>1.7265999999999999</v>
      </c>
    </row>
    <row r="1146" spans="2:9">
      <c r="B1146" s="4">
        <v>57.35</v>
      </c>
      <c r="D1146" s="4">
        <v>63.4</v>
      </c>
      <c r="I1146" s="3">
        <v>1.7165999999999999</v>
      </c>
    </row>
    <row r="1147" spans="2:9">
      <c r="B1147" s="4">
        <v>56.84</v>
      </c>
      <c r="D1147" s="4">
        <v>62.2</v>
      </c>
      <c r="I1147" s="3">
        <v>1.7</v>
      </c>
    </row>
    <row r="1148" spans="2:9">
      <c r="B1148" s="4">
        <v>56.26</v>
      </c>
      <c r="D1148" s="4">
        <v>61.22</v>
      </c>
      <c r="I1148" s="3">
        <v>1.6609</v>
      </c>
    </row>
    <row r="1149" spans="2:9">
      <c r="B1149" s="4">
        <v>57.67</v>
      </c>
      <c r="D1149" s="4">
        <v>62.86</v>
      </c>
      <c r="I1149" s="3">
        <v>1.7183999999999999</v>
      </c>
    </row>
    <row r="1150" spans="2:9">
      <c r="B1150" s="4">
        <v>57.52</v>
      </c>
      <c r="D1150" s="4">
        <v>62.45</v>
      </c>
      <c r="I1150" s="3">
        <v>1.6921999999999999</v>
      </c>
    </row>
    <row r="1151" spans="2:9">
      <c r="B1151" s="4">
        <v>58.37</v>
      </c>
      <c r="D1151" s="4">
        <v>63.73</v>
      </c>
      <c r="I1151" s="3">
        <v>1.7416</v>
      </c>
    </row>
    <row r="1152" spans="2:9">
      <c r="B1152" s="4">
        <v>56.66</v>
      </c>
      <c r="D1152" s="4">
        <v>63.57</v>
      </c>
      <c r="I1152" s="3">
        <v>1.73</v>
      </c>
    </row>
    <row r="1153" spans="2:9">
      <c r="B1153" s="4">
        <v>56.66</v>
      </c>
      <c r="D1153" s="4">
        <v>63.11</v>
      </c>
      <c r="I1153" s="3">
        <v>1.7339</v>
      </c>
    </row>
    <row r="1154" spans="2:9">
      <c r="B1154" s="4">
        <v>56.72</v>
      </c>
      <c r="D1154" s="4">
        <v>63.61</v>
      </c>
      <c r="I1154" s="3">
        <v>1.7685999999999999</v>
      </c>
    </row>
    <row r="1155" spans="2:9">
      <c r="B1155" s="4">
        <v>56.74</v>
      </c>
      <c r="D1155" s="4">
        <v>63.84</v>
      </c>
      <c r="I1155" s="3">
        <v>1.7850999999999999</v>
      </c>
    </row>
    <row r="1156" spans="2:9">
      <c r="B1156" s="4">
        <v>56.9</v>
      </c>
      <c r="D1156" s="4">
        <v>63.86</v>
      </c>
      <c r="I1156" s="3">
        <v>1.7808999999999999</v>
      </c>
    </row>
    <row r="1157" spans="2:9">
      <c r="B1157" s="4">
        <v>56.68</v>
      </c>
      <c r="D1157" s="4">
        <v>63.32</v>
      </c>
      <c r="I1157" s="3">
        <v>1.7619</v>
      </c>
    </row>
    <row r="1158" spans="2:9">
      <c r="B1158" s="4">
        <v>56.34</v>
      </c>
      <c r="D1158" s="4">
        <v>62.57</v>
      </c>
      <c r="I1158" s="3">
        <v>1.7648999999999999</v>
      </c>
    </row>
    <row r="1159" spans="2:9">
      <c r="B1159" s="4">
        <v>56.2</v>
      </c>
      <c r="D1159" s="4">
        <v>62.22</v>
      </c>
      <c r="I1159" s="3">
        <v>1.7378</v>
      </c>
    </row>
    <row r="1160" spans="2:9">
      <c r="B1160" s="4">
        <v>56.32</v>
      </c>
      <c r="D1160" s="4">
        <v>62.72</v>
      </c>
      <c r="I1160" s="3">
        <v>1.7442</v>
      </c>
    </row>
    <row r="1161" spans="2:9">
      <c r="B1161" s="4">
        <v>55.73</v>
      </c>
      <c r="D1161" s="4">
        <v>61.36</v>
      </c>
      <c r="I1161" s="3">
        <v>1.7117</v>
      </c>
    </row>
    <row r="1162" spans="2:9">
      <c r="B1162" s="4">
        <v>55.82</v>
      </c>
      <c r="D1162" s="4">
        <v>61.87</v>
      </c>
      <c r="I1162" s="3">
        <v>1.7330000000000001</v>
      </c>
    </row>
    <row r="1163" spans="2:9">
      <c r="B1163" s="4">
        <v>56.01</v>
      </c>
      <c r="D1163" s="4">
        <v>62.21</v>
      </c>
      <c r="I1163" s="3">
        <v>1.7531000000000001</v>
      </c>
    </row>
    <row r="1164" spans="2:9">
      <c r="B1164" s="4">
        <v>56.62</v>
      </c>
      <c r="D1164" s="4">
        <v>63.16</v>
      </c>
      <c r="I1164" s="3">
        <v>1.7831999999999999</v>
      </c>
    </row>
    <row r="1165" spans="2:9">
      <c r="B1165" s="4">
        <v>56.62</v>
      </c>
      <c r="D1165" s="4">
        <v>63.52</v>
      </c>
      <c r="I1165" s="3">
        <v>1.7961</v>
      </c>
    </row>
    <row r="1166" spans="2:9">
      <c r="B1166" s="4">
        <v>56.9</v>
      </c>
      <c r="D1166" s="4">
        <v>63.93</v>
      </c>
      <c r="I1166" s="3">
        <v>1.8197000000000001</v>
      </c>
    </row>
    <row r="1167" spans="2:9">
      <c r="B1167" s="4">
        <v>56.65</v>
      </c>
      <c r="D1167" s="4">
        <v>63.49</v>
      </c>
      <c r="I1167" s="3">
        <v>1.8212999999999999</v>
      </c>
    </row>
    <row r="1168" spans="2:9">
      <c r="B1168" s="4">
        <v>56.94</v>
      </c>
      <c r="D1168" s="4">
        <v>63.69</v>
      </c>
      <c r="I1168" s="3">
        <v>1.8152999999999999</v>
      </c>
    </row>
    <row r="1169" spans="2:9">
      <c r="B1169" s="4">
        <v>57.06</v>
      </c>
      <c r="D1169" s="4">
        <v>64.27</v>
      </c>
      <c r="I1169" s="3">
        <v>1.83</v>
      </c>
    </row>
    <row r="1170" spans="2:9">
      <c r="B1170" s="4">
        <v>55.6</v>
      </c>
      <c r="D1170" s="4">
        <v>62.07</v>
      </c>
      <c r="I1170" s="3">
        <v>1.7934000000000001</v>
      </c>
    </row>
    <row r="1171" spans="2:9">
      <c r="B1171" s="4">
        <v>54.61</v>
      </c>
      <c r="D1171" s="4">
        <v>60.62</v>
      </c>
      <c r="I1171" s="3">
        <v>1.7697000000000001</v>
      </c>
    </row>
    <row r="1172" spans="2:9">
      <c r="B1172" s="4">
        <v>54.37</v>
      </c>
      <c r="D1172" s="4">
        <v>60.49</v>
      </c>
      <c r="I1172" s="3">
        <v>1.7410000000000001</v>
      </c>
    </row>
    <row r="1173" spans="2:9">
      <c r="B1173" s="4">
        <v>51.59</v>
      </c>
      <c r="D1173" s="4">
        <v>61.37</v>
      </c>
      <c r="I1173" s="3">
        <v>1.7324999999999999</v>
      </c>
    </row>
    <row r="1174" spans="2:9">
      <c r="B1174" s="4">
        <v>51.58</v>
      </c>
      <c r="D1174" s="4">
        <v>60.9</v>
      </c>
      <c r="I1174" s="3">
        <v>1.7132000000000001</v>
      </c>
    </row>
    <row r="1175" spans="2:9">
      <c r="B1175" s="4">
        <v>51.56</v>
      </c>
      <c r="D1175" s="4">
        <v>60.44</v>
      </c>
      <c r="I1175" s="3">
        <v>1.7174</v>
      </c>
    </row>
    <row r="1176" spans="2:9">
      <c r="B1176" s="4">
        <v>51.39</v>
      </c>
      <c r="D1176" s="4">
        <v>59.3</v>
      </c>
      <c r="I1176" s="3">
        <v>1.7017</v>
      </c>
    </row>
    <row r="1177" spans="2:9">
      <c r="B1177" s="4">
        <v>51.31</v>
      </c>
      <c r="D1177" s="4">
        <v>58.44</v>
      </c>
      <c r="I1177" s="3">
        <v>1.6860999999999999</v>
      </c>
    </row>
    <row r="1178" spans="2:9">
      <c r="B1178" s="4">
        <v>51.37</v>
      </c>
      <c r="D1178" s="4">
        <v>58.33</v>
      </c>
      <c r="I1178" s="3">
        <v>1.6734</v>
      </c>
    </row>
    <row r="1179" spans="2:9">
      <c r="B1179" s="4">
        <v>51.22</v>
      </c>
      <c r="D1179" s="4">
        <v>57.37</v>
      </c>
      <c r="I1179" s="3">
        <v>1.639</v>
      </c>
    </row>
    <row r="1180" spans="2:9">
      <c r="B1180" s="4">
        <v>51.2</v>
      </c>
      <c r="D1180" s="4">
        <v>57.75</v>
      </c>
      <c r="I1180" s="3">
        <v>1.6435</v>
      </c>
    </row>
    <row r="1181" spans="2:9">
      <c r="B1181" s="4">
        <v>51.08</v>
      </c>
      <c r="D1181" s="4">
        <v>57.23</v>
      </c>
      <c r="I1181" s="3">
        <v>1.6153999999999999</v>
      </c>
    </row>
    <row r="1182" spans="2:9">
      <c r="B1182" s="4">
        <v>51.39</v>
      </c>
      <c r="D1182" s="4">
        <v>58.15</v>
      </c>
      <c r="I1182" s="3">
        <v>1.619</v>
      </c>
    </row>
    <row r="1183" spans="2:9">
      <c r="B1183" s="4">
        <v>51.32</v>
      </c>
      <c r="D1183" s="4">
        <v>57.88</v>
      </c>
      <c r="I1183" s="3">
        <v>1.6123000000000001</v>
      </c>
    </row>
    <row r="1184" spans="2:9">
      <c r="B1184" s="4">
        <v>51.33</v>
      </c>
      <c r="D1184" s="4">
        <v>57.82</v>
      </c>
      <c r="I1184" s="3">
        <v>1.5993999999999999</v>
      </c>
    </row>
    <row r="1185" spans="2:9">
      <c r="B1185" s="4">
        <v>51.1</v>
      </c>
      <c r="D1185" s="4">
        <v>57.17</v>
      </c>
      <c r="I1185" s="3">
        <v>1.6008</v>
      </c>
    </row>
    <row r="1186" spans="2:9">
      <c r="B1186" s="4">
        <v>50.62</v>
      </c>
      <c r="D1186" s="4">
        <v>56.25</v>
      </c>
      <c r="I1186" s="3">
        <v>1.5831999999999999</v>
      </c>
    </row>
    <row r="1187" spans="2:9">
      <c r="B1187" s="4">
        <v>51.05</v>
      </c>
      <c r="D1187" s="4">
        <v>56.94</v>
      </c>
      <c r="I1187" s="3">
        <v>1.6092</v>
      </c>
    </row>
    <row r="1188" spans="2:9">
      <c r="B1188" s="4">
        <v>50.8</v>
      </c>
      <c r="D1188" s="4">
        <v>56.61</v>
      </c>
      <c r="I1188" s="3">
        <v>1.5914999999999999</v>
      </c>
    </row>
    <row r="1189" spans="2:9">
      <c r="B1189" s="4">
        <v>49.84</v>
      </c>
      <c r="D1189" s="4">
        <v>55.79</v>
      </c>
      <c r="I1189" s="3">
        <v>1.5593999999999999</v>
      </c>
    </row>
    <row r="1190" spans="2:9">
      <c r="B1190" s="4">
        <v>49.61</v>
      </c>
      <c r="D1190" s="4">
        <v>55.62</v>
      </c>
      <c r="I1190" s="3">
        <v>1.5588</v>
      </c>
    </row>
    <row r="1191" spans="2:9">
      <c r="B1191" s="4">
        <v>50.84</v>
      </c>
      <c r="D1191" s="4">
        <v>57</v>
      </c>
      <c r="I1191" s="3">
        <v>1.6113999999999999</v>
      </c>
    </row>
    <row r="1192" spans="2:9">
      <c r="B1192" s="4">
        <v>50.14</v>
      </c>
      <c r="D1192" s="4">
        <v>55.8</v>
      </c>
      <c r="I1192" s="3">
        <v>1.5805</v>
      </c>
    </row>
    <row r="1193" spans="2:9">
      <c r="B1193" s="4">
        <v>50.53</v>
      </c>
      <c r="D1193" s="4">
        <v>56</v>
      </c>
      <c r="I1193" s="3">
        <v>1.5654999999999999</v>
      </c>
    </row>
    <row r="1194" spans="2:9">
      <c r="B1194" s="4">
        <v>50.68</v>
      </c>
      <c r="D1194" s="4">
        <v>56.12</v>
      </c>
      <c r="I1194" s="3">
        <v>1.5552999999999999</v>
      </c>
    </row>
    <row r="1195" spans="2:9">
      <c r="B1195" s="4">
        <v>49.88</v>
      </c>
      <c r="D1195" s="4">
        <v>56.79</v>
      </c>
      <c r="I1195" s="3">
        <v>1.591</v>
      </c>
    </row>
    <row r="1196" spans="2:9">
      <c r="B1196" s="4">
        <v>49.87</v>
      </c>
      <c r="D1196" s="4">
        <v>57.41</v>
      </c>
      <c r="I1196" s="3">
        <v>1.6148</v>
      </c>
    </row>
    <row r="1197" spans="2:9">
      <c r="B1197" s="4">
        <v>49.93</v>
      </c>
      <c r="D1197" s="4">
        <v>57.9</v>
      </c>
      <c r="I1197" s="3">
        <v>1.6220000000000001</v>
      </c>
    </row>
    <row r="1198" spans="2:9">
      <c r="B1198" s="4">
        <v>49.89</v>
      </c>
      <c r="D1198" s="4">
        <v>58.44</v>
      </c>
      <c r="I1198" s="3">
        <v>1.6491</v>
      </c>
    </row>
    <row r="1199" spans="2:9">
      <c r="B1199" s="4">
        <v>49.96</v>
      </c>
      <c r="D1199" s="4">
        <v>59.02</v>
      </c>
      <c r="I1199" s="3">
        <v>1.6674</v>
      </c>
    </row>
    <row r="1200" spans="2:9">
      <c r="B1200" s="4">
        <v>49.57</v>
      </c>
      <c r="D1200" s="4">
        <v>56.86</v>
      </c>
      <c r="I1200" s="3">
        <v>1.6261000000000001</v>
      </c>
    </row>
    <row r="1201" spans="2:9">
      <c r="B1201" s="4">
        <v>49.54</v>
      </c>
      <c r="D1201" s="4">
        <v>56.43</v>
      </c>
      <c r="I1201" s="3">
        <v>1.6066</v>
      </c>
    </row>
    <row r="1202" spans="2:9">
      <c r="B1202" s="4">
        <v>49.58</v>
      </c>
      <c r="D1202" s="4">
        <v>56.29</v>
      </c>
      <c r="I1202" s="3">
        <v>1.6157999999999999</v>
      </c>
    </row>
    <row r="1203" spans="2:9">
      <c r="B1203" s="4">
        <v>49.26</v>
      </c>
      <c r="D1203" s="4">
        <v>55.14</v>
      </c>
      <c r="I1203" s="3">
        <v>1.6059000000000001</v>
      </c>
    </row>
    <row r="1204" spans="2:9">
      <c r="B1204" s="4">
        <v>49.46</v>
      </c>
      <c r="D1204" s="4">
        <v>55.48</v>
      </c>
      <c r="I1204" s="3">
        <v>1.6166</v>
      </c>
    </row>
    <row r="1205" spans="2:9">
      <c r="B1205" s="4">
        <v>49.49</v>
      </c>
      <c r="D1205" s="4">
        <v>55.62</v>
      </c>
      <c r="I1205" s="3">
        <v>1.6214</v>
      </c>
    </row>
    <row r="1206" spans="2:9">
      <c r="B1206" s="4">
        <v>49.46</v>
      </c>
      <c r="D1206" s="4">
        <v>55.47</v>
      </c>
      <c r="I1206" s="3">
        <v>1.5967</v>
      </c>
    </row>
    <row r="1207" spans="2:9">
      <c r="B1207" s="4">
        <v>49.1</v>
      </c>
      <c r="D1207" s="4">
        <v>55.16</v>
      </c>
      <c r="I1207" s="3">
        <v>1.6003000000000001</v>
      </c>
    </row>
    <row r="1208" spans="2:9">
      <c r="B1208" s="4">
        <v>48.43</v>
      </c>
      <c r="D1208" s="4">
        <v>54.27</v>
      </c>
      <c r="I1208" s="3">
        <v>1.6563000000000001</v>
      </c>
    </row>
    <row r="1209" spans="2:9">
      <c r="B1209" s="4">
        <v>48.33</v>
      </c>
      <c r="D1209" s="4">
        <v>53.84</v>
      </c>
      <c r="I1209" s="3">
        <v>1.6345000000000001</v>
      </c>
    </row>
    <row r="1210" spans="2:9">
      <c r="B1210" s="4">
        <v>47.9</v>
      </c>
      <c r="D1210" s="4">
        <v>53.78</v>
      </c>
      <c r="I1210" s="3">
        <v>1.6476</v>
      </c>
    </row>
    <row r="1211" spans="2:9">
      <c r="B1211" s="4">
        <v>49.14</v>
      </c>
      <c r="D1211" s="4">
        <v>54.49</v>
      </c>
      <c r="I1211" s="3">
        <v>1.661</v>
      </c>
    </row>
    <row r="1212" spans="2:9">
      <c r="B1212" s="4">
        <v>49.2</v>
      </c>
      <c r="D1212" s="4">
        <v>54.2</v>
      </c>
      <c r="I1212" s="3">
        <v>1.6733</v>
      </c>
    </row>
    <row r="1213" spans="2:9">
      <c r="B1213" s="4">
        <v>48.76</v>
      </c>
      <c r="D1213" s="4">
        <v>53.38</v>
      </c>
      <c r="I1213" s="3">
        <v>1.6991000000000001</v>
      </c>
    </row>
    <row r="1214" spans="2:9">
      <c r="B1214" s="4">
        <v>47.54</v>
      </c>
      <c r="D1214" s="4">
        <v>52.75</v>
      </c>
      <c r="I1214" s="3">
        <v>1.7479</v>
      </c>
    </row>
    <row r="1215" spans="2:9">
      <c r="B1215" s="4">
        <v>48.06</v>
      </c>
      <c r="D1215" s="4">
        <v>52.38</v>
      </c>
      <c r="I1215" s="3">
        <v>1.7791999999999999</v>
      </c>
    </row>
    <row r="1216" spans="2:9">
      <c r="B1216" s="4">
        <v>48</v>
      </c>
      <c r="D1216" s="4">
        <v>50.86</v>
      </c>
      <c r="I1216" s="3">
        <v>1.6375</v>
      </c>
    </row>
    <row r="1217" spans="2:9">
      <c r="B1217" s="4">
        <v>48.04</v>
      </c>
      <c r="D1217" s="4">
        <v>52</v>
      </c>
      <c r="I1217" s="3">
        <v>1.6019000000000001</v>
      </c>
    </row>
    <row r="1218" spans="2:9">
      <c r="B1218" s="4">
        <v>48.06</v>
      </c>
      <c r="D1218" s="4">
        <v>51.89</v>
      </c>
      <c r="I1218" s="3">
        <v>1.5712999999999999</v>
      </c>
    </row>
    <row r="1219" spans="2:9">
      <c r="B1219" s="4">
        <v>48.29</v>
      </c>
      <c r="D1219" s="4">
        <v>52.41</v>
      </c>
      <c r="I1219" s="3">
        <v>1.5407999999999999</v>
      </c>
    </row>
    <row r="1220" spans="2:9">
      <c r="B1220" s="4">
        <v>48.19</v>
      </c>
      <c r="D1220" s="4">
        <v>52.04</v>
      </c>
      <c r="I1220" s="3">
        <v>1.5481</v>
      </c>
    </row>
    <row r="1221" spans="2:9">
      <c r="B1221" s="4">
        <v>48.45</v>
      </c>
      <c r="D1221" s="4">
        <v>52.57</v>
      </c>
      <c r="I1221" s="3">
        <v>1.5278</v>
      </c>
    </row>
    <row r="1222" spans="2:9">
      <c r="B1222" s="4">
        <v>48.27</v>
      </c>
      <c r="D1222" s="4">
        <v>51.87</v>
      </c>
      <c r="I1222" s="3">
        <v>1.5015000000000001</v>
      </c>
    </row>
    <row r="1223" spans="2:9">
      <c r="B1223" s="4">
        <v>48.17</v>
      </c>
      <c r="D1223" s="4">
        <v>51.66</v>
      </c>
      <c r="I1223" s="3">
        <v>1.4961</v>
      </c>
    </row>
    <row r="1224" spans="2:9">
      <c r="B1224" s="4">
        <v>48.61</v>
      </c>
      <c r="D1224" s="4">
        <v>52.72</v>
      </c>
      <c r="I1224" s="3">
        <v>1.5330999999999999</v>
      </c>
    </row>
    <row r="1225" spans="2:9">
      <c r="B1225" s="4">
        <v>47.99</v>
      </c>
      <c r="D1225" s="4">
        <v>51.03</v>
      </c>
      <c r="I1225" s="3">
        <v>1.4948999999999999</v>
      </c>
    </row>
    <row r="1226" spans="2:9">
      <c r="B1226" s="4">
        <v>47.85</v>
      </c>
      <c r="D1226" s="4">
        <v>50.27</v>
      </c>
      <c r="I1226" s="3">
        <v>1.4733000000000001</v>
      </c>
    </row>
    <row r="1227" spans="2:9">
      <c r="B1227" s="4">
        <v>48.25</v>
      </c>
      <c r="D1227" s="4">
        <v>50.8</v>
      </c>
      <c r="I1227" s="3">
        <v>1.4901</v>
      </c>
    </row>
    <row r="1228" spans="2:9">
      <c r="B1228" s="4">
        <v>48.27</v>
      </c>
      <c r="D1228" s="4">
        <v>50.73</v>
      </c>
      <c r="I1228" s="3">
        <v>1.486</v>
      </c>
    </row>
    <row r="1229" spans="2:9">
      <c r="B1229" s="4">
        <v>49.02</v>
      </c>
      <c r="D1229" s="4">
        <v>52.1</v>
      </c>
      <c r="I1229" s="3">
        <v>1.5179</v>
      </c>
    </row>
    <row r="1230" spans="2:9">
      <c r="B1230" s="4">
        <v>48.87</v>
      </c>
      <c r="D1230" s="4">
        <v>51.9</v>
      </c>
      <c r="I1230" s="3">
        <v>1.6028</v>
      </c>
    </row>
    <row r="1231" spans="2:9">
      <c r="B1231" s="4">
        <v>49.55</v>
      </c>
      <c r="D1231" s="4">
        <v>52.7</v>
      </c>
      <c r="I1231" s="3">
        <v>1.62</v>
      </c>
    </row>
    <row r="1232" spans="2:9">
      <c r="B1232" s="4">
        <v>49.26</v>
      </c>
      <c r="D1232" s="4">
        <v>52.14</v>
      </c>
      <c r="I1232" s="3">
        <v>1.6208</v>
      </c>
    </row>
    <row r="1233" spans="2:9">
      <c r="B1233" s="4">
        <v>49.44</v>
      </c>
      <c r="D1233" s="4">
        <v>52.37</v>
      </c>
      <c r="I1233" s="3">
        <v>1.6298999999999999</v>
      </c>
    </row>
    <row r="1234" spans="2:9">
      <c r="B1234" s="4">
        <v>49.58</v>
      </c>
      <c r="D1234" s="4">
        <v>52.42</v>
      </c>
      <c r="I1234" s="3">
        <v>1.6463000000000001</v>
      </c>
    </row>
    <row r="1235" spans="2:9">
      <c r="B1235" s="4">
        <v>49.11</v>
      </c>
      <c r="D1235" s="4">
        <v>52.01</v>
      </c>
      <c r="I1235" s="3">
        <v>1.6318999999999999</v>
      </c>
    </row>
    <row r="1236" spans="2:9">
      <c r="B1236" s="4">
        <v>49.61</v>
      </c>
      <c r="D1236" s="4">
        <v>52.36</v>
      </c>
      <c r="I1236" s="3">
        <v>1.6448</v>
      </c>
    </row>
    <row r="1237" spans="2:9">
      <c r="B1237" s="4">
        <v>49.2</v>
      </c>
      <c r="D1237" s="4">
        <v>51.78</v>
      </c>
      <c r="I1237" s="3">
        <v>1.6613</v>
      </c>
    </row>
    <row r="1238" spans="2:9">
      <c r="B1238" s="4">
        <v>46.68</v>
      </c>
      <c r="D1238" s="4">
        <v>52.65</v>
      </c>
      <c r="I1238" s="3">
        <v>1.6766000000000001</v>
      </c>
    </row>
    <row r="1239" spans="2:9">
      <c r="B1239" s="4">
        <v>46.65</v>
      </c>
      <c r="D1239" s="4">
        <v>52.52</v>
      </c>
      <c r="I1239" s="3">
        <v>1.6457999999999999</v>
      </c>
    </row>
    <row r="1240" spans="2:9">
      <c r="B1240" s="4">
        <v>46.59</v>
      </c>
      <c r="D1240" s="4">
        <v>51.49</v>
      </c>
      <c r="I1240" s="3">
        <v>1.6196999999999999</v>
      </c>
    </row>
    <row r="1241" spans="2:9">
      <c r="B1241" s="4">
        <v>46.54</v>
      </c>
      <c r="D1241" s="4">
        <v>50.97</v>
      </c>
      <c r="I1241" s="3">
        <v>1.5944</v>
      </c>
    </row>
    <row r="1242" spans="2:9">
      <c r="B1242" s="4">
        <v>46.37</v>
      </c>
      <c r="D1242" s="4">
        <v>50.2</v>
      </c>
      <c r="I1242" s="3">
        <v>1.5720000000000001</v>
      </c>
    </row>
    <row r="1243" spans="2:9">
      <c r="B1243" s="4">
        <v>45.98</v>
      </c>
      <c r="D1243" s="4">
        <v>48.6</v>
      </c>
      <c r="I1243" s="3">
        <v>1.5336000000000001</v>
      </c>
    </row>
    <row r="1244" spans="2:9">
      <c r="B1244" s="4">
        <v>45.81</v>
      </c>
      <c r="D1244" s="4">
        <v>48.06</v>
      </c>
      <c r="I1244" s="3">
        <v>1.5342</v>
      </c>
    </row>
    <row r="1245" spans="2:9">
      <c r="B1245" s="4">
        <v>46.21</v>
      </c>
      <c r="D1245" s="4">
        <v>49.3</v>
      </c>
      <c r="I1245" s="3">
        <v>1.5720000000000001</v>
      </c>
    </row>
    <row r="1246" spans="2:9">
      <c r="B1246" s="4">
        <v>46.37</v>
      </c>
      <c r="D1246" s="4">
        <v>49.7</v>
      </c>
      <c r="I1246" s="3">
        <v>1.5784</v>
      </c>
    </row>
    <row r="1247" spans="2:9">
      <c r="B1247" s="4">
        <v>46.04</v>
      </c>
      <c r="D1247" s="4">
        <v>48.84</v>
      </c>
      <c r="I1247" s="3">
        <v>1.5407999999999999</v>
      </c>
    </row>
    <row r="1248" spans="2:9">
      <c r="B1248" s="4">
        <v>45.86</v>
      </c>
      <c r="D1248" s="4">
        <v>48.42</v>
      </c>
      <c r="I1248" s="3">
        <v>1.5259</v>
      </c>
    </row>
    <row r="1249" spans="2:9">
      <c r="B1249" s="4">
        <v>46.15</v>
      </c>
      <c r="D1249" s="4">
        <v>48.91</v>
      </c>
      <c r="I1249" s="3">
        <v>1.5334000000000001</v>
      </c>
    </row>
    <row r="1250" spans="2:9">
      <c r="B1250" s="4">
        <v>45.86</v>
      </c>
      <c r="D1250" s="4">
        <v>48.42</v>
      </c>
      <c r="I1250" s="3">
        <v>1.5261</v>
      </c>
    </row>
    <row r="1251" spans="2:9">
      <c r="B1251" s="4">
        <v>45.47</v>
      </c>
      <c r="D1251" s="4">
        <v>47.74</v>
      </c>
      <c r="I1251" s="3">
        <v>1.5207999999999999</v>
      </c>
    </row>
    <row r="1252" spans="2:9">
      <c r="B1252" s="4">
        <v>45.16</v>
      </c>
      <c r="D1252" s="4">
        <v>47.52</v>
      </c>
      <c r="I1252" s="3">
        <v>1.5183</v>
      </c>
    </row>
    <row r="1253" spans="2:9">
      <c r="B1253" s="4">
        <v>44.69</v>
      </c>
      <c r="D1253" s="4">
        <v>46.88</v>
      </c>
      <c r="I1253" s="3">
        <v>1.5006999999999999</v>
      </c>
    </row>
    <row r="1254" spans="2:9">
      <c r="B1254" s="4">
        <v>44.54</v>
      </c>
      <c r="D1254" s="4">
        <v>46.71</v>
      </c>
      <c r="I1254" s="3">
        <v>1.4984</v>
      </c>
    </row>
    <row r="1255" spans="2:9">
      <c r="B1255" s="4">
        <v>45.64</v>
      </c>
      <c r="D1255" s="4">
        <v>48.11</v>
      </c>
      <c r="I1255" s="3">
        <v>1.5286999999999999</v>
      </c>
    </row>
    <row r="1256" spans="2:9">
      <c r="B1256" s="4">
        <v>45.3</v>
      </c>
      <c r="D1256" s="4">
        <v>47.79</v>
      </c>
      <c r="I1256" s="3">
        <v>1.5024</v>
      </c>
    </row>
    <row r="1257" spans="2:9">
      <c r="B1257" s="4">
        <v>47.15</v>
      </c>
      <c r="D1257" s="4">
        <v>49.68</v>
      </c>
      <c r="I1257" s="3">
        <v>1.5347999999999999</v>
      </c>
    </row>
    <row r="1258" spans="2:9">
      <c r="B1258" s="4">
        <v>46.13</v>
      </c>
      <c r="D1258" s="4">
        <v>48.77</v>
      </c>
      <c r="I1258" s="3">
        <v>1.5137</v>
      </c>
    </row>
    <row r="1259" spans="2:9">
      <c r="B1259" s="4">
        <v>45.15</v>
      </c>
      <c r="D1259" s="4">
        <v>47.42</v>
      </c>
      <c r="I1259" s="3">
        <v>1.4770000000000001</v>
      </c>
    </row>
    <row r="1260" spans="2:9">
      <c r="B1260" s="4">
        <v>45.13</v>
      </c>
      <c r="D1260" s="4">
        <v>47.31</v>
      </c>
      <c r="I1260" s="3">
        <v>1.4735</v>
      </c>
    </row>
    <row r="1261" spans="2:9">
      <c r="B1261" s="4">
        <v>45.06</v>
      </c>
      <c r="D1261" s="4">
        <v>46.65</v>
      </c>
      <c r="I1261" s="3">
        <v>1.4517</v>
      </c>
    </row>
    <row r="1262" spans="2:9">
      <c r="B1262" s="4">
        <v>44.9</v>
      </c>
      <c r="D1262" s="4">
        <v>45.83</v>
      </c>
      <c r="I1262" s="3">
        <v>1.4280999999999999</v>
      </c>
    </row>
    <row r="1263" spans="2:9">
      <c r="B1263" s="4">
        <v>44.82</v>
      </c>
      <c r="D1263" s="4">
        <v>45.54</v>
      </c>
      <c r="I1263" s="3">
        <v>1.4224000000000001</v>
      </c>
    </row>
    <row r="1264" spans="2:9">
      <c r="B1264" s="4">
        <v>44.75</v>
      </c>
      <c r="D1264" s="4">
        <v>45.22</v>
      </c>
      <c r="I1264" s="3">
        <v>1.4238999999999999</v>
      </c>
    </row>
    <row r="1265" spans="2:9">
      <c r="B1265" s="4">
        <v>44.68</v>
      </c>
      <c r="D1265" s="4">
        <v>44.82</v>
      </c>
      <c r="I1265" s="3">
        <v>1.4040999999999999</v>
      </c>
    </row>
    <row r="1266" spans="2:9">
      <c r="B1266" s="4">
        <v>45.04</v>
      </c>
      <c r="D1266" s="4">
        <v>46.02</v>
      </c>
      <c r="I1266" s="3">
        <v>1.4188000000000001</v>
      </c>
    </row>
    <row r="1267" spans="2:9">
      <c r="B1267" s="4">
        <v>45.41</v>
      </c>
      <c r="D1267" s="4">
        <v>46.91</v>
      </c>
      <c r="I1267" s="3">
        <v>1.4446000000000001</v>
      </c>
    </row>
    <row r="1268" spans="2:9">
      <c r="B1268" s="4">
        <v>45.66</v>
      </c>
      <c r="D1268" s="4">
        <v>47.37</v>
      </c>
      <c r="I1268" s="3">
        <v>1.4500999999999999</v>
      </c>
    </row>
    <row r="1269" spans="2:9">
      <c r="B1269" s="4">
        <v>45.52</v>
      </c>
      <c r="D1269" s="4">
        <v>46.92</v>
      </c>
      <c r="I1269" s="3">
        <v>1.4357</v>
      </c>
    </row>
    <row r="1270" spans="2:9">
      <c r="B1270" s="4">
        <v>45.66</v>
      </c>
      <c r="D1270" s="4">
        <v>47</v>
      </c>
      <c r="I1270" s="3">
        <v>1.4327000000000001</v>
      </c>
    </row>
    <row r="1271" spans="2:9">
      <c r="B1271" s="4">
        <v>46.68</v>
      </c>
      <c r="D1271" s="4">
        <v>48.72</v>
      </c>
      <c r="I1271" s="3">
        <v>1.4995000000000001</v>
      </c>
    </row>
    <row r="1272" spans="2:9">
      <c r="I1272" s="33">
        <f>AVERAGE(I591:I1271)</f>
        <v>1.7656988252569759</v>
      </c>
    </row>
  </sheetData>
  <phoneticPr fontId="13" type="noConversion"/>
  <conditionalFormatting sqref="K1:K1048576">
    <cfRule type="cellIs" dxfId="94" priority="1" operator="lessThan">
      <formula>0</formula>
    </cfRule>
    <cfRule type="cellIs" priority="2" operator="lessThan">
      <formula>0</formula>
    </cfRule>
  </conditionalFormatting>
  <pageMargins left="0.7" right="0.7" top="0.75" bottom="0.75" header="0.3" footer="0.3"/>
  <drawing r:id="rId1"/>
  <legacyDrawing r:id="rId2"/>
  <picture r:id="rId3"/>
  <tableParts count="1">
    <tablePart r:id="rId4"/>
  </tableParts>
  <extLst>
    <ext xmlns:x14="http://schemas.microsoft.com/office/spreadsheetml/2009/9/main" uri="{05C60535-1F16-4fd2-B633-F4F36F0B64E0}">
      <x14:sparklineGroups xmlns:xm="http://schemas.microsoft.com/office/excel/2006/main">
        <x14:sparklineGroup manualMax="0" manualMin="0" dateAxis="1" displayEmptyCellsAs="gap" xr2:uid="{4D380D8B-DD3E-42FC-BE95-B42FD57A01AB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m:f>'Comparing the Data'!A2:A350</xm:f>
          <x14:sparklines>
            <x14:sparkline>
              <xm:f>'Comparing the Data'!I2:I350</xm:f>
              <xm:sqref>L340</xm:sqref>
            </x14:sparkline>
          </x14:sparklines>
        </x14:sparklineGroup>
        <x14:sparklineGroup manualMax="0" manualMin="0" displayEmptyCellsAs="gap" xr2:uid="{FC53D487-8DEA-4C03-A657-D617CE1CBCA4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'Comparing the Data'!I351:I590</xm:f>
              <xm:sqref>L342</xm:sqref>
            </x14:sparkline>
          </x14:sparklines>
        </x14:sparklineGroup>
      </x14:sparklineGroup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2DACAA-848E-4C13-9712-4508534754AD}">
  <sheetPr codeName="Sheet7"/>
  <dimension ref="A1:T25"/>
  <sheetViews>
    <sheetView showGridLines="0" workbookViewId="0">
      <selection activeCell="E3" sqref="E3"/>
    </sheetView>
  </sheetViews>
  <sheetFormatPr defaultRowHeight="15.75"/>
  <cols>
    <col min="1" max="1" width="18.125" style="68" bestFit="1" customWidth="1"/>
    <col min="2" max="2" width="13" style="68" customWidth="1"/>
    <col min="3" max="3" width="10" style="68" bestFit="1" customWidth="1"/>
    <col min="4" max="4" width="11.5" style="68" bestFit="1" customWidth="1"/>
    <col min="5" max="5" width="10.125" style="68" bestFit="1" customWidth="1"/>
    <col min="6" max="6" width="9.125" style="68" bestFit="1" customWidth="1"/>
    <col min="7" max="7" width="10.25" style="68" bestFit="1" customWidth="1"/>
    <col min="8" max="9" width="9" style="68"/>
    <col min="10" max="10" width="10.375" style="68" bestFit="1" customWidth="1"/>
    <col min="11" max="11" width="9" style="68"/>
    <col min="12" max="12" width="9.375" style="68" bestFit="1" customWidth="1"/>
    <col min="13" max="13" width="9.125" style="111" bestFit="1" customWidth="1"/>
    <col min="14" max="14" width="9" style="111"/>
    <col min="15" max="15" width="9.125" style="111" bestFit="1" customWidth="1"/>
    <col min="16" max="18" width="9" style="68"/>
    <col min="19" max="20" width="9.375" style="68" bestFit="1" customWidth="1"/>
    <col min="21" max="16384" width="9" style="68"/>
  </cols>
  <sheetData>
    <row r="1" spans="1:20">
      <c r="A1" s="65"/>
      <c r="B1" s="66" t="s">
        <v>38</v>
      </c>
      <c r="C1" s="67" t="s">
        <v>40</v>
      </c>
      <c r="D1" s="66" t="s">
        <v>39</v>
      </c>
      <c r="E1" s="67" t="s">
        <v>40</v>
      </c>
      <c r="I1" s="109" t="s">
        <v>79</v>
      </c>
      <c r="J1" s="110">
        <f>MIN('Cheapest crude price'!A4:A687)</f>
        <v>43769</v>
      </c>
      <c r="K1" s="109" t="s">
        <v>80</v>
      </c>
      <c r="L1" s="110">
        <f>MAX('Cheapest crude price'!A4:A687)</f>
        <v>44739</v>
      </c>
    </row>
    <row r="2" spans="1:20" ht="19.5">
      <c r="A2" s="69" t="s">
        <v>36</v>
      </c>
      <c r="B2" s="70">
        <f>MIN('Cheapest crude price'!$B$2:$B$677)</f>
        <v>12.22</v>
      </c>
      <c r="C2" s="71">
        <f>INDEX('Cheapest crude price'!A4:A687,MATCH(B2,'Cheapest crude price'!B4:B687,0))</f>
        <v>43943</v>
      </c>
      <c r="D2" s="72">
        <f>MAX('Cheapest crude price'!$B$4:$B$677)</f>
        <v>119.78</v>
      </c>
      <c r="E2" s="73">
        <f>INDEX('Cheapest crude price'!A4:A687,MATCH('oil and gas price minmax data'!D2,'Cheapest crude price'!B4:B687,0))</f>
        <v>44629</v>
      </c>
      <c r="G2" s="112" t="e">
        <f>VLOOKUP(B2,'Cheapest crude price'!A4:B687,2,FALSE)</f>
        <v>#N/A</v>
      </c>
    </row>
    <row r="3" spans="1:20" ht="20.25" thickBot="1">
      <c r="A3" s="74" t="s">
        <v>37</v>
      </c>
      <c r="B3" s="75">
        <f>MIN('GasPrice at Pump'!$K$2:$K$677)</f>
        <v>0.49469999999999997</v>
      </c>
      <c r="C3" s="76">
        <f>INDEX('Gasoline Prices'!A4:A687,MATCH('oil and gas price minmax data'!B3,'Gasoline Prices'!B4:B687,0))</f>
        <v>43930</v>
      </c>
      <c r="D3" s="75">
        <f>MAX('GasPrice at Pump'!$K$4:$K$677)</f>
        <v>4.2762000000000002</v>
      </c>
      <c r="E3" s="76">
        <f>INDEX('Gasoline Prices'!A4:A687,MATCH(D3,'Gasoline Prices'!B4:B687,0))</f>
        <v>44721</v>
      </c>
    </row>
    <row r="4" spans="1:20">
      <c r="C4" s="71"/>
    </row>
    <row r="5" spans="1:20" ht="21">
      <c r="A5" s="121" t="str">
        <f>IF(CORREL('Gasoline Prices'!$B$2:$B$677,'Cheapest crude price'!$B$2:$B$677)&gt;0.9,"Very Highly Correlated: "&amp;ROUND(CORREL('Gasoline Prices'!$B$2:$B$677,'Cheapest crude price'!$B$2:$B$677),2)*100&amp;"%.",IF(CORREL('Gasoline Prices'!$B$2:$B$677,'Cheapest crude price'!$B$2:$B$677)&gt;0.69,"Highly Correlated: "&amp;ROUND(CORREL('Gasoline Prices'!$B$2:$B$677,'Cheapest crude price'!$B$2:$B$677),2)*100&amp;"%.",IF(0.699&gt;CORREL('Gasoline Prices'!$B$2:$B$677,'Cheapest crude price'!$B$2:$B$677)&gt;0.5,"Moderately Correlated: "&amp;ROUND(CORREL('Gasoline Prices'!$B$2:$B$677,'Cheapest crude price'!$B$2:$B$677),2)*100&amp;"%.",IF(0.499&gt;CORREL('Gasoline Prices'!$B$2:$B$677,'Cheapest crude price'!$B$2:$B$677)&gt;0.3,"Low Correlation: "&amp;ROUND(CORREL('Gasoline Prices'!$B$2:$B$677,'Cheapest crude price'!$B$2:$B$677),2)*100&amp;"%.",))))</f>
        <v>Very Highly Correlated: 97%.</v>
      </c>
      <c r="B5" s="121"/>
      <c r="C5" s="107"/>
      <c r="D5" s="107"/>
      <c r="E5" s="107"/>
    </row>
    <row r="6" spans="1:20">
      <c r="A6" s="79"/>
      <c r="B6" s="79"/>
      <c r="C6" s="79"/>
      <c r="D6" s="80" t="s">
        <v>63</v>
      </c>
      <c r="E6" s="80"/>
      <c r="F6" s="80"/>
      <c r="G6" s="80" t="s">
        <v>65</v>
      </c>
      <c r="H6" s="80"/>
      <c r="I6" s="77"/>
      <c r="J6" s="77"/>
    </row>
    <row r="7" spans="1:20">
      <c r="A7" s="80" t="s">
        <v>58</v>
      </c>
      <c r="B7" s="79"/>
      <c r="C7" s="79"/>
      <c r="D7" s="81">
        <f>AVERAGE('Comparing the Data'!$H$591:$H$685)</f>
        <v>54.965578947368428</v>
      </c>
      <c r="E7" s="80"/>
      <c r="F7" s="80"/>
      <c r="G7" s="81">
        <f>AVERAGE('Comparing the Data'!I591:I685)</f>
        <v>1.6306526315789474</v>
      </c>
      <c r="H7" s="80"/>
      <c r="I7" s="77"/>
      <c r="J7" s="77"/>
      <c r="M7" s="113">
        <v>500</v>
      </c>
      <c r="N7" s="113" t="s">
        <v>81</v>
      </c>
      <c r="O7" s="113" t="s">
        <v>87</v>
      </c>
      <c r="P7" s="113"/>
      <c r="Q7" s="113"/>
      <c r="R7" s="113"/>
      <c r="S7" s="113"/>
      <c r="T7" s="113"/>
    </row>
    <row r="8" spans="1:20">
      <c r="A8" s="79"/>
      <c r="B8" s="79"/>
      <c r="C8" s="79"/>
      <c r="D8" s="80"/>
      <c r="E8" s="80"/>
      <c r="F8" s="80"/>
      <c r="G8" s="81"/>
      <c r="H8" s="80"/>
      <c r="I8" s="77"/>
      <c r="J8" s="77"/>
      <c r="M8" s="113">
        <v>450</v>
      </c>
      <c r="N8" s="113" t="s">
        <v>82</v>
      </c>
      <c r="O8" s="117" t="s">
        <v>83</v>
      </c>
      <c r="P8" s="114">
        <f>INDEX(M7:M12,MATCH(O8,N7:N12,0))</f>
        <v>680</v>
      </c>
      <c r="Q8" s="115" t="s">
        <v>88</v>
      </c>
      <c r="R8" s="113"/>
      <c r="S8" s="113"/>
      <c r="T8" s="116">
        <f>VLOOKUP(B2,B1:C3,2,FALSE)</f>
        <v>43943</v>
      </c>
    </row>
    <row r="9" spans="1:20">
      <c r="A9" s="80" t="s">
        <v>59</v>
      </c>
      <c r="B9" s="79"/>
      <c r="C9" s="79"/>
      <c r="D9" s="81">
        <f>AVERAGE('Comparing the Data'!$H$525:$H$590)</f>
        <v>21.729696969696967</v>
      </c>
      <c r="E9" s="82">
        <f>D9/D7-1</f>
        <v>-0.60466718652224238</v>
      </c>
      <c r="F9" s="80"/>
      <c r="G9" s="81">
        <f>AVERAGE('Comparing the Data'!I525:I590)</f>
        <v>0.88905000000000001</v>
      </c>
      <c r="H9" s="80"/>
      <c r="I9" s="77"/>
      <c r="J9" s="77"/>
      <c r="M9" s="113">
        <v>680</v>
      </c>
      <c r="N9" s="113" t="s">
        <v>83</v>
      </c>
      <c r="O9" s="114">
        <v>680</v>
      </c>
      <c r="P9" s="114" t="str">
        <f>INDEX(N7:N12,MATCH(O9,M7:M12,0))</f>
        <v>chicken</v>
      </c>
      <c r="Q9" s="113"/>
      <c r="R9" s="113"/>
      <c r="S9" s="113"/>
      <c r="T9" s="113"/>
    </row>
    <row r="10" spans="1:20">
      <c r="A10" s="79"/>
      <c r="B10" s="79"/>
      <c r="C10" s="79"/>
      <c r="D10" s="80"/>
      <c r="E10" s="82"/>
      <c r="F10" s="80"/>
      <c r="G10" s="81"/>
      <c r="H10" s="80"/>
      <c r="I10" s="77"/>
      <c r="J10" s="77"/>
      <c r="M10" s="113">
        <v>400</v>
      </c>
      <c r="N10" s="113" t="s">
        <v>84</v>
      </c>
      <c r="O10" s="113"/>
      <c r="P10" s="114"/>
      <c r="Q10" s="113"/>
      <c r="R10" s="113"/>
      <c r="S10" s="113"/>
      <c r="T10" s="113"/>
    </row>
    <row r="11" spans="1:20">
      <c r="A11" s="80" t="s">
        <v>60</v>
      </c>
      <c r="B11" s="79"/>
      <c r="C11" s="79"/>
      <c r="D11" s="81">
        <f>AVERAGE('Comparing the Data'!H349:H529)</f>
        <v>42.007403314917113</v>
      </c>
      <c r="E11" s="82">
        <f>D11/D9-1</f>
        <v>0.93317943519867375</v>
      </c>
      <c r="F11" s="80"/>
      <c r="G11" s="81">
        <f>AVERAGE('Comparing the Data'!I349:I529)</f>
        <v>1.2537933701657458</v>
      </c>
      <c r="H11" s="80"/>
      <c r="I11" s="77"/>
      <c r="J11" s="77"/>
      <c r="M11" s="113">
        <v>610</v>
      </c>
      <c r="N11" s="113" t="s">
        <v>85</v>
      </c>
      <c r="O11" s="113"/>
      <c r="P11" s="114" t="e">
        <f>INDEX(N7:N12,MATCH(P9,M7:N12,0))</f>
        <v>#N/A</v>
      </c>
      <c r="Q11" s="113"/>
      <c r="R11" s="113"/>
      <c r="S11" s="113"/>
      <c r="T11" s="113"/>
    </row>
    <row r="12" spans="1:20">
      <c r="A12" s="79"/>
      <c r="B12" s="79"/>
      <c r="C12" s="79"/>
      <c r="D12" s="80"/>
      <c r="E12" s="80"/>
      <c r="F12" s="82"/>
      <c r="G12" s="81"/>
      <c r="H12" s="80"/>
      <c r="I12" s="77"/>
      <c r="J12" s="77"/>
      <c r="K12" s="77"/>
      <c r="M12" s="113">
        <v>365</v>
      </c>
      <c r="N12" s="113" t="s">
        <v>86</v>
      </c>
      <c r="O12" s="113"/>
      <c r="P12" s="113"/>
      <c r="Q12" s="113"/>
      <c r="R12" s="113"/>
      <c r="S12" s="113"/>
      <c r="T12" s="113"/>
    </row>
    <row r="13" spans="1:20">
      <c r="A13" s="83" t="s">
        <v>64</v>
      </c>
      <c r="B13" s="79"/>
      <c r="C13" s="79"/>
      <c r="D13" s="80"/>
      <c r="E13" s="81">
        <f>AVERAGE('Comparing the Data'!H87:H349)</f>
        <v>70.627756653992378</v>
      </c>
      <c r="F13" s="82">
        <f>E13/D11-1</f>
        <v>0.68131688894257314</v>
      </c>
      <c r="G13" s="81">
        <f>AVERAGE('Comparing the Data'!I87:I349)</f>
        <v>2.2008927756653991</v>
      </c>
      <c r="H13" s="80"/>
      <c r="I13" s="77"/>
      <c r="J13" s="77"/>
      <c r="K13" s="77"/>
      <c r="M13" s="113"/>
      <c r="N13" s="113"/>
      <c r="O13" s="113"/>
      <c r="P13" s="113"/>
      <c r="Q13" s="113"/>
      <c r="R13" s="113"/>
      <c r="S13" s="113"/>
      <c r="T13" s="113"/>
    </row>
    <row r="14" spans="1:20">
      <c r="A14" s="79"/>
      <c r="B14" s="79"/>
      <c r="C14" s="79"/>
      <c r="D14" s="80"/>
      <c r="E14" s="80"/>
      <c r="F14" s="80"/>
      <c r="G14" s="81"/>
      <c r="H14" s="80"/>
      <c r="I14" s="77"/>
      <c r="J14" s="77"/>
      <c r="K14" s="77"/>
      <c r="M14" s="113"/>
      <c r="N14" s="113"/>
      <c r="P14" s="113"/>
      <c r="Q14" s="113"/>
      <c r="R14" s="113"/>
      <c r="S14" s="113"/>
      <c r="T14" s="113"/>
    </row>
    <row r="15" spans="1:20">
      <c r="A15" s="80" t="s">
        <v>61</v>
      </c>
      <c r="B15" s="79"/>
      <c r="C15" s="79"/>
      <c r="D15" s="81">
        <f>AVERAGE('Comparing the Data'!H76:H87)</f>
        <v>103.52083333333333</v>
      </c>
      <c r="E15" s="82">
        <f>(D15/E13)-1</f>
        <v>0.46572450036159552</v>
      </c>
      <c r="F15" s="82"/>
      <c r="G15" s="81">
        <f>AVERAGE('Comparing the Data'!I76:I87)</f>
        <v>3.210808333333333</v>
      </c>
      <c r="H15" s="80"/>
      <c r="I15" s="77"/>
      <c r="M15" s="113"/>
      <c r="N15" s="113"/>
      <c r="P15" s="113"/>
      <c r="Q15" s="113"/>
      <c r="R15" s="113"/>
      <c r="S15" s="113"/>
      <c r="T15" s="113"/>
    </row>
    <row r="16" spans="1:20">
      <c r="A16" s="79"/>
      <c r="B16" s="79"/>
      <c r="C16" s="79"/>
      <c r="D16" s="80"/>
      <c r="E16" s="80"/>
      <c r="F16" s="80"/>
      <c r="G16" s="81"/>
      <c r="H16" s="80"/>
      <c r="I16" s="77"/>
    </row>
    <row r="17" spans="1:11">
      <c r="A17" s="80" t="s">
        <v>62</v>
      </c>
      <c r="B17" s="79"/>
      <c r="C17" s="79"/>
      <c r="D17" s="81">
        <f>AVERAGE('Comparing the Data'!H7:H75)</f>
        <v>104.04159420289857</v>
      </c>
      <c r="E17" s="82">
        <f>D17/D15-1</f>
        <v>5.0304934069493878E-3</v>
      </c>
      <c r="F17" s="82"/>
      <c r="G17" s="81">
        <f>AVERAGE('Comparing the Data'!I7:I75)</f>
        <v>3.5435811594202899</v>
      </c>
      <c r="H17" s="80"/>
      <c r="I17" s="77"/>
    </row>
    <row r="18" spans="1:11">
      <c r="A18" s="79"/>
      <c r="B18" s="79"/>
      <c r="C18" s="79"/>
      <c r="D18" s="80"/>
      <c r="E18" s="80"/>
      <c r="F18" s="80"/>
      <c r="G18" s="80"/>
      <c r="H18" s="80"/>
      <c r="I18" s="77"/>
    </row>
    <row r="19" spans="1:11">
      <c r="A19" s="80" t="s">
        <v>67</v>
      </c>
      <c r="B19" s="79"/>
      <c r="C19" s="79"/>
      <c r="D19" s="80"/>
      <c r="E19" s="80"/>
      <c r="F19" s="80"/>
      <c r="G19" s="80"/>
      <c r="H19" s="80"/>
      <c r="I19" s="77"/>
      <c r="J19" s="77"/>
      <c r="K19" s="77"/>
    </row>
    <row r="20" spans="1:11">
      <c r="A20" s="80" t="s">
        <v>66</v>
      </c>
      <c r="B20" s="79"/>
      <c r="C20" s="79"/>
      <c r="D20" s="80"/>
      <c r="E20" s="80"/>
      <c r="F20" s="80"/>
      <c r="G20" s="80"/>
      <c r="H20" s="80"/>
      <c r="I20" s="77"/>
      <c r="J20" s="77"/>
      <c r="K20" s="77"/>
    </row>
    <row r="21" spans="1:11">
      <c r="D21" s="77"/>
      <c r="E21" s="77"/>
      <c r="F21" s="77"/>
      <c r="G21" s="77"/>
      <c r="H21" s="77"/>
      <c r="I21" s="77"/>
      <c r="J21" s="77"/>
      <c r="K21" s="77"/>
    </row>
    <row r="22" spans="1:11">
      <c r="D22" s="77"/>
      <c r="E22" s="77"/>
      <c r="F22" s="77"/>
      <c r="G22" s="77"/>
      <c r="H22" s="77"/>
      <c r="I22" s="77"/>
      <c r="J22" s="77"/>
      <c r="K22" s="77"/>
    </row>
    <row r="23" spans="1:11">
      <c r="D23" s="77"/>
      <c r="E23" s="77"/>
      <c r="F23" s="77"/>
      <c r="G23" s="77"/>
      <c r="H23" s="77"/>
      <c r="I23" s="77"/>
      <c r="J23" s="77"/>
      <c r="K23" s="77"/>
    </row>
    <row r="24" spans="1:11">
      <c r="D24" s="77"/>
      <c r="E24" s="77"/>
      <c r="F24" s="77"/>
      <c r="G24" s="77"/>
      <c r="H24" s="77"/>
      <c r="I24" s="77"/>
      <c r="J24" s="77"/>
      <c r="K24" s="77"/>
    </row>
    <row r="25" spans="1:11">
      <c r="D25" s="77"/>
      <c r="E25" s="77"/>
      <c r="F25" s="77"/>
      <c r="G25" s="77"/>
      <c r="H25" s="77"/>
      <c r="I25" s="77"/>
      <c r="J25" s="77"/>
      <c r="K25" s="77"/>
    </row>
  </sheetData>
  <mergeCells count="1">
    <mergeCell ref="A5:B5"/>
  </mergeCells>
  <pageMargins left="0.7" right="0.7" top="0.75" bottom="0.75" header="0.3" footer="0.3"/>
  <pageSetup orientation="portrait" verticalDpi="300" r:id="rId1"/>
  <ignoredErrors>
    <ignoredError sqref="G7:G8 G10:G17" formulaRange="1"/>
  </ignoredErrors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4334AA-D293-4609-B3A2-5FF4553DE5AB}">
  <sheetPr codeName="Sheet8"/>
  <dimension ref="A1:I680"/>
  <sheetViews>
    <sheetView workbookViewId="0">
      <selection activeCell="L20" sqref="L20"/>
    </sheetView>
  </sheetViews>
  <sheetFormatPr defaultRowHeight="15.75"/>
  <cols>
    <col min="1" max="1" width="10.375" bestFit="1" customWidth="1"/>
  </cols>
  <sheetData>
    <row r="1" spans="1:9">
      <c r="A1" s="4" t="s">
        <v>33</v>
      </c>
      <c r="B1" s="19" t="s">
        <v>32</v>
      </c>
      <c r="C1" s="18" t="s">
        <v>31</v>
      </c>
      <c r="D1" s="17" t="s">
        <v>30</v>
      </c>
      <c r="E1" s="16" t="s">
        <v>29</v>
      </c>
      <c r="F1" s="16" t="s">
        <v>57</v>
      </c>
      <c r="G1" s="22" t="s">
        <v>28</v>
      </c>
      <c r="H1" s="23" t="s">
        <v>27</v>
      </c>
      <c r="I1" s="4" t="s">
        <v>26</v>
      </c>
    </row>
    <row r="2" spans="1:9">
      <c r="A2" s="15">
        <v>44729</v>
      </c>
      <c r="B2" s="25">
        <v>114.33</v>
      </c>
      <c r="C2" s="34">
        <v>118.97</v>
      </c>
      <c r="D2" s="25">
        <v>113.12</v>
      </c>
      <c r="E2" s="4" t="s">
        <v>8</v>
      </c>
      <c r="F2" s="3">
        <f t="shared" ref="F2:F65" si="0">IF(MIN(B2:E2)=B2,0,IF(MIN(B2:E2)=C2,0.3,IF(MIN(B2:E2)=D2,0.75,IF(MIN(B2:E2)=E2,1,))))</f>
        <v>0.75</v>
      </c>
      <c r="G2" s="31" t="str">
        <f t="shared" ref="G2:G65" si="1">IF(MIN(B2:E2)=B2,$B$1,IF(MIN(B2:E2)=C2,$C$1,IF(MIN(B2:E2)=D2,$D$1,IF(MIN(B2:E2)=E2,$E$1,))))</f>
        <v>Brent Crude</v>
      </c>
      <c r="H2" s="38">
        <f t="shared" ref="H2:H65" si="2">IF(MIN(B2:E2)=B2,B2,IF(MIN(B2:E2)=C2,C2,IF(MIN(B2:E2)=D2,D2,IF(MIN(B2:E2)=E2,E2,))))</f>
        <v>113.12</v>
      </c>
      <c r="I2" s="25">
        <v>3.7930000000000001</v>
      </c>
    </row>
    <row r="3" spans="1:9">
      <c r="A3" s="15">
        <v>44728</v>
      </c>
      <c r="B3" s="25">
        <v>117.52</v>
      </c>
      <c r="C3" s="35">
        <v>119.24</v>
      </c>
      <c r="D3" s="25">
        <v>119.81</v>
      </c>
      <c r="E3" s="4" t="s">
        <v>8</v>
      </c>
      <c r="F3" s="3">
        <f t="shared" si="0"/>
        <v>0</v>
      </c>
      <c r="G3" s="32" t="str">
        <f t="shared" si="1"/>
        <v>WTI Crude</v>
      </c>
      <c r="H3" s="39">
        <f t="shared" si="2"/>
        <v>117.52</v>
      </c>
      <c r="I3" s="25">
        <v>3.9558</v>
      </c>
    </row>
    <row r="4" spans="1:9">
      <c r="A4" s="15">
        <v>44727</v>
      </c>
      <c r="B4" s="25">
        <v>116.47</v>
      </c>
      <c r="C4" s="34">
        <v>121.07</v>
      </c>
      <c r="D4" s="25">
        <v>118.51</v>
      </c>
      <c r="E4" s="4" t="s">
        <v>8</v>
      </c>
      <c r="F4" s="3">
        <f t="shared" si="0"/>
        <v>0</v>
      </c>
      <c r="G4" s="31" t="str">
        <f t="shared" si="1"/>
        <v>WTI Crude</v>
      </c>
      <c r="H4" s="38">
        <f t="shared" si="2"/>
        <v>116.47</v>
      </c>
      <c r="I4" s="25">
        <v>3.8942000000000001</v>
      </c>
    </row>
    <row r="5" spans="1:9">
      <c r="A5" s="15">
        <v>44726</v>
      </c>
      <c r="B5" s="25">
        <v>118.22</v>
      </c>
      <c r="C5" s="35">
        <v>123.73</v>
      </c>
      <c r="D5" s="25">
        <v>121.17</v>
      </c>
      <c r="E5" s="4" t="s">
        <v>8</v>
      </c>
      <c r="F5" s="3">
        <f t="shared" si="0"/>
        <v>0</v>
      </c>
      <c r="G5" s="32" t="str">
        <f t="shared" si="1"/>
        <v>WTI Crude</v>
      </c>
      <c r="H5" s="39">
        <f t="shared" si="2"/>
        <v>118.22</v>
      </c>
      <c r="I5" s="40">
        <v>3.9937999999999998</v>
      </c>
    </row>
    <row r="6" spans="1:9">
      <c r="A6" s="15">
        <v>44725</v>
      </c>
      <c r="B6" s="25">
        <v>119.36</v>
      </c>
      <c r="C6" s="34">
        <v>120.66</v>
      </c>
      <c r="D6" s="25">
        <v>122.27</v>
      </c>
      <c r="E6" s="4" t="s">
        <v>8</v>
      </c>
      <c r="F6" s="3">
        <f t="shared" si="0"/>
        <v>0</v>
      </c>
      <c r="G6" s="31" t="str">
        <f t="shared" si="1"/>
        <v>WTI Crude</v>
      </c>
      <c r="H6" s="38">
        <f t="shared" si="2"/>
        <v>119.36</v>
      </c>
      <c r="I6" s="25">
        <v>4.0353000000000003</v>
      </c>
    </row>
    <row r="7" spans="1:9">
      <c r="A7" s="15">
        <v>44722</v>
      </c>
      <c r="B7" s="25">
        <v>119.24</v>
      </c>
      <c r="C7" s="25">
        <v>123.19</v>
      </c>
      <c r="D7" s="25">
        <v>122.01</v>
      </c>
      <c r="E7" s="4" t="s">
        <v>8</v>
      </c>
      <c r="F7" s="3">
        <f t="shared" si="0"/>
        <v>0</v>
      </c>
      <c r="G7" s="4" t="str">
        <f t="shared" si="1"/>
        <v>WTI Crude</v>
      </c>
      <c r="H7" s="25">
        <f t="shared" si="2"/>
        <v>119.24</v>
      </c>
      <c r="I7" s="25">
        <v>4.1722000000000001</v>
      </c>
    </row>
    <row r="8" spans="1:9">
      <c r="A8" s="15">
        <v>44721</v>
      </c>
      <c r="B8" s="25">
        <v>119.84</v>
      </c>
      <c r="C8" s="25">
        <v>123.21</v>
      </c>
      <c r="D8" s="25">
        <v>123.07</v>
      </c>
      <c r="E8" s="4" t="s">
        <v>8</v>
      </c>
      <c r="F8" s="3">
        <f t="shared" si="0"/>
        <v>0</v>
      </c>
      <c r="G8" s="4" t="str">
        <f t="shared" si="1"/>
        <v>WTI Crude</v>
      </c>
      <c r="H8" s="25">
        <f t="shared" si="2"/>
        <v>119.84</v>
      </c>
      <c r="I8" s="25">
        <v>4.2762000000000002</v>
      </c>
    </row>
    <row r="9" spans="1:9">
      <c r="A9" s="15">
        <v>44720</v>
      </c>
      <c r="B9" s="25">
        <v>120.3</v>
      </c>
      <c r="C9" s="25">
        <v>121.54</v>
      </c>
      <c r="D9" s="25">
        <v>123.58</v>
      </c>
      <c r="E9" s="4" t="s">
        <v>8</v>
      </c>
      <c r="F9" s="3">
        <f t="shared" si="0"/>
        <v>0</v>
      </c>
      <c r="G9" s="4" t="str">
        <f t="shared" si="1"/>
        <v>WTI Crude</v>
      </c>
      <c r="H9" s="25">
        <f t="shared" si="2"/>
        <v>120.3</v>
      </c>
      <c r="I9" s="25">
        <v>4.2218999999999998</v>
      </c>
    </row>
    <row r="10" spans="1:9">
      <c r="A10" s="15">
        <v>44719</v>
      </c>
      <c r="B10" s="25">
        <v>118.25</v>
      </c>
      <c r="C10" s="25">
        <v>120.16</v>
      </c>
      <c r="D10" s="25">
        <v>120.57</v>
      </c>
      <c r="E10" s="4" t="s">
        <v>8</v>
      </c>
      <c r="F10" s="3">
        <f t="shared" si="0"/>
        <v>0</v>
      </c>
      <c r="G10" s="4" t="str">
        <f t="shared" si="1"/>
        <v>WTI Crude</v>
      </c>
      <c r="H10" s="25">
        <f t="shared" si="2"/>
        <v>118.25</v>
      </c>
      <c r="I10" s="25">
        <v>4.1577000000000002</v>
      </c>
    </row>
    <row r="11" spans="1:9">
      <c r="A11" s="15">
        <v>44718</v>
      </c>
      <c r="B11" s="25">
        <v>117.47</v>
      </c>
      <c r="C11" s="25">
        <v>119.85</v>
      </c>
      <c r="D11" s="25">
        <v>119.51</v>
      </c>
      <c r="E11" s="4" t="s">
        <v>8</v>
      </c>
      <c r="F11" s="3">
        <f t="shared" si="0"/>
        <v>0</v>
      </c>
      <c r="G11" s="4" t="str">
        <f t="shared" si="1"/>
        <v>WTI Crude</v>
      </c>
      <c r="H11" s="25">
        <f t="shared" si="2"/>
        <v>117.47</v>
      </c>
      <c r="I11" s="25">
        <v>4.1929999999999996</v>
      </c>
    </row>
    <row r="12" spans="1:9">
      <c r="A12" s="15">
        <v>44715</v>
      </c>
      <c r="B12" s="25">
        <v>117.72</v>
      </c>
      <c r="C12" s="25">
        <v>117.15</v>
      </c>
      <c r="D12" s="25">
        <v>119.72</v>
      </c>
      <c r="E12" s="4" t="s">
        <v>8</v>
      </c>
      <c r="F12" s="3">
        <f t="shared" si="0"/>
        <v>0.3</v>
      </c>
      <c r="G12" s="4" t="str">
        <f t="shared" si="1"/>
        <v>Opec Basket</v>
      </c>
      <c r="H12" s="25">
        <f t="shared" si="2"/>
        <v>117.15</v>
      </c>
      <c r="I12" s="25">
        <v>4.2522000000000002</v>
      </c>
    </row>
    <row r="13" spans="1:9">
      <c r="A13" s="15">
        <v>44714</v>
      </c>
      <c r="B13" s="25">
        <v>115.94</v>
      </c>
      <c r="C13" s="25">
        <v>114.62</v>
      </c>
      <c r="D13" s="25">
        <v>117.61</v>
      </c>
      <c r="E13" s="4" t="s">
        <v>8</v>
      </c>
      <c r="F13" s="3">
        <f t="shared" si="0"/>
        <v>0.3</v>
      </c>
      <c r="G13" s="4" t="str">
        <f t="shared" si="1"/>
        <v>Opec Basket</v>
      </c>
      <c r="H13" s="25">
        <f t="shared" si="2"/>
        <v>114.62</v>
      </c>
      <c r="I13" s="25">
        <v>4.1909000000000001</v>
      </c>
    </row>
    <row r="14" spans="1:9">
      <c r="A14" s="15">
        <v>44713</v>
      </c>
      <c r="B14" s="25">
        <v>114.41</v>
      </c>
      <c r="C14" s="25">
        <v>117.07</v>
      </c>
      <c r="D14" s="25">
        <v>116.29</v>
      </c>
      <c r="E14" s="4" t="s">
        <v>8</v>
      </c>
      <c r="F14" s="3">
        <f t="shared" si="0"/>
        <v>0</v>
      </c>
      <c r="G14" s="4" t="str">
        <f t="shared" si="1"/>
        <v>WTI Crude</v>
      </c>
      <c r="H14" s="25">
        <f t="shared" si="2"/>
        <v>114.41</v>
      </c>
      <c r="I14" s="25">
        <v>4.0716000000000001</v>
      </c>
    </row>
    <row r="15" spans="1:9">
      <c r="A15" s="15">
        <v>44712</v>
      </c>
      <c r="B15" s="25">
        <v>109.26</v>
      </c>
      <c r="C15" s="25">
        <v>122.94</v>
      </c>
      <c r="D15" s="25">
        <v>122.84</v>
      </c>
      <c r="E15" s="4" t="s">
        <v>8</v>
      </c>
      <c r="F15" s="3">
        <f t="shared" si="0"/>
        <v>0</v>
      </c>
      <c r="G15" s="4" t="str">
        <f t="shared" si="1"/>
        <v>WTI Crude</v>
      </c>
      <c r="H15" s="25">
        <f t="shared" si="2"/>
        <v>109.26</v>
      </c>
      <c r="I15" s="25">
        <v>3.9161999999999999</v>
      </c>
    </row>
    <row r="16" spans="1:9">
      <c r="A16" s="15">
        <v>44711</v>
      </c>
      <c r="B16" s="25">
        <v>109.28</v>
      </c>
      <c r="C16" s="25">
        <v>120.01</v>
      </c>
      <c r="D16" s="25">
        <v>119.43</v>
      </c>
      <c r="E16" s="4" t="s">
        <v>8</v>
      </c>
      <c r="F16" s="3">
        <f t="shared" si="0"/>
        <v>0</v>
      </c>
      <c r="G16" s="4" t="str">
        <f t="shared" si="1"/>
        <v>WTI Crude</v>
      </c>
      <c r="H16" s="25">
        <f t="shared" si="2"/>
        <v>109.28</v>
      </c>
      <c r="I16" s="25">
        <v>3.9119000000000002</v>
      </c>
    </row>
    <row r="17" spans="1:9">
      <c r="A17" s="15">
        <v>44708</v>
      </c>
      <c r="B17" s="25">
        <v>109.19</v>
      </c>
      <c r="C17" s="25">
        <v>118.84</v>
      </c>
      <c r="D17" s="25">
        <v>117.4</v>
      </c>
      <c r="E17" s="4" t="s">
        <v>8</v>
      </c>
      <c r="F17" s="3">
        <f t="shared" si="0"/>
        <v>0</v>
      </c>
      <c r="G17" s="4" t="str">
        <f t="shared" si="1"/>
        <v>WTI Crude</v>
      </c>
      <c r="H17" s="25">
        <f t="shared" si="2"/>
        <v>109.19</v>
      </c>
      <c r="I17" s="25">
        <v>3.7924000000000002</v>
      </c>
    </row>
    <row r="18" spans="1:9">
      <c r="A18" s="15">
        <v>44707</v>
      </c>
      <c r="B18" s="25">
        <v>108.65</v>
      </c>
      <c r="C18" s="25">
        <v>116.5</v>
      </c>
      <c r="D18" s="25">
        <v>114.03</v>
      </c>
      <c r="E18" s="4" t="s">
        <v>8</v>
      </c>
      <c r="F18" s="3">
        <f t="shared" si="0"/>
        <v>0</v>
      </c>
      <c r="G18" s="4" t="str">
        <f t="shared" si="1"/>
        <v>WTI Crude</v>
      </c>
      <c r="H18" s="25">
        <f t="shared" si="2"/>
        <v>108.65</v>
      </c>
      <c r="I18" s="25">
        <v>3.7252999999999998</v>
      </c>
    </row>
    <row r="19" spans="1:9">
      <c r="A19" s="15">
        <v>44706</v>
      </c>
      <c r="B19" s="25">
        <v>108.54</v>
      </c>
      <c r="C19" s="25">
        <v>115.83</v>
      </c>
      <c r="D19" s="25">
        <v>113.56</v>
      </c>
      <c r="E19" s="4" t="s">
        <v>8</v>
      </c>
      <c r="F19" s="3">
        <f t="shared" si="0"/>
        <v>0</v>
      </c>
      <c r="G19" s="4" t="str">
        <f t="shared" si="1"/>
        <v>WTI Crude</v>
      </c>
      <c r="H19" s="25">
        <f t="shared" si="2"/>
        <v>108.54</v>
      </c>
      <c r="I19" s="25">
        <v>3.6897000000000002</v>
      </c>
    </row>
    <row r="20" spans="1:9">
      <c r="A20" s="15">
        <v>44705</v>
      </c>
      <c r="B20" s="25">
        <v>108.67</v>
      </c>
      <c r="C20" s="25">
        <v>114.96</v>
      </c>
      <c r="D20" s="25">
        <v>113.42</v>
      </c>
      <c r="E20" s="4" t="s">
        <v>8</v>
      </c>
      <c r="F20" s="3">
        <f t="shared" si="0"/>
        <v>0</v>
      </c>
      <c r="G20" s="4" t="str">
        <f t="shared" si="1"/>
        <v>WTI Crude</v>
      </c>
      <c r="H20" s="25">
        <f t="shared" si="2"/>
        <v>108.67</v>
      </c>
      <c r="I20" s="25">
        <v>3.6802000000000001</v>
      </c>
    </row>
    <row r="21" spans="1:9">
      <c r="A21" s="15">
        <v>44704</v>
      </c>
      <c r="B21" s="25">
        <v>108.66</v>
      </c>
      <c r="C21" s="25">
        <v>115.95</v>
      </c>
      <c r="D21" s="25">
        <v>112.55</v>
      </c>
      <c r="E21" s="4" t="s">
        <v>8</v>
      </c>
      <c r="F21" s="3">
        <f t="shared" si="0"/>
        <v>0</v>
      </c>
      <c r="G21" s="4" t="str">
        <f t="shared" si="1"/>
        <v>WTI Crude</v>
      </c>
      <c r="H21" s="25">
        <f t="shared" si="2"/>
        <v>108.66</v>
      </c>
      <c r="I21" s="25">
        <v>3.6897000000000002</v>
      </c>
    </row>
    <row r="22" spans="1:9">
      <c r="A22" s="15">
        <v>44701</v>
      </c>
      <c r="B22" s="25">
        <v>108.5</v>
      </c>
      <c r="C22" s="25">
        <v>114.69</v>
      </c>
      <c r="D22" s="25">
        <v>112.04</v>
      </c>
      <c r="E22" s="4" t="s">
        <v>8</v>
      </c>
      <c r="F22" s="3">
        <f t="shared" si="0"/>
        <v>0</v>
      </c>
      <c r="G22" s="4" t="str">
        <f t="shared" si="1"/>
        <v>WTI Crude</v>
      </c>
      <c r="H22" s="25">
        <f t="shared" si="2"/>
        <v>108.5</v>
      </c>
      <c r="I22" s="25">
        <v>3.6776</v>
      </c>
    </row>
    <row r="23" spans="1:9">
      <c r="A23" s="15">
        <v>44700</v>
      </c>
      <c r="B23" s="25">
        <v>107.44</v>
      </c>
      <c r="C23" s="25">
        <v>111.94</v>
      </c>
      <c r="D23" s="25">
        <v>109.11</v>
      </c>
      <c r="E23" s="4" t="s">
        <v>8</v>
      </c>
      <c r="F23" s="3">
        <f t="shared" si="0"/>
        <v>0</v>
      </c>
      <c r="G23" s="4" t="str">
        <f t="shared" si="1"/>
        <v>WTI Crude</v>
      </c>
      <c r="H23" s="25">
        <f t="shared" si="2"/>
        <v>107.44</v>
      </c>
      <c r="I23" s="25">
        <v>3.5912999999999999</v>
      </c>
    </row>
    <row r="24" spans="1:9">
      <c r="A24" s="15">
        <v>44699</v>
      </c>
      <c r="B24" s="25">
        <v>108.58</v>
      </c>
      <c r="C24" s="25">
        <v>114.84</v>
      </c>
      <c r="D24" s="25">
        <v>111.93</v>
      </c>
      <c r="E24" s="4" t="s">
        <v>8</v>
      </c>
      <c r="F24" s="3">
        <f t="shared" si="0"/>
        <v>0</v>
      </c>
      <c r="G24" s="4" t="str">
        <f t="shared" si="1"/>
        <v>WTI Crude</v>
      </c>
      <c r="H24" s="25">
        <f t="shared" si="2"/>
        <v>108.58</v>
      </c>
      <c r="I24" s="25">
        <v>3.7763</v>
      </c>
    </row>
    <row r="25" spans="1:9">
      <c r="A25" s="15">
        <v>44698</v>
      </c>
      <c r="B25" s="25">
        <v>109.55</v>
      </c>
      <c r="C25" s="25">
        <v>117.1</v>
      </c>
      <c r="D25" s="25">
        <v>114.24</v>
      </c>
      <c r="E25" s="4" t="s">
        <v>8</v>
      </c>
      <c r="F25" s="3">
        <f t="shared" si="0"/>
        <v>0</v>
      </c>
      <c r="G25" s="4" t="str">
        <f t="shared" si="1"/>
        <v>WTI Crude</v>
      </c>
      <c r="H25" s="25">
        <f t="shared" si="2"/>
        <v>109.55</v>
      </c>
      <c r="I25" s="25">
        <v>3.8405</v>
      </c>
    </row>
    <row r="26" spans="1:9">
      <c r="A26" s="15">
        <v>44697</v>
      </c>
      <c r="B26" s="25">
        <v>107.75</v>
      </c>
      <c r="C26" s="25">
        <v>112.98</v>
      </c>
      <c r="D26" s="25">
        <v>111.55</v>
      </c>
      <c r="E26" s="4" t="s">
        <v>8</v>
      </c>
      <c r="F26" s="3">
        <f t="shared" si="0"/>
        <v>0</v>
      </c>
      <c r="G26" s="4" t="str">
        <f t="shared" si="1"/>
        <v>WTI Crude</v>
      </c>
      <c r="H26" s="25">
        <f t="shared" si="2"/>
        <v>107.75</v>
      </c>
      <c r="I26" s="25">
        <v>3.9578000000000002</v>
      </c>
    </row>
    <row r="27" spans="1:9">
      <c r="A27" s="15">
        <v>44694</v>
      </c>
      <c r="B27" s="25">
        <v>105.3</v>
      </c>
      <c r="C27" s="25">
        <v>112.27</v>
      </c>
      <c r="D27" s="25">
        <v>107.45</v>
      </c>
      <c r="E27" s="4" t="s">
        <v>8</v>
      </c>
      <c r="F27" s="3">
        <f t="shared" si="0"/>
        <v>0</v>
      </c>
      <c r="G27" s="4" t="str">
        <f t="shared" si="1"/>
        <v>WTI Crude</v>
      </c>
      <c r="H27" s="25">
        <f t="shared" si="2"/>
        <v>105.3</v>
      </c>
      <c r="I27" s="25">
        <v>3.7917000000000001</v>
      </c>
    </row>
    <row r="28" spans="1:9">
      <c r="A28" s="15">
        <v>44693</v>
      </c>
      <c r="B28" s="25">
        <v>105.05</v>
      </c>
      <c r="C28" s="25">
        <v>109.2</v>
      </c>
      <c r="D28" s="25">
        <v>107.51</v>
      </c>
      <c r="E28" s="4" t="s">
        <v>8</v>
      </c>
      <c r="F28" s="3">
        <f t="shared" si="0"/>
        <v>0</v>
      </c>
      <c r="G28" s="4" t="str">
        <f t="shared" si="1"/>
        <v>WTI Crude</v>
      </c>
      <c r="H28" s="25">
        <f t="shared" si="2"/>
        <v>105.05</v>
      </c>
      <c r="I28" s="25">
        <v>3.6855000000000002</v>
      </c>
    </row>
    <row r="29" spans="1:9">
      <c r="A29" s="15">
        <v>44692</v>
      </c>
      <c r="B29" s="25">
        <v>101.19</v>
      </c>
      <c r="C29" s="25">
        <v>108.92</v>
      </c>
      <c r="D29" s="25">
        <v>102.46</v>
      </c>
      <c r="E29" s="4" t="s">
        <v>8</v>
      </c>
      <c r="F29" s="3">
        <f t="shared" si="0"/>
        <v>0</v>
      </c>
      <c r="G29" s="4" t="str">
        <f t="shared" si="1"/>
        <v>WTI Crude</v>
      </c>
      <c r="H29" s="25">
        <f t="shared" si="2"/>
        <v>101.19</v>
      </c>
      <c r="I29" s="25">
        <v>3.5415000000000001</v>
      </c>
    </row>
    <row r="30" spans="1:9">
      <c r="A30" s="15">
        <v>44691</v>
      </c>
      <c r="B30" s="25">
        <v>103.57</v>
      </c>
      <c r="C30" s="25">
        <v>108.08</v>
      </c>
      <c r="D30" s="25">
        <v>105.94</v>
      </c>
      <c r="E30" s="4" t="s">
        <v>8</v>
      </c>
      <c r="F30" s="3">
        <f t="shared" si="0"/>
        <v>0</v>
      </c>
      <c r="G30" s="4" t="str">
        <f t="shared" si="1"/>
        <v>WTI Crude</v>
      </c>
      <c r="H30" s="25">
        <f t="shared" si="2"/>
        <v>103.57</v>
      </c>
      <c r="I30" s="25">
        <v>3.6419000000000001</v>
      </c>
    </row>
    <row r="31" spans="1:9">
      <c r="A31" s="15">
        <v>44690</v>
      </c>
      <c r="B31" s="25">
        <v>108.62</v>
      </c>
      <c r="C31" s="25">
        <v>112.38</v>
      </c>
      <c r="D31" s="25">
        <v>112.39</v>
      </c>
      <c r="E31" s="4" t="s">
        <v>8</v>
      </c>
      <c r="F31" s="3">
        <f t="shared" si="0"/>
        <v>0</v>
      </c>
      <c r="G31" s="4" t="str">
        <f t="shared" si="1"/>
        <v>WTI Crude</v>
      </c>
      <c r="H31" s="25">
        <f t="shared" si="2"/>
        <v>108.62</v>
      </c>
      <c r="I31" s="25">
        <v>3.7589999999999999</v>
      </c>
    </row>
    <row r="32" spans="1:9">
      <c r="A32" s="15">
        <v>44687</v>
      </c>
      <c r="B32" s="25">
        <v>107.38</v>
      </c>
      <c r="C32" s="25">
        <v>114.27</v>
      </c>
      <c r="D32" s="25">
        <v>110.9</v>
      </c>
      <c r="E32" s="4" t="s">
        <v>8</v>
      </c>
      <c r="F32" s="3">
        <f t="shared" si="0"/>
        <v>0</v>
      </c>
      <c r="G32" s="4" t="str">
        <f t="shared" si="1"/>
        <v>WTI Crude</v>
      </c>
      <c r="H32" s="25">
        <f t="shared" si="2"/>
        <v>107.38</v>
      </c>
      <c r="I32" s="25">
        <v>3.6587000000000001</v>
      </c>
    </row>
    <row r="33" spans="1:9">
      <c r="A33" s="15">
        <v>44686</v>
      </c>
      <c r="B33" s="25">
        <v>106.97</v>
      </c>
      <c r="C33" s="25">
        <v>112.94</v>
      </c>
      <c r="D33" s="25">
        <v>110.14</v>
      </c>
      <c r="E33" s="4" t="s">
        <v>8</v>
      </c>
      <c r="F33" s="3">
        <f t="shared" si="0"/>
        <v>0</v>
      </c>
      <c r="G33" s="4" t="str">
        <f t="shared" si="1"/>
        <v>WTI Crude</v>
      </c>
      <c r="H33" s="25">
        <f t="shared" si="2"/>
        <v>106.97</v>
      </c>
      <c r="I33" s="25">
        <v>3.6522999999999999</v>
      </c>
    </row>
    <row r="34" spans="1:9">
      <c r="A34" s="15">
        <v>44685</v>
      </c>
      <c r="B34" s="25">
        <v>102.11</v>
      </c>
      <c r="C34" s="25">
        <v>110.73</v>
      </c>
      <c r="D34" s="25">
        <v>104.97</v>
      </c>
      <c r="E34" s="4" t="s">
        <v>8</v>
      </c>
      <c r="F34" s="3">
        <f t="shared" si="0"/>
        <v>0</v>
      </c>
      <c r="G34" s="4" t="str">
        <f t="shared" si="1"/>
        <v>WTI Crude</v>
      </c>
      <c r="H34" s="25">
        <f t="shared" si="2"/>
        <v>102.11</v>
      </c>
      <c r="I34" s="25">
        <v>3.5011999999999999</v>
      </c>
    </row>
    <row r="35" spans="1:9">
      <c r="A35" s="15">
        <v>44684</v>
      </c>
      <c r="B35" s="25">
        <v>104.67</v>
      </c>
      <c r="C35" s="25">
        <v>109.7</v>
      </c>
      <c r="D35" s="25">
        <v>107.58</v>
      </c>
      <c r="E35" s="4" t="s">
        <v>8</v>
      </c>
      <c r="F35" s="3">
        <f t="shared" si="0"/>
        <v>0</v>
      </c>
      <c r="G35" s="4" t="str">
        <f t="shared" si="1"/>
        <v>WTI Crude</v>
      </c>
      <c r="H35" s="25">
        <f t="shared" si="2"/>
        <v>104.67</v>
      </c>
      <c r="I35" s="25">
        <v>3.5101</v>
      </c>
    </row>
    <row r="36" spans="1:9">
      <c r="A36" s="15">
        <v>44683</v>
      </c>
      <c r="B36" s="25">
        <v>101.64</v>
      </c>
      <c r="C36" s="25">
        <v>110.09</v>
      </c>
      <c r="D36" s="25">
        <v>109.34</v>
      </c>
      <c r="E36" s="4" t="s">
        <v>8</v>
      </c>
      <c r="F36" s="3">
        <f t="shared" si="0"/>
        <v>0</v>
      </c>
      <c r="G36" s="4" t="str">
        <f t="shared" si="1"/>
        <v>WTI Crude</v>
      </c>
      <c r="H36" s="25">
        <f t="shared" si="2"/>
        <v>101.64</v>
      </c>
      <c r="I36" s="25">
        <v>3.4424000000000001</v>
      </c>
    </row>
    <row r="37" spans="1:9">
      <c r="A37" s="15">
        <v>44680</v>
      </c>
      <c r="B37" s="25">
        <v>101.67</v>
      </c>
      <c r="C37" s="25">
        <v>107.99</v>
      </c>
      <c r="D37" s="25">
        <v>107.59</v>
      </c>
      <c r="E37" s="4" t="s">
        <v>8</v>
      </c>
      <c r="F37" s="3">
        <f t="shared" si="0"/>
        <v>0</v>
      </c>
      <c r="G37" s="4" t="str">
        <f t="shared" si="1"/>
        <v>WTI Crude</v>
      </c>
      <c r="H37" s="25">
        <f t="shared" si="2"/>
        <v>101.67</v>
      </c>
      <c r="I37" s="25">
        <v>3.4759000000000002</v>
      </c>
    </row>
    <row r="38" spans="1:9">
      <c r="A38" s="15">
        <v>44679</v>
      </c>
      <c r="B38" s="25">
        <v>101.34</v>
      </c>
      <c r="C38" s="25">
        <v>105.3</v>
      </c>
      <c r="D38" s="25">
        <v>105.32</v>
      </c>
      <c r="E38" s="4" t="s">
        <v>8</v>
      </c>
      <c r="F38" s="3">
        <f t="shared" si="0"/>
        <v>0</v>
      </c>
      <c r="G38" s="4" t="str">
        <f t="shared" si="1"/>
        <v>WTI Crude</v>
      </c>
      <c r="H38" s="25">
        <f t="shared" si="2"/>
        <v>101.34</v>
      </c>
      <c r="I38" s="25">
        <v>3.4135</v>
      </c>
    </row>
    <row r="39" spans="1:9">
      <c r="A39" s="15">
        <v>44678</v>
      </c>
      <c r="B39" s="25">
        <v>101.29</v>
      </c>
      <c r="C39" s="25">
        <v>105.33</v>
      </c>
      <c r="D39" s="25">
        <v>104.99</v>
      </c>
      <c r="E39" s="4" t="s">
        <v>8</v>
      </c>
      <c r="F39" s="3">
        <f t="shared" si="0"/>
        <v>0</v>
      </c>
      <c r="G39" s="4" t="str">
        <f t="shared" si="1"/>
        <v>WTI Crude</v>
      </c>
      <c r="H39" s="25">
        <f t="shared" si="2"/>
        <v>101.29</v>
      </c>
      <c r="I39" s="25">
        <v>3.3109999999999999</v>
      </c>
    </row>
    <row r="40" spans="1:9">
      <c r="A40" s="15">
        <v>44677</v>
      </c>
      <c r="B40" s="25">
        <v>100.66</v>
      </c>
      <c r="C40" s="25">
        <v>102.94</v>
      </c>
      <c r="D40" s="25">
        <v>102.32</v>
      </c>
      <c r="E40" s="4" t="s">
        <v>8</v>
      </c>
      <c r="F40" s="3">
        <f t="shared" si="0"/>
        <v>0</v>
      </c>
      <c r="G40" s="4" t="str">
        <f t="shared" si="1"/>
        <v>WTI Crude</v>
      </c>
      <c r="H40" s="25">
        <f t="shared" si="2"/>
        <v>100.66</v>
      </c>
      <c r="I40" s="25">
        <v>3.2206000000000001</v>
      </c>
    </row>
    <row r="41" spans="1:9">
      <c r="A41" s="15">
        <v>44676</v>
      </c>
      <c r="B41" s="25">
        <v>101.54</v>
      </c>
      <c r="C41" s="25">
        <v>101.93</v>
      </c>
      <c r="D41" s="25">
        <v>106.65</v>
      </c>
      <c r="E41" s="4" t="s">
        <v>8</v>
      </c>
      <c r="F41" s="3">
        <f t="shared" si="0"/>
        <v>0</v>
      </c>
      <c r="G41" s="4" t="str">
        <f t="shared" si="1"/>
        <v>WTI Crude</v>
      </c>
      <c r="H41" s="25">
        <f t="shared" si="2"/>
        <v>101.54</v>
      </c>
      <c r="I41" s="25">
        <v>3.286</v>
      </c>
    </row>
    <row r="42" spans="1:9">
      <c r="A42" s="15">
        <v>44673</v>
      </c>
      <c r="B42" s="25">
        <v>102.06</v>
      </c>
      <c r="C42" s="25">
        <v>107.66</v>
      </c>
      <c r="D42" s="25">
        <v>108.33</v>
      </c>
      <c r="E42" s="4" t="s">
        <v>8</v>
      </c>
      <c r="F42" s="3">
        <f t="shared" si="0"/>
        <v>0</v>
      </c>
      <c r="G42" s="4" t="str">
        <f t="shared" si="1"/>
        <v>WTI Crude</v>
      </c>
      <c r="H42" s="25">
        <f t="shared" si="2"/>
        <v>102.06</v>
      </c>
      <c r="I42" s="25">
        <v>3.3174999999999999</v>
      </c>
    </row>
    <row r="43" spans="1:9">
      <c r="A43" s="15">
        <v>44672</v>
      </c>
      <c r="B43" s="25">
        <v>101.5</v>
      </c>
      <c r="C43" s="25">
        <v>108.81</v>
      </c>
      <c r="D43" s="25">
        <v>106.8</v>
      </c>
      <c r="E43" s="4" t="s">
        <v>8</v>
      </c>
      <c r="F43" s="3">
        <f t="shared" si="0"/>
        <v>0</v>
      </c>
      <c r="G43" s="4" t="str">
        <f t="shared" si="1"/>
        <v>WTI Crude</v>
      </c>
      <c r="H43" s="25">
        <f t="shared" si="2"/>
        <v>101.5</v>
      </c>
      <c r="I43" s="25">
        <v>3.2618</v>
      </c>
    </row>
    <row r="44" spans="1:9">
      <c r="A44" s="15">
        <v>44671</v>
      </c>
      <c r="B44" s="25">
        <v>101.44</v>
      </c>
      <c r="C44" s="25">
        <v>107.97</v>
      </c>
      <c r="D44" s="25">
        <v>107.25</v>
      </c>
      <c r="E44" s="4" t="s">
        <v>8</v>
      </c>
      <c r="F44" s="3">
        <f t="shared" si="0"/>
        <v>0</v>
      </c>
      <c r="G44" s="4" t="str">
        <f t="shared" si="1"/>
        <v>WTI Crude</v>
      </c>
      <c r="H44" s="25">
        <f t="shared" si="2"/>
        <v>101.44</v>
      </c>
      <c r="I44" s="25">
        <v>3.2288999999999999</v>
      </c>
    </row>
    <row r="45" spans="1:9">
      <c r="A45" s="15">
        <v>44670</v>
      </c>
      <c r="B45" s="25">
        <v>103.95</v>
      </c>
      <c r="C45" s="25">
        <v>110.52</v>
      </c>
      <c r="D45" s="25">
        <v>113.16</v>
      </c>
      <c r="E45" s="4" t="s">
        <v>8</v>
      </c>
      <c r="F45" s="3">
        <f t="shared" si="0"/>
        <v>0</v>
      </c>
      <c r="G45" s="4" t="str">
        <f t="shared" si="1"/>
        <v>WTI Crude</v>
      </c>
      <c r="H45" s="25">
        <f t="shared" si="2"/>
        <v>103.95</v>
      </c>
      <c r="I45" s="25">
        <v>3.3580000000000001</v>
      </c>
    </row>
    <row r="46" spans="1:9">
      <c r="A46" s="15">
        <v>44669</v>
      </c>
      <c r="B46" s="25">
        <v>103.33</v>
      </c>
      <c r="C46" s="25">
        <v>110.54</v>
      </c>
      <c r="D46" s="25">
        <v>111.7</v>
      </c>
      <c r="E46" s="4" t="s">
        <v>8</v>
      </c>
      <c r="F46" s="3">
        <f t="shared" si="0"/>
        <v>0</v>
      </c>
      <c r="G46" s="4" t="str">
        <f t="shared" si="1"/>
        <v>WTI Crude</v>
      </c>
      <c r="H46" s="25">
        <f t="shared" si="2"/>
        <v>103.33</v>
      </c>
      <c r="I46" s="25">
        <v>3.3814000000000002</v>
      </c>
    </row>
    <row r="47" spans="1:9">
      <c r="A47" s="15">
        <v>44665</v>
      </c>
      <c r="B47" s="25">
        <v>101.89</v>
      </c>
      <c r="C47" s="25">
        <v>108.52</v>
      </c>
      <c r="D47" s="25">
        <v>108.78</v>
      </c>
      <c r="E47" s="4" t="s">
        <v>8</v>
      </c>
      <c r="F47" s="3">
        <f t="shared" si="0"/>
        <v>0</v>
      </c>
      <c r="G47" s="4" t="str">
        <f t="shared" si="1"/>
        <v>WTI Crude</v>
      </c>
      <c r="H47" s="25">
        <f t="shared" si="2"/>
        <v>101.89</v>
      </c>
      <c r="I47" s="25">
        <v>3.2913000000000001</v>
      </c>
    </row>
    <row r="48" spans="1:9">
      <c r="A48" s="15">
        <v>44664</v>
      </c>
      <c r="B48" s="25">
        <v>99.7</v>
      </c>
      <c r="C48" s="25">
        <v>106.07</v>
      </c>
      <c r="D48" s="25">
        <v>104.64</v>
      </c>
      <c r="E48" s="4" t="s">
        <v>8</v>
      </c>
      <c r="F48" s="3">
        <f t="shared" si="0"/>
        <v>0</v>
      </c>
      <c r="G48" s="4" t="str">
        <f t="shared" si="1"/>
        <v>WTI Crude</v>
      </c>
      <c r="H48" s="25">
        <f t="shared" si="2"/>
        <v>99.7</v>
      </c>
      <c r="I48" s="25">
        <v>3.1537999999999999</v>
      </c>
    </row>
    <row r="49" spans="1:9">
      <c r="A49" s="15">
        <v>44663</v>
      </c>
      <c r="B49" s="25">
        <v>95.63</v>
      </c>
      <c r="C49" s="25">
        <v>102.41</v>
      </c>
      <c r="D49" s="25">
        <v>98.48</v>
      </c>
      <c r="E49" s="4" t="s">
        <v>8</v>
      </c>
      <c r="F49" s="3">
        <f t="shared" si="0"/>
        <v>0</v>
      </c>
      <c r="G49" s="4" t="str">
        <f t="shared" si="1"/>
        <v>WTI Crude</v>
      </c>
      <c r="H49" s="25">
        <f t="shared" si="2"/>
        <v>95.63</v>
      </c>
      <c r="I49" s="25">
        <v>3.0030999999999999</v>
      </c>
    </row>
    <row r="50" spans="1:9">
      <c r="A50" s="15">
        <v>44662</v>
      </c>
      <c r="B50" s="25">
        <v>98.35</v>
      </c>
      <c r="C50" s="25">
        <v>100.08</v>
      </c>
      <c r="D50" s="25">
        <v>102.78</v>
      </c>
      <c r="E50" s="4" t="s">
        <v>8</v>
      </c>
      <c r="F50" s="3">
        <f t="shared" si="0"/>
        <v>0</v>
      </c>
      <c r="G50" s="4" t="str">
        <f t="shared" si="1"/>
        <v>WTI Crude</v>
      </c>
      <c r="H50" s="25">
        <f t="shared" si="2"/>
        <v>98.35</v>
      </c>
      <c r="I50" s="25">
        <v>3.1316000000000002</v>
      </c>
    </row>
    <row r="51" spans="1:9">
      <c r="A51" s="15">
        <v>44659</v>
      </c>
      <c r="B51" s="25">
        <v>96.68</v>
      </c>
      <c r="C51" s="25">
        <v>101.06</v>
      </c>
      <c r="D51" s="25">
        <v>100.58</v>
      </c>
      <c r="E51" s="4" t="s">
        <v>8</v>
      </c>
      <c r="F51" s="3">
        <f t="shared" si="0"/>
        <v>0</v>
      </c>
      <c r="G51" s="4" t="str">
        <f t="shared" si="1"/>
        <v>WTI Crude</v>
      </c>
      <c r="H51" s="25">
        <f t="shared" si="2"/>
        <v>96.68</v>
      </c>
      <c r="I51" s="25">
        <v>3.0398000000000001</v>
      </c>
    </row>
    <row r="52" spans="1:9">
      <c r="A52" s="15">
        <v>44658</v>
      </c>
      <c r="B52" s="25">
        <v>96.73</v>
      </c>
      <c r="C52" s="25">
        <v>100.16</v>
      </c>
      <c r="D52" s="25">
        <v>101.07</v>
      </c>
      <c r="E52" s="4" t="s">
        <v>8</v>
      </c>
      <c r="F52" s="3">
        <f t="shared" si="0"/>
        <v>0</v>
      </c>
      <c r="G52" s="4" t="str">
        <f t="shared" si="1"/>
        <v>WTI Crude</v>
      </c>
      <c r="H52" s="25">
        <f t="shared" si="2"/>
        <v>96.73</v>
      </c>
      <c r="I52" s="25">
        <v>3.0461999999999998</v>
      </c>
    </row>
    <row r="53" spans="1:9">
      <c r="A53" s="15">
        <v>44657</v>
      </c>
      <c r="B53" s="25">
        <v>101.44</v>
      </c>
      <c r="C53" s="25">
        <v>106.17</v>
      </c>
      <c r="D53" s="25">
        <v>106.64</v>
      </c>
      <c r="E53" s="4" t="s">
        <v>8</v>
      </c>
      <c r="F53" s="3">
        <f t="shared" si="0"/>
        <v>0</v>
      </c>
      <c r="G53" s="4" t="str">
        <f t="shared" si="1"/>
        <v>WTI Crude</v>
      </c>
      <c r="H53" s="25">
        <f t="shared" si="2"/>
        <v>101.44</v>
      </c>
      <c r="I53" s="25">
        <v>3.1648999999999998</v>
      </c>
    </row>
    <row r="54" spans="1:9">
      <c r="A54" s="15">
        <v>44656</v>
      </c>
      <c r="B54" s="25">
        <v>102.58</v>
      </c>
      <c r="C54" s="25">
        <v>108.08</v>
      </c>
      <c r="D54" s="25">
        <v>107.53</v>
      </c>
      <c r="E54" s="4" t="s">
        <v>8</v>
      </c>
      <c r="F54" s="3">
        <f t="shared" si="0"/>
        <v>0</v>
      </c>
      <c r="G54" s="4" t="str">
        <f t="shared" si="1"/>
        <v>WTI Crude</v>
      </c>
      <c r="H54" s="25">
        <f t="shared" si="2"/>
        <v>102.58</v>
      </c>
      <c r="I54" s="25">
        <v>3.1981000000000002</v>
      </c>
    </row>
    <row r="55" spans="1:9">
      <c r="A55" s="15">
        <v>44655</v>
      </c>
      <c r="B55" s="25">
        <v>98.79</v>
      </c>
      <c r="C55" s="25">
        <v>106.26</v>
      </c>
      <c r="D55" s="25">
        <v>104.39</v>
      </c>
      <c r="E55" s="3">
        <v>89.06</v>
      </c>
      <c r="F55" s="3">
        <f t="shared" si="0"/>
        <v>1</v>
      </c>
      <c r="G55" s="4" t="str">
        <f t="shared" si="1"/>
        <v>WCS</v>
      </c>
      <c r="H55" s="25">
        <f t="shared" si="2"/>
        <v>89.06</v>
      </c>
      <c r="I55" s="25">
        <v>3.1535000000000002</v>
      </c>
    </row>
    <row r="56" spans="1:9">
      <c r="A56" s="15">
        <v>44652</v>
      </c>
      <c r="B56" s="25">
        <v>108.26</v>
      </c>
      <c r="C56" s="25">
        <v>104.93</v>
      </c>
      <c r="D56" s="25">
        <v>107.91</v>
      </c>
      <c r="E56" s="4" t="s">
        <v>8</v>
      </c>
      <c r="F56" s="3">
        <f t="shared" si="0"/>
        <v>0.3</v>
      </c>
      <c r="G56" s="4" t="str">
        <f t="shared" si="1"/>
        <v>Opec Basket</v>
      </c>
      <c r="H56" s="25">
        <f t="shared" si="2"/>
        <v>104.93</v>
      </c>
      <c r="I56" s="25">
        <v>3.1509</v>
      </c>
    </row>
    <row r="57" spans="1:9">
      <c r="A57" s="15">
        <v>44651</v>
      </c>
      <c r="B57" s="25">
        <v>108.59</v>
      </c>
      <c r="C57" s="25">
        <v>107.74</v>
      </c>
      <c r="D57" s="25">
        <v>113.45</v>
      </c>
      <c r="E57" s="4" t="s">
        <v>8</v>
      </c>
      <c r="F57" s="3">
        <f t="shared" si="0"/>
        <v>0.3</v>
      </c>
      <c r="G57" s="4" t="str">
        <f t="shared" si="1"/>
        <v>Opec Basket</v>
      </c>
      <c r="H57" s="25">
        <f t="shared" si="2"/>
        <v>107.74</v>
      </c>
      <c r="I57" s="25">
        <v>3.2864</v>
      </c>
    </row>
    <row r="58" spans="1:9">
      <c r="A58" s="15">
        <v>44650</v>
      </c>
      <c r="B58" s="25">
        <v>108.28</v>
      </c>
      <c r="C58" s="25">
        <v>110.46</v>
      </c>
      <c r="D58" s="25">
        <v>110.23</v>
      </c>
      <c r="E58" s="4" t="s">
        <v>8</v>
      </c>
      <c r="F58" s="3">
        <f t="shared" si="0"/>
        <v>0</v>
      </c>
      <c r="G58" s="4" t="str">
        <f t="shared" si="1"/>
        <v>WTI Crude</v>
      </c>
      <c r="H58" s="25">
        <f t="shared" si="2"/>
        <v>108.28</v>
      </c>
      <c r="I58" s="25">
        <v>3.1766999999999999</v>
      </c>
    </row>
    <row r="59" spans="1:9">
      <c r="A59" s="15">
        <v>44649</v>
      </c>
      <c r="B59" s="25">
        <v>108.5</v>
      </c>
      <c r="C59" s="25">
        <v>110.05</v>
      </c>
      <c r="D59" s="25">
        <v>112.48</v>
      </c>
      <c r="E59" s="4" t="s">
        <v>8</v>
      </c>
      <c r="F59" s="3">
        <f t="shared" si="0"/>
        <v>0</v>
      </c>
      <c r="G59" s="4" t="str">
        <f t="shared" si="1"/>
        <v>WTI Crude</v>
      </c>
      <c r="H59" s="25">
        <f t="shared" si="2"/>
        <v>108.5</v>
      </c>
      <c r="I59" s="25">
        <v>3.1962000000000002</v>
      </c>
    </row>
    <row r="60" spans="1:9">
      <c r="A60" s="15">
        <v>44648</v>
      </c>
      <c r="B60" s="25">
        <v>109.88</v>
      </c>
      <c r="C60" s="25">
        <v>113.39</v>
      </c>
      <c r="D60" s="25">
        <v>120.65</v>
      </c>
      <c r="E60" s="4" t="s">
        <v>8</v>
      </c>
      <c r="F60" s="3">
        <f t="shared" si="0"/>
        <v>0</v>
      </c>
      <c r="G60" s="4" t="str">
        <f t="shared" si="1"/>
        <v>WTI Crude</v>
      </c>
      <c r="H60" s="25">
        <f t="shared" si="2"/>
        <v>109.88</v>
      </c>
      <c r="I60" s="25">
        <v>3.4363000000000001</v>
      </c>
    </row>
    <row r="61" spans="1:9">
      <c r="A61" s="15">
        <v>44645</v>
      </c>
      <c r="B61" s="25">
        <v>109.54</v>
      </c>
      <c r="C61" s="25">
        <v>115.99</v>
      </c>
      <c r="D61" s="25">
        <v>119.03</v>
      </c>
      <c r="E61" s="4" t="s">
        <v>8</v>
      </c>
      <c r="F61" s="3">
        <f t="shared" si="0"/>
        <v>0</v>
      </c>
      <c r="G61" s="4" t="str">
        <f t="shared" si="1"/>
        <v>WTI Crude</v>
      </c>
      <c r="H61" s="25">
        <f t="shared" si="2"/>
        <v>109.54</v>
      </c>
      <c r="I61" s="25">
        <v>3.3689</v>
      </c>
    </row>
    <row r="62" spans="1:9">
      <c r="A62" s="15">
        <v>44644</v>
      </c>
      <c r="B62" s="25">
        <v>110.22</v>
      </c>
      <c r="C62" s="25">
        <v>118.72</v>
      </c>
      <c r="D62" s="25">
        <v>121.6</v>
      </c>
      <c r="E62" s="4" t="s">
        <v>8</v>
      </c>
      <c r="F62" s="3">
        <f t="shared" si="0"/>
        <v>0</v>
      </c>
      <c r="G62" s="4" t="str">
        <f t="shared" si="1"/>
        <v>WTI Crude</v>
      </c>
      <c r="H62" s="25">
        <f t="shared" si="2"/>
        <v>110.22</v>
      </c>
      <c r="I62" s="25">
        <v>3.4195000000000002</v>
      </c>
    </row>
    <row r="63" spans="1:9">
      <c r="A63" s="15">
        <v>44643</v>
      </c>
      <c r="B63" s="25">
        <v>108.5</v>
      </c>
      <c r="C63" s="25">
        <v>116.79</v>
      </c>
      <c r="D63" s="25">
        <v>115.48</v>
      </c>
      <c r="E63" s="4" t="s">
        <v>8</v>
      </c>
      <c r="F63" s="3">
        <f t="shared" si="0"/>
        <v>0</v>
      </c>
      <c r="G63" s="4" t="str">
        <f t="shared" si="1"/>
        <v>WTI Crude</v>
      </c>
      <c r="H63" s="25">
        <f t="shared" si="2"/>
        <v>108.5</v>
      </c>
      <c r="I63" s="25">
        <v>3.3046000000000002</v>
      </c>
    </row>
    <row r="64" spans="1:9">
      <c r="A64" s="15">
        <v>44642</v>
      </c>
      <c r="B64" s="25">
        <v>108.73</v>
      </c>
      <c r="C64" s="25">
        <v>114.44</v>
      </c>
      <c r="D64" s="25">
        <v>115.62</v>
      </c>
      <c r="E64" s="4" t="s">
        <v>8</v>
      </c>
      <c r="F64" s="3">
        <f t="shared" si="0"/>
        <v>0</v>
      </c>
      <c r="G64" s="4" t="str">
        <f t="shared" si="1"/>
        <v>WTI Crude</v>
      </c>
      <c r="H64" s="25">
        <f t="shared" si="2"/>
        <v>108.73</v>
      </c>
      <c r="I64" s="25">
        <v>3.3378999999999999</v>
      </c>
    </row>
    <row r="65" spans="1:9">
      <c r="A65" s="15">
        <v>44641</v>
      </c>
      <c r="B65" s="25">
        <v>105.99</v>
      </c>
      <c r="C65" s="25">
        <v>113.65</v>
      </c>
      <c r="D65" s="25">
        <v>107.93</v>
      </c>
      <c r="E65" s="4" t="s">
        <v>8</v>
      </c>
      <c r="F65" s="3">
        <f t="shared" si="0"/>
        <v>0</v>
      </c>
      <c r="G65" s="4" t="str">
        <f t="shared" si="1"/>
        <v>WTI Crude</v>
      </c>
      <c r="H65" s="25">
        <f t="shared" si="2"/>
        <v>105.99</v>
      </c>
      <c r="I65" s="25">
        <v>3.2059000000000002</v>
      </c>
    </row>
    <row r="66" spans="1:9">
      <c r="A66" s="15">
        <v>44638</v>
      </c>
      <c r="B66" s="25">
        <v>105.32</v>
      </c>
      <c r="C66" s="25">
        <v>108.93</v>
      </c>
      <c r="D66" s="25">
        <v>106.64</v>
      </c>
      <c r="E66" s="4" t="s">
        <v>8</v>
      </c>
      <c r="F66" s="3">
        <f t="shared" ref="F66:F129" si="3">IF(MIN(B66:E66)=B66,0,IF(MIN(B66:E66)=C66,0.3,IF(MIN(B66:E66)=D66,0.75,IF(MIN(B66:E66)=E66,1,))))</f>
        <v>0</v>
      </c>
      <c r="G66" s="4" t="str">
        <f t="shared" ref="G66:G129" si="4">IF(MIN(B66:E66)=B66,$B$1,IF(MIN(B66:E66)=C66,$C$1,IF(MIN(B66:E66)=D66,$D$1,IF(MIN(B66:E66)=E66,$E$1,))))</f>
        <v>WTI Crude</v>
      </c>
      <c r="H66" s="25">
        <f t="shared" ref="H66:H129" si="5">IF(MIN(B66:E66)=B66,B66,IF(MIN(B66:E66)=C66,C66,IF(MIN(B66:E66)=D66,D66,IF(MIN(B66:E66)=E66,E66,))))</f>
        <v>105.32</v>
      </c>
      <c r="I66" s="25">
        <v>3.1821999999999999</v>
      </c>
    </row>
    <row r="67" spans="1:9">
      <c r="A67" s="15">
        <v>44637</v>
      </c>
      <c r="B67" s="25">
        <v>101.49</v>
      </c>
      <c r="C67" s="25">
        <v>104.77</v>
      </c>
      <c r="D67" s="25">
        <v>98.02</v>
      </c>
      <c r="E67" s="4" t="s">
        <v>8</v>
      </c>
      <c r="F67" s="3">
        <f t="shared" si="3"/>
        <v>0.75</v>
      </c>
      <c r="G67" s="4" t="str">
        <f t="shared" si="4"/>
        <v>Brent Crude</v>
      </c>
      <c r="H67" s="25">
        <f t="shared" si="5"/>
        <v>98.02</v>
      </c>
      <c r="I67" s="25">
        <v>2.952</v>
      </c>
    </row>
    <row r="68" spans="1:9">
      <c r="A68" s="15">
        <v>44636</v>
      </c>
      <c r="B68" s="25">
        <v>102.16</v>
      </c>
      <c r="C68" s="25">
        <v>103.87</v>
      </c>
      <c r="D68" s="25">
        <v>99.91</v>
      </c>
      <c r="E68" s="4" t="s">
        <v>8</v>
      </c>
      <c r="F68" s="3">
        <f t="shared" si="3"/>
        <v>0.75</v>
      </c>
      <c r="G68" s="4" t="str">
        <f t="shared" si="4"/>
        <v>Brent Crude</v>
      </c>
      <c r="H68" s="25">
        <f t="shared" si="5"/>
        <v>99.91</v>
      </c>
      <c r="I68" s="25">
        <v>2.9657</v>
      </c>
    </row>
    <row r="69" spans="1:9">
      <c r="A69" s="15">
        <v>44635</v>
      </c>
      <c r="B69" s="25">
        <v>105.82</v>
      </c>
      <c r="C69" s="25">
        <v>102.67</v>
      </c>
      <c r="D69" s="25">
        <v>106.9</v>
      </c>
      <c r="E69" s="4" t="s">
        <v>8</v>
      </c>
      <c r="F69" s="3">
        <f t="shared" si="3"/>
        <v>0.3</v>
      </c>
      <c r="G69" s="4" t="str">
        <f t="shared" si="4"/>
        <v>Opec Basket</v>
      </c>
      <c r="H69" s="25">
        <f t="shared" si="5"/>
        <v>102.67</v>
      </c>
      <c r="I69" s="25">
        <v>3.1339000000000001</v>
      </c>
    </row>
    <row r="70" spans="1:9">
      <c r="A70" s="15">
        <v>44634</v>
      </c>
      <c r="B70" s="25">
        <v>109.3</v>
      </c>
      <c r="C70" s="25">
        <v>110.48</v>
      </c>
      <c r="D70" s="25">
        <v>112.67</v>
      </c>
      <c r="E70" s="4" t="s">
        <v>8</v>
      </c>
      <c r="F70" s="3">
        <f t="shared" si="3"/>
        <v>0</v>
      </c>
      <c r="G70" s="4" t="str">
        <f t="shared" si="4"/>
        <v>WTI Crude</v>
      </c>
      <c r="H70" s="25">
        <f t="shared" si="5"/>
        <v>109.3</v>
      </c>
      <c r="I70" s="25">
        <v>3.3121</v>
      </c>
    </row>
    <row r="71" spans="1:9">
      <c r="A71" s="15">
        <v>44631</v>
      </c>
      <c r="B71" s="25">
        <v>107.14</v>
      </c>
      <c r="C71" s="25">
        <v>113.1</v>
      </c>
      <c r="D71" s="25">
        <v>109.33</v>
      </c>
      <c r="E71" s="4" t="s">
        <v>8</v>
      </c>
      <c r="F71" s="3">
        <f t="shared" si="3"/>
        <v>0</v>
      </c>
      <c r="G71" s="4" t="str">
        <f t="shared" si="4"/>
        <v>WTI Crude</v>
      </c>
      <c r="H71" s="25">
        <f t="shared" si="5"/>
        <v>107.14</v>
      </c>
      <c r="I71" s="25">
        <v>3.1566999999999998</v>
      </c>
    </row>
    <row r="72" spans="1:9">
      <c r="A72" s="15">
        <v>44630</v>
      </c>
      <c r="B72" s="25">
        <v>108.82</v>
      </c>
      <c r="C72" s="25">
        <v>117.04</v>
      </c>
      <c r="D72" s="25">
        <v>111.14</v>
      </c>
      <c r="E72" s="4" t="s">
        <v>8</v>
      </c>
      <c r="F72" s="3">
        <f t="shared" si="3"/>
        <v>0</v>
      </c>
      <c r="G72" s="4" t="str">
        <f t="shared" si="4"/>
        <v>WTI Crude</v>
      </c>
      <c r="H72" s="25">
        <f t="shared" si="5"/>
        <v>108.82</v>
      </c>
      <c r="I72" s="25">
        <v>3.2938000000000001</v>
      </c>
    </row>
    <row r="73" spans="1:9">
      <c r="A73" s="15">
        <v>44629</v>
      </c>
      <c r="B73" s="25">
        <v>119.78</v>
      </c>
      <c r="C73" s="25">
        <v>128.27000000000001</v>
      </c>
      <c r="D73" s="25">
        <v>127.98</v>
      </c>
      <c r="E73" s="4" t="s">
        <v>8</v>
      </c>
      <c r="F73" s="3">
        <f t="shared" si="3"/>
        <v>0</v>
      </c>
      <c r="G73" s="4" t="str">
        <f t="shared" si="4"/>
        <v>WTI Crude</v>
      </c>
      <c r="H73" s="25">
        <f t="shared" si="5"/>
        <v>119.78</v>
      </c>
      <c r="I73" s="25">
        <v>3.6825999999999999</v>
      </c>
    </row>
    <row r="74" spans="1:9">
      <c r="A74" s="15">
        <v>44628</v>
      </c>
      <c r="B74" s="25">
        <v>116.55</v>
      </c>
      <c r="C74" s="25">
        <v>127.74</v>
      </c>
      <c r="D74" s="25">
        <v>123.21</v>
      </c>
      <c r="E74" s="4" t="s">
        <v>8</v>
      </c>
      <c r="F74" s="3">
        <f t="shared" si="3"/>
        <v>0</v>
      </c>
      <c r="G74" s="4" t="str">
        <f t="shared" si="4"/>
        <v>WTI Crude</v>
      </c>
      <c r="H74" s="25">
        <f t="shared" si="5"/>
        <v>116.55</v>
      </c>
      <c r="I74" s="25">
        <v>3.5720999999999998</v>
      </c>
    </row>
    <row r="75" spans="1:9">
      <c r="A75" s="15">
        <v>44627</v>
      </c>
      <c r="B75" s="25">
        <v>113.49</v>
      </c>
      <c r="C75" s="25">
        <v>126.32</v>
      </c>
      <c r="D75" s="25">
        <v>118.11</v>
      </c>
      <c r="E75" s="4" t="s">
        <v>8</v>
      </c>
      <c r="F75" s="3">
        <f t="shared" si="3"/>
        <v>0</v>
      </c>
      <c r="G75" s="4" t="str">
        <f t="shared" si="4"/>
        <v>WTI Crude</v>
      </c>
      <c r="H75" s="25">
        <f t="shared" si="5"/>
        <v>113.49</v>
      </c>
      <c r="I75" s="25">
        <v>3.544</v>
      </c>
    </row>
    <row r="76" spans="1:9">
      <c r="A76" s="15">
        <v>44624</v>
      </c>
      <c r="B76" s="25">
        <v>106.68</v>
      </c>
      <c r="C76" s="25">
        <v>112.96</v>
      </c>
      <c r="D76" s="25">
        <v>110.46</v>
      </c>
      <c r="E76" s="4" t="s">
        <v>8</v>
      </c>
      <c r="F76" s="3">
        <f t="shared" si="3"/>
        <v>0</v>
      </c>
      <c r="G76" s="4" t="str">
        <f t="shared" si="4"/>
        <v>WTI Crude</v>
      </c>
      <c r="H76" s="25">
        <f t="shared" si="5"/>
        <v>106.68</v>
      </c>
      <c r="I76" s="25">
        <v>3.2844000000000002</v>
      </c>
    </row>
    <row r="77" spans="1:9">
      <c r="A77" s="15">
        <v>44623</v>
      </c>
      <c r="B77" s="25">
        <v>109.21</v>
      </c>
      <c r="C77" s="25">
        <v>116.87</v>
      </c>
      <c r="D77" s="25">
        <v>112.93</v>
      </c>
      <c r="E77" s="4" t="s">
        <v>8</v>
      </c>
      <c r="F77" s="3">
        <f t="shared" si="3"/>
        <v>0</v>
      </c>
      <c r="G77" s="4" t="str">
        <f t="shared" si="4"/>
        <v>WTI Crude</v>
      </c>
      <c r="H77" s="25">
        <f t="shared" si="5"/>
        <v>109.21</v>
      </c>
      <c r="I77" s="25">
        <v>3.3083</v>
      </c>
    </row>
    <row r="78" spans="1:9">
      <c r="A78" s="15">
        <v>44622</v>
      </c>
      <c r="B78" s="25">
        <v>102.44</v>
      </c>
      <c r="C78" s="25">
        <v>112.01</v>
      </c>
      <c r="D78" s="25">
        <v>104.97</v>
      </c>
      <c r="E78" s="4">
        <v>94.57</v>
      </c>
      <c r="F78" s="3">
        <f t="shared" si="3"/>
        <v>1</v>
      </c>
      <c r="G78" s="4" t="str">
        <f t="shared" si="4"/>
        <v>WCS</v>
      </c>
      <c r="H78" s="25">
        <f t="shared" si="5"/>
        <v>94.57</v>
      </c>
      <c r="I78" s="25">
        <v>3.0886999999999998</v>
      </c>
    </row>
    <row r="79" spans="1:9">
      <c r="A79" s="15">
        <v>44621</v>
      </c>
      <c r="B79" s="25">
        <v>91.63</v>
      </c>
      <c r="C79" s="25">
        <v>103.7</v>
      </c>
      <c r="D79" s="25">
        <v>100.99</v>
      </c>
      <c r="E79" s="4" t="s">
        <v>9</v>
      </c>
      <c r="F79" s="3">
        <f t="shared" si="3"/>
        <v>0</v>
      </c>
      <c r="G79" s="4" t="str">
        <f t="shared" si="4"/>
        <v>WTI Crude</v>
      </c>
      <c r="H79" s="25">
        <f t="shared" si="5"/>
        <v>91.63</v>
      </c>
      <c r="I79" s="25">
        <v>2.9325000000000001</v>
      </c>
    </row>
    <row r="80" spans="1:9">
      <c r="A80" s="15">
        <v>44620</v>
      </c>
      <c r="B80" s="25">
        <v>91.41</v>
      </c>
      <c r="C80" s="25">
        <v>98.96</v>
      </c>
      <c r="D80" s="25">
        <v>97.93</v>
      </c>
      <c r="E80" s="4" t="s">
        <v>8</v>
      </c>
      <c r="F80" s="3">
        <f t="shared" si="3"/>
        <v>0</v>
      </c>
      <c r="G80" s="4" t="str">
        <f t="shared" si="4"/>
        <v>WTI Crude</v>
      </c>
      <c r="H80" s="25">
        <f t="shared" si="5"/>
        <v>91.41</v>
      </c>
      <c r="I80" s="25">
        <v>2.8740999999999999</v>
      </c>
    </row>
    <row r="81" spans="1:9">
      <c r="A81" s="15">
        <v>44617</v>
      </c>
      <c r="B81" s="25">
        <v>91.54</v>
      </c>
      <c r="C81" s="25">
        <v>96.41</v>
      </c>
      <c r="D81" s="25">
        <v>99.08</v>
      </c>
      <c r="E81" s="4" t="s">
        <v>8</v>
      </c>
      <c r="F81" s="3">
        <f t="shared" si="3"/>
        <v>0</v>
      </c>
      <c r="G81" s="4" t="str">
        <f t="shared" si="4"/>
        <v>WTI Crude</v>
      </c>
      <c r="H81" s="25">
        <f t="shared" si="5"/>
        <v>91.54</v>
      </c>
      <c r="I81" s="25">
        <v>2.9165000000000001</v>
      </c>
    </row>
    <row r="82" spans="1:9">
      <c r="A82" s="15">
        <v>44616</v>
      </c>
      <c r="B82" s="25">
        <v>91.43</v>
      </c>
      <c r="C82" s="25">
        <v>100.95</v>
      </c>
      <c r="D82" s="25">
        <v>97.13</v>
      </c>
      <c r="E82" s="4" t="s">
        <v>8</v>
      </c>
      <c r="F82" s="3">
        <f t="shared" si="3"/>
        <v>0</v>
      </c>
      <c r="G82" s="4" t="str">
        <f t="shared" si="4"/>
        <v>WTI Crude</v>
      </c>
      <c r="H82" s="25">
        <f t="shared" si="5"/>
        <v>91.43</v>
      </c>
      <c r="I82" s="25">
        <v>2.8759999999999999</v>
      </c>
    </row>
    <row r="83" spans="1:9">
      <c r="A83" s="15">
        <v>44615</v>
      </c>
      <c r="B83" s="25">
        <v>91.39</v>
      </c>
      <c r="C83" s="25">
        <v>95.84</v>
      </c>
      <c r="D83" s="25">
        <v>96.84</v>
      </c>
      <c r="E83" s="4" t="s">
        <v>8</v>
      </c>
      <c r="F83" s="3">
        <f t="shared" si="3"/>
        <v>0</v>
      </c>
      <c r="G83" s="4" t="str">
        <f t="shared" si="4"/>
        <v>WTI Crude</v>
      </c>
      <c r="H83" s="25">
        <f t="shared" si="5"/>
        <v>91.39</v>
      </c>
      <c r="I83" s="25">
        <v>2.8542999999999998</v>
      </c>
    </row>
    <row r="84" spans="1:9">
      <c r="A84" s="15">
        <v>44614</v>
      </c>
      <c r="B84" s="25">
        <v>90.96</v>
      </c>
      <c r="C84" s="25">
        <v>97.68</v>
      </c>
      <c r="D84" s="25">
        <v>93.54</v>
      </c>
      <c r="E84" s="4" t="s">
        <v>8</v>
      </c>
      <c r="F84" s="3">
        <f t="shared" si="3"/>
        <v>0</v>
      </c>
      <c r="G84" s="4" t="str">
        <f t="shared" si="4"/>
        <v>WTI Crude</v>
      </c>
      <c r="H84" s="25">
        <f t="shared" si="5"/>
        <v>90.96</v>
      </c>
      <c r="I84" s="25">
        <v>2.8119000000000001</v>
      </c>
    </row>
    <row r="85" spans="1:9">
      <c r="A85" s="15">
        <v>44613</v>
      </c>
      <c r="B85" s="25">
        <v>91</v>
      </c>
      <c r="C85" s="25">
        <v>94.04</v>
      </c>
      <c r="D85" s="25">
        <v>92.97</v>
      </c>
      <c r="E85" s="4" t="s">
        <v>8</v>
      </c>
      <c r="F85" s="3">
        <f t="shared" si="3"/>
        <v>0</v>
      </c>
      <c r="G85" s="4" t="str">
        <f t="shared" si="4"/>
        <v>WTI Crude</v>
      </c>
      <c r="H85" s="25">
        <f t="shared" si="5"/>
        <v>91</v>
      </c>
      <c r="I85" s="25">
        <v>2.7959999999999998</v>
      </c>
    </row>
    <row r="86" spans="1:9">
      <c r="A86" s="15">
        <v>44610</v>
      </c>
      <c r="B86" s="25">
        <v>91.68</v>
      </c>
      <c r="C86" s="25">
        <v>92.55</v>
      </c>
      <c r="D86" s="25">
        <v>94.81</v>
      </c>
      <c r="E86" s="4" t="s">
        <v>8</v>
      </c>
      <c r="F86" s="3">
        <f t="shared" si="3"/>
        <v>0</v>
      </c>
      <c r="G86" s="4" t="str">
        <f t="shared" si="4"/>
        <v>WTI Crude</v>
      </c>
      <c r="H86" s="25">
        <f t="shared" si="5"/>
        <v>91.68</v>
      </c>
      <c r="I86" s="25">
        <v>2.8283</v>
      </c>
    </row>
    <row r="87" spans="1:9">
      <c r="A87" s="15">
        <v>44609</v>
      </c>
      <c r="B87" s="25">
        <v>91</v>
      </c>
      <c r="C87" s="25">
        <v>93.78</v>
      </c>
      <c r="D87" s="25">
        <v>93.28</v>
      </c>
      <c r="E87" s="4" t="s">
        <v>8</v>
      </c>
      <c r="F87" s="3">
        <f t="shared" si="3"/>
        <v>0</v>
      </c>
      <c r="G87" s="4" t="str">
        <f t="shared" si="4"/>
        <v>WTI Crude</v>
      </c>
      <c r="H87" s="25">
        <f t="shared" si="5"/>
        <v>91</v>
      </c>
      <c r="I87" s="25">
        <v>2.8094999999999999</v>
      </c>
    </row>
    <row r="88" spans="1:9">
      <c r="A88" s="15">
        <v>44608</v>
      </c>
      <c r="B88" s="25">
        <v>92.59</v>
      </c>
      <c r="C88" s="25">
        <v>95.07</v>
      </c>
      <c r="D88" s="25">
        <v>96.48</v>
      </c>
      <c r="E88" s="4" t="s">
        <v>8</v>
      </c>
      <c r="F88" s="3">
        <f t="shared" si="3"/>
        <v>0</v>
      </c>
      <c r="G88" s="4" t="str">
        <f t="shared" si="4"/>
        <v>WTI Crude</v>
      </c>
      <c r="H88" s="25">
        <f t="shared" si="5"/>
        <v>92.59</v>
      </c>
      <c r="I88" s="25">
        <v>2.9068000000000001</v>
      </c>
    </row>
    <row r="89" spans="1:9">
      <c r="A89" s="15">
        <v>44607</v>
      </c>
      <c r="B89" s="25">
        <v>91.4</v>
      </c>
      <c r="C89" s="25">
        <v>94.48</v>
      </c>
      <c r="D89" s="25">
        <v>94.44</v>
      </c>
      <c r="E89" s="4" t="s">
        <v>8</v>
      </c>
      <c r="F89" s="3">
        <f t="shared" si="3"/>
        <v>0</v>
      </c>
      <c r="G89" s="4" t="str">
        <f t="shared" si="4"/>
        <v>WTI Crude</v>
      </c>
      <c r="H89" s="25">
        <f t="shared" si="5"/>
        <v>91.4</v>
      </c>
      <c r="I89" s="25">
        <v>2.7385999999999999</v>
      </c>
    </row>
    <row r="90" spans="1:9">
      <c r="A90" s="15">
        <v>44606</v>
      </c>
      <c r="B90" s="25">
        <v>89.61</v>
      </c>
      <c r="C90" s="25">
        <v>94.92</v>
      </c>
      <c r="D90" s="25">
        <v>91.41</v>
      </c>
      <c r="E90" s="4" t="s">
        <v>8</v>
      </c>
      <c r="F90" s="3">
        <f t="shared" si="3"/>
        <v>0</v>
      </c>
      <c r="G90" s="4" t="str">
        <f t="shared" si="4"/>
        <v>WTI Crude</v>
      </c>
      <c r="H90" s="25">
        <f t="shared" si="5"/>
        <v>89.61</v>
      </c>
      <c r="I90" s="25">
        <v>2.6654</v>
      </c>
    </row>
    <row r="91" spans="1:9">
      <c r="A91" s="15">
        <v>44603</v>
      </c>
      <c r="B91" s="25">
        <v>89.51</v>
      </c>
      <c r="C91" s="25">
        <v>92.61</v>
      </c>
      <c r="D91" s="25">
        <v>91.55</v>
      </c>
      <c r="E91" s="4" t="s">
        <v>8</v>
      </c>
      <c r="F91" s="3">
        <f t="shared" si="3"/>
        <v>0</v>
      </c>
      <c r="G91" s="4" t="str">
        <f t="shared" si="4"/>
        <v>WTI Crude</v>
      </c>
      <c r="H91" s="25">
        <f t="shared" si="5"/>
        <v>89.51</v>
      </c>
      <c r="I91" s="25">
        <v>2.6534</v>
      </c>
    </row>
    <row r="92" spans="1:9">
      <c r="A92" s="15">
        <v>44602</v>
      </c>
      <c r="B92" s="25">
        <v>89.24</v>
      </c>
      <c r="C92" s="25">
        <v>92.62</v>
      </c>
      <c r="D92" s="25">
        <v>90.78</v>
      </c>
      <c r="E92" s="4" t="s">
        <v>8</v>
      </c>
      <c r="F92" s="3">
        <f t="shared" si="3"/>
        <v>0</v>
      </c>
      <c r="G92" s="4" t="str">
        <f t="shared" si="4"/>
        <v>WTI Crude</v>
      </c>
      <c r="H92" s="25">
        <f t="shared" si="5"/>
        <v>89.24</v>
      </c>
      <c r="I92" s="25">
        <v>2.6251000000000002</v>
      </c>
    </row>
    <row r="93" spans="1:9">
      <c r="A93" s="15">
        <v>44601</v>
      </c>
      <c r="B93" s="25">
        <v>90.67</v>
      </c>
      <c r="C93" s="25">
        <v>91.59</v>
      </c>
      <c r="D93" s="25">
        <v>92.69</v>
      </c>
      <c r="E93" s="4" t="s">
        <v>8</v>
      </c>
      <c r="F93" s="3">
        <f t="shared" si="3"/>
        <v>0</v>
      </c>
      <c r="G93" s="4" t="str">
        <f t="shared" si="4"/>
        <v>WTI Crude</v>
      </c>
      <c r="H93" s="25">
        <f t="shared" si="5"/>
        <v>90.67</v>
      </c>
      <c r="I93" s="25">
        <v>2.6852999999999998</v>
      </c>
    </row>
    <row r="94" spans="1:9">
      <c r="A94" s="15">
        <v>44600</v>
      </c>
      <c r="B94" s="25">
        <v>91.36</v>
      </c>
      <c r="C94" s="25">
        <v>91.92</v>
      </c>
      <c r="D94" s="25">
        <v>93.27</v>
      </c>
      <c r="E94" s="4" t="s">
        <v>8</v>
      </c>
      <c r="F94" s="3">
        <f t="shared" si="3"/>
        <v>0</v>
      </c>
      <c r="G94" s="4" t="str">
        <f t="shared" si="4"/>
        <v>WTI Crude</v>
      </c>
      <c r="H94" s="25">
        <f t="shared" si="5"/>
        <v>91.36</v>
      </c>
      <c r="I94" s="25">
        <v>2.6785000000000001</v>
      </c>
    </row>
    <row r="95" spans="1:9">
      <c r="A95" s="15">
        <v>44599</v>
      </c>
      <c r="B95" s="25">
        <v>89.67</v>
      </c>
      <c r="C95" s="25">
        <v>93.18</v>
      </c>
      <c r="D95" s="25">
        <v>91.11</v>
      </c>
      <c r="E95" s="4" t="s">
        <v>8</v>
      </c>
      <c r="F95" s="3">
        <f t="shared" si="3"/>
        <v>0</v>
      </c>
      <c r="G95" s="4" t="str">
        <f t="shared" si="4"/>
        <v>WTI Crude</v>
      </c>
      <c r="H95" s="25">
        <f t="shared" si="5"/>
        <v>89.67</v>
      </c>
      <c r="I95" s="25">
        <v>2.6427</v>
      </c>
    </row>
    <row r="96" spans="1:9">
      <c r="A96" s="15">
        <v>44596</v>
      </c>
      <c r="B96" s="25">
        <v>87.93</v>
      </c>
      <c r="C96" s="25">
        <v>92.59</v>
      </c>
      <c r="D96" s="25">
        <v>89.47</v>
      </c>
      <c r="E96" s="4" t="s">
        <v>8</v>
      </c>
      <c r="F96" s="3">
        <f t="shared" si="3"/>
        <v>0</v>
      </c>
      <c r="G96" s="4" t="str">
        <f t="shared" si="4"/>
        <v>WTI Crude</v>
      </c>
      <c r="H96" s="25">
        <f t="shared" si="5"/>
        <v>87.93</v>
      </c>
      <c r="I96" s="25">
        <v>2.6070000000000002</v>
      </c>
    </row>
    <row r="97" spans="1:9">
      <c r="A97" s="15">
        <v>44595</v>
      </c>
      <c r="B97" s="25">
        <v>87.83</v>
      </c>
      <c r="C97" s="25">
        <v>89.73</v>
      </c>
      <c r="D97" s="25">
        <v>89.16</v>
      </c>
      <c r="E97" s="4">
        <v>79.099999999999994</v>
      </c>
      <c r="F97" s="3">
        <f t="shared" si="3"/>
        <v>1</v>
      </c>
      <c r="G97" s="4" t="str">
        <f t="shared" si="4"/>
        <v>WCS</v>
      </c>
      <c r="H97" s="25">
        <f t="shared" si="5"/>
        <v>79.099999999999994</v>
      </c>
      <c r="I97" s="25">
        <v>2.5752000000000002</v>
      </c>
    </row>
    <row r="98" spans="1:9">
      <c r="A98" s="15">
        <v>44594</v>
      </c>
      <c r="B98" s="25">
        <v>82.98</v>
      </c>
      <c r="C98" s="25">
        <v>89.94</v>
      </c>
      <c r="D98" s="25">
        <v>91.21</v>
      </c>
      <c r="E98" s="4" t="s">
        <v>8</v>
      </c>
      <c r="F98" s="3">
        <f t="shared" si="3"/>
        <v>0</v>
      </c>
      <c r="G98" s="4" t="str">
        <f t="shared" si="4"/>
        <v>WTI Crude</v>
      </c>
      <c r="H98" s="25">
        <f t="shared" si="5"/>
        <v>82.98</v>
      </c>
      <c r="I98" s="25">
        <v>2.5543999999999998</v>
      </c>
    </row>
    <row r="99" spans="1:9">
      <c r="A99" s="15">
        <v>44593</v>
      </c>
      <c r="B99" s="25">
        <v>82.91</v>
      </c>
      <c r="C99" s="25">
        <v>90.22</v>
      </c>
      <c r="D99" s="25">
        <v>90.03</v>
      </c>
      <c r="E99" s="4" t="s">
        <v>8</v>
      </c>
      <c r="F99" s="3">
        <f t="shared" si="3"/>
        <v>0</v>
      </c>
      <c r="G99" s="4" t="str">
        <f t="shared" si="4"/>
        <v>WTI Crude</v>
      </c>
      <c r="H99" s="25">
        <f t="shared" si="5"/>
        <v>82.91</v>
      </c>
      <c r="I99" s="25">
        <v>2.5379</v>
      </c>
    </row>
    <row r="100" spans="1:9">
      <c r="A100" s="15">
        <v>44592</v>
      </c>
      <c r="B100" s="25">
        <v>82.89</v>
      </c>
      <c r="C100" s="25">
        <v>90.73</v>
      </c>
      <c r="D100" s="25">
        <v>89.34</v>
      </c>
      <c r="E100" s="4" t="s">
        <v>8</v>
      </c>
      <c r="F100" s="3">
        <f t="shared" si="3"/>
        <v>0</v>
      </c>
      <c r="G100" s="4" t="str">
        <f t="shared" si="4"/>
        <v>WTI Crude</v>
      </c>
      <c r="H100" s="25">
        <f t="shared" si="5"/>
        <v>82.89</v>
      </c>
      <c r="I100" s="25">
        <v>2.5209999999999999</v>
      </c>
    </row>
    <row r="101" spans="1:9">
      <c r="A101" s="15">
        <v>44589</v>
      </c>
      <c r="B101" s="25">
        <v>83</v>
      </c>
      <c r="C101" s="25">
        <v>89.97</v>
      </c>
      <c r="D101" s="25">
        <v>89.96</v>
      </c>
      <c r="E101" s="4" t="s">
        <v>8</v>
      </c>
      <c r="F101" s="3">
        <f t="shared" si="3"/>
        <v>0</v>
      </c>
      <c r="G101" s="4" t="str">
        <f t="shared" si="4"/>
        <v>WTI Crude</v>
      </c>
      <c r="H101" s="25">
        <f t="shared" si="5"/>
        <v>83</v>
      </c>
      <c r="I101" s="25">
        <v>2.5232000000000001</v>
      </c>
    </row>
    <row r="102" spans="1:9">
      <c r="A102" s="15">
        <v>44588</v>
      </c>
      <c r="B102" s="25">
        <v>82.65</v>
      </c>
      <c r="C102" s="25">
        <v>90.04</v>
      </c>
      <c r="D102" s="25">
        <v>88.2</v>
      </c>
      <c r="E102" s="4" t="s">
        <v>8</v>
      </c>
      <c r="F102" s="3">
        <f t="shared" si="3"/>
        <v>0</v>
      </c>
      <c r="G102" s="4" t="str">
        <f t="shared" si="4"/>
        <v>WTI Crude</v>
      </c>
      <c r="H102" s="25">
        <f t="shared" si="5"/>
        <v>82.65</v>
      </c>
      <c r="I102" s="25">
        <v>2.4626000000000001</v>
      </c>
    </row>
    <row r="103" spans="1:9">
      <c r="A103" s="15">
        <v>44587</v>
      </c>
      <c r="B103" s="25">
        <v>82.08</v>
      </c>
      <c r="C103" s="25">
        <v>89.18</v>
      </c>
      <c r="D103" s="25">
        <v>86.27</v>
      </c>
      <c r="E103" s="4" t="s">
        <v>8</v>
      </c>
      <c r="F103" s="3">
        <f t="shared" si="3"/>
        <v>0</v>
      </c>
      <c r="G103" s="4" t="str">
        <f t="shared" si="4"/>
        <v>WTI Crude</v>
      </c>
      <c r="H103" s="25">
        <f t="shared" si="5"/>
        <v>82.08</v>
      </c>
      <c r="I103" s="25">
        <v>2.4020999999999999</v>
      </c>
    </row>
    <row r="104" spans="1:9">
      <c r="A104" s="15">
        <v>44586</v>
      </c>
      <c r="B104" s="25">
        <v>82.63</v>
      </c>
      <c r="C104" s="25">
        <v>87.19</v>
      </c>
      <c r="D104" s="25">
        <v>87.89</v>
      </c>
      <c r="E104" s="4" t="s">
        <v>8</v>
      </c>
      <c r="F104" s="3">
        <f t="shared" si="3"/>
        <v>0</v>
      </c>
      <c r="G104" s="4" t="str">
        <f t="shared" si="4"/>
        <v>WTI Crude</v>
      </c>
      <c r="H104" s="25">
        <f t="shared" si="5"/>
        <v>82.63</v>
      </c>
      <c r="I104" s="25">
        <v>2.4464999999999999</v>
      </c>
    </row>
    <row r="105" spans="1:9">
      <c r="A105" s="15">
        <v>44585</v>
      </c>
      <c r="B105" s="25">
        <v>82.77</v>
      </c>
      <c r="C105" s="25">
        <v>87.83</v>
      </c>
      <c r="D105" s="25">
        <v>88.38</v>
      </c>
      <c r="E105" s="4" t="s">
        <v>8</v>
      </c>
      <c r="F105" s="3">
        <f t="shared" si="3"/>
        <v>0</v>
      </c>
      <c r="G105" s="4" t="str">
        <f t="shared" si="4"/>
        <v>WTI Crude</v>
      </c>
      <c r="H105" s="25">
        <f t="shared" si="5"/>
        <v>82.77</v>
      </c>
      <c r="I105" s="25">
        <v>2.4662000000000002</v>
      </c>
    </row>
    <row r="106" spans="1:9">
      <c r="A106" s="15">
        <v>44582</v>
      </c>
      <c r="B106" s="25">
        <v>82.86</v>
      </c>
      <c r="C106" s="25">
        <v>87.3</v>
      </c>
      <c r="D106" s="25">
        <v>88.44</v>
      </c>
      <c r="E106" s="4" t="s">
        <v>8</v>
      </c>
      <c r="F106" s="3">
        <f t="shared" si="3"/>
        <v>0</v>
      </c>
      <c r="G106" s="4" t="str">
        <f t="shared" si="4"/>
        <v>WTI Crude</v>
      </c>
      <c r="H106" s="25">
        <f t="shared" si="5"/>
        <v>82.86</v>
      </c>
      <c r="I106" s="25">
        <v>2.4615</v>
      </c>
    </row>
    <row r="107" spans="1:9">
      <c r="A107" s="15">
        <v>44581</v>
      </c>
      <c r="B107" s="25">
        <v>82.37</v>
      </c>
      <c r="C107" s="25">
        <v>88.39</v>
      </c>
      <c r="D107" s="25">
        <v>87.51</v>
      </c>
      <c r="E107" s="4" t="s">
        <v>8</v>
      </c>
      <c r="F107" s="3">
        <f t="shared" si="3"/>
        <v>0</v>
      </c>
      <c r="G107" s="4" t="str">
        <f t="shared" si="4"/>
        <v>WTI Crude</v>
      </c>
      <c r="H107" s="25">
        <f t="shared" si="5"/>
        <v>82.37</v>
      </c>
      <c r="I107" s="25">
        <v>2.4386999999999999</v>
      </c>
    </row>
    <row r="108" spans="1:9">
      <c r="A108" s="15">
        <v>44580</v>
      </c>
      <c r="B108" s="25">
        <v>81.59</v>
      </c>
      <c r="C108" s="25">
        <v>88.33</v>
      </c>
      <c r="D108" s="25">
        <v>86.06</v>
      </c>
      <c r="E108" s="4" t="s">
        <v>8</v>
      </c>
      <c r="F108" s="3">
        <f t="shared" si="3"/>
        <v>0</v>
      </c>
      <c r="G108" s="4" t="str">
        <f t="shared" si="4"/>
        <v>WTI Crude</v>
      </c>
      <c r="H108" s="25">
        <f t="shared" si="5"/>
        <v>81.59</v>
      </c>
      <c r="I108" s="25">
        <v>2.4237000000000002</v>
      </c>
    </row>
    <row r="109" spans="1:9">
      <c r="A109" s="15">
        <v>44579</v>
      </c>
      <c r="B109" s="25">
        <v>80.67</v>
      </c>
      <c r="C109" s="25">
        <v>87.93</v>
      </c>
      <c r="D109" s="25">
        <v>84.47</v>
      </c>
      <c r="E109" s="4" t="s">
        <v>8</v>
      </c>
      <c r="F109" s="3">
        <f t="shared" si="3"/>
        <v>0</v>
      </c>
      <c r="G109" s="4" t="str">
        <f t="shared" si="4"/>
        <v>WTI Crude</v>
      </c>
      <c r="H109" s="25">
        <f t="shared" si="5"/>
        <v>80.67</v>
      </c>
      <c r="I109" s="25">
        <v>2.3877000000000002</v>
      </c>
    </row>
    <row r="110" spans="1:9">
      <c r="A110" s="15">
        <v>44578</v>
      </c>
      <c r="B110" s="25">
        <v>80.94</v>
      </c>
      <c r="C110" s="25">
        <v>86.38</v>
      </c>
      <c r="D110" s="25">
        <v>84.67</v>
      </c>
      <c r="E110" s="4" t="s">
        <v>8</v>
      </c>
      <c r="F110" s="3">
        <f t="shared" si="3"/>
        <v>0</v>
      </c>
      <c r="G110" s="4" t="str">
        <f t="shared" si="4"/>
        <v>WTI Crude</v>
      </c>
      <c r="H110" s="25">
        <f t="shared" si="5"/>
        <v>80.94</v>
      </c>
      <c r="I110" s="25">
        <v>2.3908</v>
      </c>
    </row>
    <row r="111" spans="1:9">
      <c r="A111" s="15">
        <v>44575</v>
      </c>
      <c r="B111" s="25">
        <v>80.040000000000006</v>
      </c>
      <c r="C111" s="25">
        <v>85.3</v>
      </c>
      <c r="D111" s="25">
        <v>83.72</v>
      </c>
      <c r="E111" s="4" t="s">
        <v>8</v>
      </c>
      <c r="F111" s="3">
        <f t="shared" si="3"/>
        <v>0</v>
      </c>
      <c r="G111" s="4" t="str">
        <f t="shared" si="4"/>
        <v>WTI Crude</v>
      </c>
      <c r="H111" s="25">
        <f t="shared" si="5"/>
        <v>80.040000000000006</v>
      </c>
      <c r="I111" s="25">
        <v>2.3574000000000002</v>
      </c>
    </row>
    <row r="112" spans="1:9">
      <c r="A112" s="15">
        <v>44574</v>
      </c>
      <c r="B112" s="25">
        <v>77.95</v>
      </c>
      <c r="C112" s="25">
        <v>84.56</v>
      </c>
      <c r="D112" s="25">
        <v>80.87</v>
      </c>
      <c r="E112" s="4" t="s">
        <v>8</v>
      </c>
      <c r="F112" s="3">
        <f t="shared" si="3"/>
        <v>0</v>
      </c>
      <c r="G112" s="4" t="str">
        <f t="shared" si="4"/>
        <v>WTI Crude</v>
      </c>
      <c r="H112" s="25">
        <f t="shared" si="5"/>
        <v>77.95</v>
      </c>
      <c r="I112" s="25">
        <v>2.2753999999999999</v>
      </c>
    </row>
    <row r="113" spans="1:9">
      <c r="A113" s="15">
        <v>44573</v>
      </c>
      <c r="B113" s="25">
        <v>78.48</v>
      </c>
      <c r="C113" s="25">
        <v>84.19</v>
      </c>
      <c r="D113" s="25">
        <v>81.75</v>
      </c>
      <c r="E113" s="4" t="s">
        <v>8</v>
      </c>
      <c r="F113" s="3">
        <f t="shared" si="3"/>
        <v>0</v>
      </c>
      <c r="G113" s="4" t="str">
        <f t="shared" si="4"/>
        <v>WTI Crude</v>
      </c>
      <c r="H113" s="25">
        <f t="shared" si="5"/>
        <v>78.48</v>
      </c>
      <c r="I113" s="25">
        <v>2.2989000000000002</v>
      </c>
    </row>
    <row r="114" spans="1:9">
      <c r="A114" s="15">
        <v>44572</v>
      </c>
      <c r="B114" s="25">
        <v>78.88</v>
      </c>
      <c r="C114" s="25">
        <v>81.97</v>
      </c>
      <c r="D114" s="25">
        <v>81.99</v>
      </c>
      <c r="E114" s="4" t="s">
        <v>8</v>
      </c>
      <c r="F114" s="3">
        <f t="shared" si="3"/>
        <v>0</v>
      </c>
      <c r="G114" s="4" t="str">
        <f t="shared" si="4"/>
        <v>WTI Crude</v>
      </c>
      <c r="H114" s="25">
        <f t="shared" si="5"/>
        <v>78.88</v>
      </c>
      <c r="I114" s="25">
        <v>2.3043</v>
      </c>
    </row>
    <row r="115" spans="1:9">
      <c r="A115" s="15">
        <v>44571</v>
      </c>
      <c r="B115" s="25">
        <v>77.59</v>
      </c>
      <c r="C115" s="25">
        <v>81.599999999999994</v>
      </c>
      <c r="D115" s="25">
        <v>80.8</v>
      </c>
      <c r="E115" s="4" t="s">
        <v>8</v>
      </c>
      <c r="F115" s="3">
        <f t="shared" si="3"/>
        <v>0</v>
      </c>
      <c r="G115" s="4" t="str">
        <f t="shared" si="4"/>
        <v>WTI Crude</v>
      </c>
      <c r="H115" s="25">
        <f t="shared" si="5"/>
        <v>77.59</v>
      </c>
      <c r="I115" s="25">
        <v>2.2921</v>
      </c>
    </row>
    <row r="116" spans="1:9">
      <c r="A116" s="15">
        <v>44568</v>
      </c>
      <c r="B116" s="25">
        <v>76.86</v>
      </c>
      <c r="C116" s="25">
        <v>82</v>
      </c>
      <c r="D116" s="25">
        <v>80</v>
      </c>
      <c r="E116" s="4" t="s">
        <v>8</v>
      </c>
      <c r="F116" s="3">
        <f t="shared" si="3"/>
        <v>0</v>
      </c>
      <c r="G116" s="4" t="str">
        <f t="shared" si="4"/>
        <v>WTI Crude</v>
      </c>
      <c r="H116" s="25">
        <f t="shared" si="5"/>
        <v>76.86</v>
      </c>
      <c r="I116" s="25">
        <v>2.2763</v>
      </c>
    </row>
    <row r="117" spans="1:9">
      <c r="A117" s="15">
        <v>44567</v>
      </c>
      <c r="B117" s="25">
        <v>76</v>
      </c>
      <c r="C117" s="25">
        <v>80.650000000000006</v>
      </c>
      <c r="D117" s="25">
        <v>78.98</v>
      </c>
      <c r="E117" s="4" t="s">
        <v>8</v>
      </c>
      <c r="F117" s="3">
        <f t="shared" si="3"/>
        <v>0</v>
      </c>
      <c r="G117" s="4" t="str">
        <f t="shared" si="4"/>
        <v>WTI Crude</v>
      </c>
      <c r="H117" s="25">
        <f t="shared" si="5"/>
        <v>76</v>
      </c>
      <c r="I117" s="25">
        <v>2.2565</v>
      </c>
    </row>
    <row r="118" spans="1:9">
      <c r="A118" s="15">
        <v>44566</v>
      </c>
      <c r="B118" s="25">
        <v>71.69</v>
      </c>
      <c r="C118" s="25">
        <v>79.92</v>
      </c>
      <c r="D118" s="25">
        <v>77.78</v>
      </c>
      <c r="E118" s="4" t="s">
        <v>8</v>
      </c>
      <c r="F118" s="3">
        <f t="shared" si="3"/>
        <v>0</v>
      </c>
      <c r="G118" s="4" t="str">
        <f t="shared" si="4"/>
        <v>WTI Crude</v>
      </c>
      <c r="H118" s="25">
        <f t="shared" si="5"/>
        <v>71.69</v>
      </c>
      <c r="I118" s="25">
        <v>2.2246000000000001</v>
      </c>
    </row>
    <row r="119" spans="1:9">
      <c r="A119" s="15">
        <v>44565</v>
      </c>
      <c r="B119" s="25">
        <v>71.77</v>
      </c>
      <c r="C119" s="25">
        <v>78.78</v>
      </c>
      <c r="D119" s="25">
        <v>79.319999999999993</v>
      </c>
      <c r="E119" s="4" t="s">
        <v>8</v>
      </c>
      <c r="F119" s="3">
        <f t="shared" si="3"/>
        <v>0</v>
      </c>
      <c r="G119" s="4" t="str">
        <f t="shared" si="4"/>
        <v>WTI Crude</v>
      </c>
      <c r="H119" s="25">
        <f t="shared" si="5"/>
        <v>71.77</v>
      </c>
      <c r="I119" s="25">
        <v>2.2913999999999999</v>
      </c>
    </row>
    <row r="120" spans="1:9">
      <c r="A120" s="15">
        <v>44564</v>
      </c>
      <c r="B120" s="25">
        <v>71.73</v>
      </c>
      <c r="C120" s="25">
        <v>77.86</v>
      </c>
      <c r="D120" s="25">
        <v>79.23</v>
      </c>
      <c r="E120" s="4">
        <v>65.25</v>
      </c>
      <c r="F120" s="3">
        <f t="shared" si="3"/>
        <v>1</v>
      </c>
      <c r="G120" s="4" t="str">
        <f t="shared" si="4"/>
        <v>WCS</v>
      </c>
      <c r="H120" s="25">
        <f t="shared" si="5"/>
        <v>65.25</v>
      </c>
      <c r="I120" s="25">
        <v>2.2665999999999999</v>
      </c>
    </row>
    <row r="121" spans="1:9">
      <c r="A121" s="15">
        <v>44561</v>
      </c>
      <c r="B121" s="25">
        <v>71.650000000000006</v>
      </c>
      <c r="C121" s="25">
        <v>77.97</v>
      </c>
      <c r="D121" s="25">
        <v>78.94</v>
      </c>
      <c r="E121" s="4" t="s">
        <v>8</v>
      </c>
      <c r="F121" s="3">
        <f t="shared" si="3"/>
        <v>0</v>
      </c>
      <c r="G121" s="4" t="str">
        <f t="shared" si="4"/>
        <v>WTI Crude</v>
      </c>
      <c r="H121" s="25">
        <f t="shared" si="5"/>
        <v>71.650000000000006</v>
      </c>
      <c r="I121" s="25">
        <v>2.246</v>
      </c>
    </row>
    <row r="122" spans="1:9">
      <c r="A122" s="15">
        <v>44560</v>
      </c>
      <c r="B122" s="25">
        <v>71.58</v>
      </c>
      <c r="C122" s="25">
        <v>78.33</v>
      </c>
      <c r="D122" s="25">
        <v>78.599999999999994</v>
      </c>
      <c r="E122" s="4" t="s">
        <v>8</v>
      </c>
      <c r="F122" s="3">
        <f t="shared" si="3"/>
        <v>0</v>
      </c>
      <c r="G122" s="4" t="str">
        <f t="shared" si="4"/>
        <v>WTI Crude</v>
      </c>
      <c r="H122" s="25">
        <f t="shared" si="5"/>
        <v>71.58</v>
      </c>
      <c r="I122" s="25">
        <v>2.2303999999999999</v>
      </c>
    </row>
    <row r="123" spans="1:9">
      <c r="A123" s="15">
        <v>44559</v>
      </c>
      <c r="B123" s="25">
        <v>71.17</v>
      </c>
      <c r="C123" s="25">
        <v>78.17</v>
      </c>
      <c r="D123" s="25">
        <v>76.849999999999994</v>
      </c>
      <c r="E123" s="4" t="s">
        <v>8</v>
      </c>
      <c r="F123" s="3">
        <f t="shared" si="3"/>
        <v>0</v>
      </c>
      <c r="G123" s="4" t="str">
        <f t="shared" si="4"/>
        <v>WTI Crude</v>
      </c>
      <c r="H123" s="25">
        <f t="shared" si="5"/>
        <v>71.17</v>
      </c>
      <c r="I123" s="25">
        <v>2.2033</v>
      </c>
    </row>
    <row r="124" spans="1:9">
      <c r="A124" s="15">
        <v>44558</v>
      </c>
      <c r="B124" s="25">
        <v>70.89</v>
      </c>
      <c r="C124" s="25">
        <v>77.39</v>
      </c>
      <c r="D124" s="25">
        <v>75.290000000000006</v>
      </c>
      <c r="E124" s="4" t="s">
        <v>8</v>
      </c>
      <c r="F124" s="3">
        <f t="shared" si="3"/>
        <v>0</v>
      </c>
      <c r="G124" s="4" t="str">
        <f t="shared" si="4"/>
        <v>WTI Crude</v>
      </c>
      <c r="H124" s="25">
        <f t="shared" si="5"/>
        <v>70.89</v>
      </c>
      <c r="I124" s="25">
        <v>2.165</v>
      </c>
    </row>
    <row r="125" spans="1:9">
      <c r="A125" s="15">
        <v>44557</v>
      </c>
      <c r="B125" s="25">
        <v>70.37</v>
      </c>
      <c r="C125" s="25">
        <v>75.63</v>
      </c>
      <c r="D125" s="25">
        <v>73.98</v>
      </c>
      <c r="E125" s="4" t="s">
        <v>8</v>
      </c>
      <c r="F125" s="3">
        <f t="shared" si="3"/>
        <v>0</v>
      </c>
      <c r="G125" s="4" t="str">
        <f t="shared" si="4"/>
        <v>WTI Crude</v>
      </c>
      <c r="H125" s="25">
        <f t="shared" si="5"/>
        <v>70.37</v>
      </c>
      <c r="I125" s="25">
        <v>2.1448</v>
      </c>
    </row>
    <row r="126" spans="1:9">
      <c r="A126" s="15">
        <v>44554</v>
      </c>
      <c r="B126" s="25">
        <v>69.459999999999994</v>
      </c>
      <c r="C126" s="25">
        <v>75.5</v>
      </c>
      <c r="D126" s="25">
        <v>71.52</v>
      </c>
      <c r="E126" s="4" t="s">
        <v>8</v>
      </c>
      <c r="F126" s="3">
        <f t="shared" si="3"/>
        <v>0</v>
      </c>
      <c r="G126" s="4" t="str">
        <f t="shared" si="4"/>
        <v>WTI Crude</v>
      </c>
      <c r="H126" s="25">
        <f t="shared" si="5"/>
        <v>69.459999999999994</v>
      </c>
      <c r="I126" s="25">
        <v>2.0785999999999998</v>
      </c>
    </row>
    <row r="127" spans="1:9">
      <c r="A127" s="15">
        <v>44553</v>
      </c>
      <c r="B127" s="25">
        <v>70.349999999999994</v>
      </c>
      <c r="C127" s="25">
        <v>75.16</v>
      </c>
      <c r="D127" s="25">
        <v>73.52</v>
      </c>
      <c r="E127" s="4" t="s">
        <v>8</v>
      </c>
      <c r="F127" s="3">
        <f t="shared" si="3"/>
        <v>0</v>
      </c>
      <c r="G127" s="4" t="str">
        <f t="shared" si="4"/>
        <v>WTI Crude</v>
      </c>
      <c r="H127" s="25">
        <f t="shared" si="5"/>
        <v>70.349999999999994</v>
      </c>
      <c r="I127" s="25">
        <v>2.1126</v>
      </c>
    </row>
    <row r="128" spans="1:9">
      <c r="A128" s="15">
        <v>44552</v>
      </c>
      <c r="B128" s="25">
        <v>71</v>
      </c>
      <c r="C128" s="25">
        <v>73.989999999999995</v>
      </c>
      <c r="D128" s="25">
        <v>75.02</v>
      </c>
      <c r="E128" s="4" t="s">
        <v>8</v>
      </c>
      <c r="F128" s="3">
        <f t="shared" si="3"/>
        <v>0</v>
      </c>
      <c r="G128" s="4" t="str">
        <f t="shared" si="4"/>
        <v>WTI Crude</v>
      </c>
      <c r="H128" s="25">
        <f t="shared" si="5"/>
        <v>71</v>
      </c>
      <c r="I128" s="25">
        <v>2.1644000000000001</v>
      </c>
    </row>
    <row r="129" spans="1:9">
      <c r="A129" s="15">
        <v>44551</v>
      </c>
      <c r="B129" s="25">
        <v>70.260000000000005</v>
      </c>
      <c r="C129" s="25">
        <v>72.180000000000007</v>
      </c>
      <c r="D129" s="25">
        <v>73.88</v>
      </c>
      <c r="E129" s="4" t="s">
        <v>8</v>
      </c>
      <c r="F129" s="3">
        <f t="shared" si="3"/>
        <v>0</v>
      </c>
      <c r="G129" s="4" t="str">
        <f t="shared" si="4"/>
        <v>WTI Crude</v>
      </c>
      <c r="H129" s="25">
        <f t="shared" si="5"/>
        <v>70.260000000000005</v>
      </c>
      <c r="I129" s="25">
        <v>2.1122999999999998</v>
      </c>
    </row>
    <row r="130" spans="1:9">
      <c r="A130" s="15">
        <v>44550</v>
      </c>
      <c r="B130" s="25">
        <v>70.180000000000007</v>
      </c>
      <c r="C130" s="25">
        <v>70.94</v>
      </c>
      <c r="D130" s="25">
        <v>73.7</v>
      </c>
      <c r="E130" s="4" t="s">
        <v>8</v>
      </c>
      <c r="F130" s="3">
        <f t="shared" ref="F130:F193" si="6">IF(MIN(B130:E130)=B130,0,IF(MIN(B130:E130)=C130,0.3,IF(MIN(B130:E130)=D130,0.75,IF(MIN(B130:E130)=E130,1,))))</f>
        <v>0</v>
      </c>
      <c r="G130" s="4" t="str">
        <f t="shared" ref="G130:G193" si="7">IF(MIN(B130:E130)=B130,$B$1,IF(MIN(B130:E130)=C130,$C$1,IF(MIN(B130:E130)=D130,$D$1,IF(MIN(B130:E130)=E130,$E$1,))))</f>
        <v>WTI Crude</v>
      </c>
      <c r="H130" s="25">
        <f t="shared" ref="H130:H193" si="8">IF(MIN(B130:E130)=B130,B130,IF(MIN(B130:E130)=C130,C130,IF(MIN(B130:E130)=D130,D130,IF(MIN(B130:E130)=E130,E130,))))</f>
        <v>70.180000000000007</v>
      </c>
      <c r="I130" s="25">
        <v>2.1107999999999998</v>
      </c>
    </row>
    <row r="131" spans="1:9">
      <c r="A131" s="15">
        <v>44547</v>
      </c>
      <c r="B131" s="25">
        <v>70.5</v>
      </c>
      <c r="C131" s="25">
        <v>74.23</v>
      </c>
      <c r="D131" s="25">
        <v>74.39</v>
      </c>
      <c r="E131" s="4" t="s">
        <v>8</v>
      </c>
      <c r="F131" s="3">
        <f t="shared" si="6"/>
        <v>0</v>
      </c>
      <c r="G131" s="4" t="str">
        <f t="shared" si="7"/>
        <v>WTI Crude</v>
      </c>
      <c r="H131" s="25">
        <f t="shared" si="8"/>
        <v>70.5</v>
      </c>
      <c r="I131" s="25">
        <v>2.1164999999999998</v>
      </c>
    </row>
    <row r="132" spans="1:9">
      <c r="A132" s="15">
        <v>44546</v>
      </c>
      <c r="B132" s="25">
        <v>70.760000000000005</v>
      </c>
      <c r="C132" s="25">
        <v>74.66</v>
      </c>
      <c r="D132" s="25">
        <v>75.150000000000006</v>
      </c>
      <c r="E132" s="4" t="s">
        <v>8</v>
      </c>
      <c r="F132" s="3">
        <f t="shared" si="6"/>
        <v>0</v>
      </c>
      <c r="G132" s="4" t="str">
        <f t="shared" si="7"/>
        <v>WTI Crude</v>
      </c>
      <c r="H132" s="25">
        <f t="shared" si="8"/>
        <v>70.760000000000005</v>
      </c>
      <c r="I132" s="25">
        <v>2.1372</v>
      </c>
    </row>
    <row r="133" spans="1:9">
      <c r="A133" s="15">
        <v>44545</v>
      </c>
      <c r="B133" s="25">
        <v>70.28</v>
      </c>
      <c r="C133" s="25">
        <v>73.12</v>
      </c>
      <c r="D133" s="25">
        <v>74.42</v>
      </c>
      <c r="E133" s="4" t="s">
        <v>8</v>
      </c>
      <c r="F133" s="3">
        <f t="shared" si="6"/>
        <v>0</v>
      </c>
      <c r="G133" s="4" t="str">
        <f t="shared" si="7"/>
        <v>WTI Crude</v>
      </c>
      <c r="H133" s="25">
        <f t="shared" si="8"/>
        <v>70.28</v>
      </c>
      <c r="I133" s="25">
        <v>2.1284000000000001</v>
      </c>
    </row>
    <row r="134" spans="1:9">
      <c r="A134" s="15">
        <v>44544</v>
      </c>
      <c r="B134" s="25">
        <v>71.3</v>
      </c>
      <c r="C134" s="25">
        <v>74.28</v>
      </c>
      <c r="D134" s="25">
        <v>75.819999999999993</v>
      </c>
      <c r="E134" s="4" t="s">
        <v>8</v>
      </c>
      <c r="F134" s="3">
        <f t="shared" si="6"/>
        <v>0</v>
      </c>
      <c r="G134" s="4" t="str">
        <f t="shared" si="7"/>
        <v>WTI Crude</v>
      </c>
      <c r="H134" s="25">
        <f t="shared" si="8"/>
        <v>71.3</v>
      </c>
      <c r="I134" s="25">
        <v>2.1484999999999999</v>
      </c>
    </row>
    <row r="135" spans="1:9">
      <c r="A135" s="15">
        <v>44543</v>
      </c>
      <c r="B135" s="25">
        <v>71.05</v>
      </c>
      <c r="C135" s="25">
        <v>75.040000000000006</v>
      </c>
      <c r="D135" s="25">
        <v>75.44</v>
      </c>
      <c r="E135" s="4" t="s">
        <v>8</v>
      </c>
      <c r="F135" s="3">
        <f t="shared" si="6"/>
        <v>0</v>
      </c>
      <c r="G135" s="4" t="str">
        <f t="shared" si="7"/>
        <v>WTI Crude</v>
      </c>
      <c r="H135" s="25">
        <f t="shared" si="8"/>
        <v>71.05</v>
      </c>
      <c r="I135" s="25">
        <v>2.1</v>
      </c>
    </row>
    <row r="136" spans="1:9">
      <c r="A136" s="15">
        <v>44540</v>
      </c>
      <c r="B136" s="25">
        <v>68.959999999999994</v>
      </c>
      <c r="C136" s="25">
        <v>74.069999999999993</v>
      </c>
      <c r="D136" s="25">
        <v>73.08</v>
      </c>
      <c r="E136" s="4" t="s">
        <v>8</v>
      </c>
      <c r="F136" s="3">
        <f t="shared" si="6"/>
        <v>0</v>
      </c>
      <c r="G136" s="4" t="str">
        <f t="shared" si="7"/>
        <v>WTI Crude</v>
      </c>
      <c r="H136" s="25">
        <f t="shared" si="8"/>
        <v>68.959999999999994</v>
      </c>
      <c r="I136" s="25">
        <v>2.0432999999999999</v>
      </c>
    </row>
    <row r="137" spans="1:9">
      <c r="A137" s="15">
        <v>44539</v>
      </c>
      <c r="B137" s="25">
        <v>66.180000000000007</v>
      </c>
      <c r="C137" s="25">
        <v>75.41</v>
      </c>
      <c r="D137" s="25">
        <v>69.88</v>
      </c>
      <c r="E137" s="4" t="s">
        <v>8</v>
      </c>
      <c r="F137" s="3">
        <f t="shared" si="6"/>
        <v>0</v>
      </c>
      <c r="G137" s="4" t="str">
        <f t="shared" si="7"/>
        <v>WTI Crude</v>
      </c>
      <c r="H137" s="25">
        <f t="shared" si="8"/>
        <v>66.180000000000007</v>
      </c>
      <c r="I137" s="25">
        <v>1.9529000000000001</v>
      </c>
    </row>
    <row r="138" spans="1:9">
      <c r="A138" s="15">
        <v>44538</v>
      </c>
      <c r="B138" s="25">
        <v>66.37</v>
      </c>
      <c r="C138" s="25">
        <v>75.13</v>
      </c>
      <c r="D138" s="25">
        <v>69.67</v>
      </c>
      <c r="E138" s="4" t="s">
        <v>8</v>
      </c>
      <c r="F138" s="3">
        <f t="shared" si="6"/>
        <v>0</v>
      </c>
      <c r="G138" s="4" t="str">
        <f t="shared" si="7"/>
        <v>WTI Crude</v>
      </c>
      <c r="H138" s="25">
        <f t="shared" si="8"/>
        <v>66.37</v>
      </c>
      <c r="I138" s="25">
        <v>1.9677</v>
      </c>
    </row>
    <row r="139" spans="1:9">
      <c r="A139" s="15">
        <v>44537</v>
      </c>
      <c r="B139" s="25">
        <v>65.5</v>
      </c>
      <c r="C139" s="25">
        <v>74.650000000000006</v>
      </c>
      <c r="D139" s="25">
        <v>68.87</v>
      </c>
      <c r="E139" s="4" t="s">
        <v>8</v>
      </c>
      <c r="F139" s="3">
        <f t="shared" si="6"/>
        <v>0</v>
      </c>
      <c r="G139" s="4" t="str">
        <f t="shared" si="7"/>
        <v>WTI Crude</v>
      </c>
      <c r="H139" s="25">
        <f t="shared" si="8"/>
        <v>65.5</v>
      </c>
      <c r="I139" s="25">
        <v>1.9511000000000001</v>
      </c>
    </row>
    <row r="140" spans="1:9">
      <c r="A140" s="15">
        <v>44536</v>
      </c>
      <c r="B140" s="25">
        <v>78.650000000000006</v>
      </c>
      <c r="C140" s="25">
        <v>71.45</v>
      </c>
      <c r="D140" s="25">
        <v>70.569999999999993</v>
      </c>
      <c r="E140" s="4" t="s">
        <v>8</v>
      </c>
      <c r="F140" s="3">
        <f t="shared" si="6"/>
        <v>0.75</v>
      </c>
      <c r="G140" s="4" t="str">
        <f t="shared" si="7"/>
        <v>Brent Crude</v>
      </c>
      <c r="H140" s="25">
        <f t="shared" si="8"/>
        <v>70.569999999999993</v>
      </c>
      <c r="I140" s="25">
        <v>1.9400999999999999</v>
      </c>
    </row>
    <row r="141" spans="1:9">
      <c r="A141" s="15">
        <v>44533</v>
      </c>
      <c r="B141" s="25">
        <v>78.83</v>
      </c>
      <c r="C141" s="25">
        <v>71.650000000000006</v>
      </c>
      <c r="D141" s="25">
        <v>73.44</v>
      </c>
      <c r="E141" s="4" t="s">
        <v>8</v>
      </c>
      <c r="F141" s="3">
        <f t="shared" si="6"/>
        <v>0.3</v>
      </c>
      <c r="G141" s="4" t="str">
        <f t="shared" si="7"/>
        <v>Opec Basket</v>
      </c>
      <c r="H141" s="25">
        <f t="shared" si="8"/>
        <v>71.650000000000006</v>
      </c>
      <c r="I141" s="25">
        <v>2.0329999999999999</v>
      </c>
    </row>
    <row r="142" spans="1:9">
      <c r="A142" s="15">
        <v>44532</v>
      </c>
      <c r="B142" s="25">
        <v>78.66</v>
      </c>
      <c r="C142" s="25">
        <v>70.069999999999993</v>
      </c>
      <c r="D142" s="25">
        <v>72.72</v>
      </c>
      <c r="E142" s="4" t="s">
        <v>8</v>
      </c>
      <c r="F142" s="3">
        <f t="shared" si="6"/>
        <v>0.3</v>
      </c>
      <c r="G142" s="4" t="str">
        <f t="shared" si="7"/>
        <v>Opec Basket</v>
      </c>
      <c r="H142" s="25">
        <f t="shared" si="8"/>
        <v>70.069999999999993</v>
      </c>
      <c r="I142" s="25">
        <v>1.9811000000000001</v>
      </c>
    </row>
    <row r="143" spans="1:9">
      <c r="A143" s="15">
        <v>44531</v>
      </c>
      <c r="B143" s="25">
        <v>80.12</v>
      </c>
      <c r="C143" s="25">
        <v>71.67</v>
      </c>
      <c r="D143" s="25">
        <v>82.25</v>
      </c>
      <c r="E143" s="4">
        <v>53.1</v>
      </c>
      <c r="F143" s="3">
        <f t="shared" si="6"/>
        <v>1</v>
      </c>
      <c r="G143" s="4" t="str">
        <f t="shared" si="7"/>
        <v>WCS</v>
      </c>
      <c r="H143" s="25">
        <f t="shared" si="8"/>
        <v>53.1</v>
      </c>
      <c r="I143" s="25">
        <v>2.2658999999999998</v>
      </c>
    </row>
    <row r="144" spans="1:9">
      <c r="A144" s="15">
        <v>44530</v>
      </c>
      <c r="B144" s="25">
        <v>80.150000000000006</v>
      </c>
      <c r="C144" s="25">
        <v>71.010000000000005</v>
      </c>
      <c r="D144" s="25">
        <v>82.31</v>
      </c>
      <c r="E144" s="4" t="s">
        <v>8</v>
      </c>
      <c r="F144" s="3">
        <f t="shared" si="6"/>
        <v>0.3</v>
      </c>
      <c r="G144" s="4" t="str">
        <f t="shared" si="7"/>
        <v>Opec Basket</v>
      </c>
      <c r="H144" s="25">
        <f t="shared" si="8"/>
        <v>71.010000000000005</v>
      </c>
      <c r="I144" s="25">
        <v>2.2783000000000002</v>
      </c>
    </row>
    <row r="145" spans="1:9">
      <c r="A145" s="15">
        <v>44529</v>
      </c>
      <c r="B145" s="25">
        <v>79.73</v>
      </c>
      <c r="C145" s="25">
        <v>74.2</v>
      </c>
      <c r="D145" s="25">
        <v>79.7</v>
      </c>
      <c r="E145" s="4" t="s">
        <v>8</v>
      </c>
      <c r="F145" s="3">
        <f t="shared" si="6"/>
        <v>0.3</v>
      </c>
      <c r="G145" s="4" t="str">
        <f t="shared" si="7"/>
        <v>Opec Basket</v>
      </c>
      <c r="H145" s="25">
        <f t="shared" si="8"/>
        <v>74.2</v>
      </c>
      <c r="I145" s="25">
        <v>2.2033</v>
      </c>
    </row>
    <row r="146" spans="1:9">
      <c r="A146" s="15">
        <v>44526</v>
      </c>
      <c r="B146" s="25">
        <v>79.5</v>
      </c>
      <c r="C146" s="25">
        <v>76.09</v>
      </c>
      <c r="D146" s="25">
        <v>78.89</v>
      </c>
      <c r="E146" s="4" t="s">
        <v>8</v>
      </c>
      <c r="F146" s="3">
        <f t="shared" si="6"/>
        <v>0.3</v>
      </c>
      <c r="G146" s="4" t="str">
        <f t="shared" si="7"/>
        <v>Opec Basket</v>
      </c>
      <c r="H146" s="25">
        <f t="shared" si="8"/>
        <v>76.09</v>
      </c>
      <c r="I146" s="25">
        <v>2.1568999999999998</v>
      </c>
    </row>
    <row r="147" spans="1:9">
      <c r="A147" s="15">
        <v>44525</v>
      </c>
      <c r="B147" s="25">
        <v>80.34</v>
      </c>
      <c r="C147" s="25">
        <v>81.31</v>
      </c>
      <c r="D147" s="25">
        <v>81.239999999999995</v>
      </c>
      <c r="E147" s="4" t="s">
        <v>8</v>
      </c>
      <c r="F147" s="3">
        <f t="shared" si="6"/>
        <v>0</v>
      </c>
      <c r="G147" s="4" t="str">
        <f t="shared" si="7"/>
        <v>WTI Crude</v>
      </c>
      <c r="H147" s="25">
        <f t="shared" si="8"/>
        <v>80.34</v>
      </c>
      <c r="I147" s="25">
        <v>2.2427000000000001</v>
      </c>
    </row>
    <row r="148" spans="1:9">
      <c r="A148" s="15">
        <v>44524</v>
      </c>
      <c r="B148" s="25">
        <v>80.03</v>
      </c>
      <c r="C148" s="25">
        <v>81.75</v>
      </c>
      <c r="D148" s="25">
        <v>80.28</v>
      </c>
      <c r="E148" s="4" t="s">
        <v>8</v>
      </c>
      <c r="F148" s="3">
        <f t="shared" si="6"/>
        <v>0</v>
      </c>
      <c r="G148" s="4" t="str">
        <f t="shared" si="7"/>
        <v>WTI Crude</v>
      </c>
      <c r="H148" s="25">
        <f t="shared" si="8"/>
        <v>80.03</v>
      </c>
      <c r="I148" s="25">
        <v>2.2305000000000001</v>
      </c>
    </row>
    <row r="149" spans="1:9">
      <c r="A149" s="15">
        <v>44523</v>
      </c>
      <c r="B149" s="25">
        <v>81</v>
      </c>
      <c r="C149" s="25">
        <v>79.400000000000006</v>
      </c>
      <c r="D149" s="25">
        <v>82.43</v>
      </c>
      <c r="E149" s="4" t="s">
        <v>8</v>
      </c>
      <c r="F149" s="3">
        <f t="shared" si="6"/>
        <v>0.3</v>
      </c>
      <c r="G149" s="4" t="str">
        <f t="shared" si="7"/>
        <v>Opec Basket</v>
      </c>
      <c r="H149" s="25">
        <f t="shared" si="8"/>
        <v>79.400000000000006</v>
      </c>
      <c r="I149" s="25">
        <v>2.2936000000000001</v>
      </c>
    </row>
    <row r="150" spans="1:9">
      <c r="A150" s="15">
        <v>44522</v>
      </c>
      <c r="B150" s="25">
        <v>81.03</v>
      </c>
      <c r="C150" s="25">
        <v>78.900000000000006</v>
      </c>
      <c r="D150" s="25">
        <v>82.05</v>
      </c>
      <c r="E150" s="4" t="s">
        <v>8</v>
      </c>
      <c r="F150" s="3">
        <f t="shared" si="6"/>
        <v>0.3</v>
      </c>
      <c r="G150" s="4" t="str">
        <f t="shared" si="7"/>
        <v>Opec Basket</v>
      </c>
      <c r="H150" s="25">
        <f t="shared" si="8"/>
        <v>78.900000000000006</v>
      </c>
      <c r="I150" s="25">
        <v>2.2761999999999998</v>
      </c>
    </row>
    <row r="151" spans="1:9">
      <c r="A151" s="15">
        <v>44519</v>
      </c>
      <c r="B151" s="25">
        <v>80.989999999999995</v>
      </c>
      <c r="C151" s="25">
        <v>80.319999999999993</v>
      </c>
      <c r="D151" s="25">
        <v>82.17</v>
      </c>
      <c r="E151" s="4" t="s">
        <v>8</v>
      </c>
      <c r="F151" s="3">
        <f t="shared" si="6"/>
        <v>0.3</v>
      </c>
      <c r="G151" s="4" t="str">
        <f t="shared" si="7"/>
        <v>Opec Basket</v>
      </c>
      <c r="H151" s="25">
        <f t="shared" si="8"/>
        <v>80.319999999999993</v>
      </c>
      <c r="I151" s="25">
        <v>2.2685</v>
      </c>
    </row>
    <row r="152" spans="1:9">
      <c r="A152" s="15">
        <v>44518</v>
      </c>
      <c r="B152" s="25">
        <v>81.430000000000007</v>
      </c>
      <c r="C152" s="25">
        <v>79.37</v>
      </c>
      <c r="D152" s="25">
        <v>82.87</v>
      </c>
      <c r="E152" s="4" t="s">
        <v>8</v>
      </c>
      <c r="F152" s="3">
        <f t="shared" si="6"/>
        <v>0.3</v>
      </c>
      <c r="G152" s="4" t="str">
        <f t="shared" si="7"/>
        <v>Opec Basket</v>
      </c>
      <c r="H152" s="25">
        <f t="shared" si="8"/>
        <v>79.37</v>
      </c>
      <c r="I152" s="25">
        <v>2.2806000000000002</v>
      </c>
    </row>
    <row r="153" spans="1:9">
      <c r="A153" s="15">
        <v>44517</v>
      </c>
      <c r="B153" s="25">
        <v>81.239999999999995</v>
      </c>
      <c r="C153" s="25">
        <v>81.099999999999994</v>
      </c>
      <c r="D153" s="25">
        <v>82.64</v>
      </c>
      <c r="E153" s="4" t="s">
        <v>8</v>
      </c>
      <c r="F153" s="3">
        <f t="shared" si="6"/>
        <v>0.3</v>
      </c>
      <c r="G153" s="4" t="str">
        <f t="shared" si="7"/>
        <v>Opec Basket</v>
      </c>
      <c r="H153" s="25">
        <f t="shared" si="8"/>
        <v>81.099999999999994</v>
      </c>
      <c r="I153" s="25">
        <v>2.2646000000000002</v>
      </c>
    </row>
    <row r="154" spans="1:9">
      <c r="A154" s="15">
        <v>44516</v>
      </c>
      <c r="B154" s="25">
        <v>83.03</v>
      </c>
      <c r="C154" s="25">
        <v>82.01</v>
      </c>
      <c r="D154" s="25">
        <v>84.78</v>
      </c>
      <c r="E154" s="4" t="s">
        <v>8</v>
      </c>
      <c r="F154" s="3">
        <f t="shared" si="6"/>
        <v>0.3</v>
      </c>
      <c r="G154" s="4" t="str">
        <f t="shared" si="7"/>
        <v>Opec Basket</v>
      </c>
      <c r="H154" s="25">
        <f t="shared" si="8"/>
        <v>82.01</v>
      </c>
      <c r="I154" s="25">
        <v>2.3752</v>
      </c>
    </row>
    <row r="155" spans="1:9">
      <c r="A155" s="15">
        <v>44515</v>
      </c>
      <c r="B155" s="25">
        <v>81.55</v>
      </c>
      <c r="C155" s="25">
        <v>80.900000000000006</v>
      </c>
      <c r="D155" s="25">
        <v>83.43</v>
      </c>
      <c r="E155" s="4" t="s">
        <v>8</v>
      </c>
      <c r="F155" s="3">
        <f t="shared" si="6"/>
        <v>0.3</v>
      </c>
      <c r="G155" s="4" t="str">
        <f t="shared" si="7"/>
        <v>Opec Basket</v>
      </c>
      <c r="H155" s="25">
        <f t="shared" si="8"/>
        <v>80.900000000000006</v>
      </c>
      <c r="I155" s="25">
        <v>2.3222</v>
      </c>
    </row>
    <row r="156" spans="1:9">
      <c r="A156" s="15">
        <v>44512</v>
      </c>
      <c r="B156" s="25">
        <v>81.069999999999993</v>
      </c>
      <c r="C156" s="25">
        <v>81.7</v>
      </c>
      <c r="D156" s="25">
        <v>82.74</v>
      </c>
      <c r="E156" s="4" t="s">
        <v>8</v>
      </c>
      <c r="F156" s="3">
        <f t="shared" si="6"/>
        <v>0</v>
      </c>
      <c r="G156" s="4" t="str">
        <f t="shared" si="7"/>
        <v>WTI Crude</v>
      </c>
      <c r="H156" s="25">
        <f t="shared" si="8"/>
        <v>81.069999999999993</v>
      </c>
      <c r="I156" s="25">
        <v>2.3209</v>
      </c>
    </row>
    <row r="157" spans="1:9">
      <c r="A157" s="15">
        <v>44511</v>
      </c>
      <c r="B157" s="25">
        <v>79.08</v>
      </c>
      <c r="C157" s="25">
        <v>81.99</v>
      </c>
      <c r="D157" s="25">
        <v>80.540000000000006</v>
      </c>
      <c r="E157" s="4" t="s">
        <v>8</v>
      </c>
      <c r="F157" s="3">
        <f t="shared" si="6"/>
        <v>0</v>
      </c>
      <c r="G157" s="4" t="str">
        <f t="shared" si="7"/>
        <v>WTI Crude</v>
      </c>
      <c r="H157" s="25">
        <f t="shared" si="8"/>
        <v>79.08</v>
      </c>
      <c r="I157" s="25">
        <v>2.2926000000000002</v>
      </c>
    </row>
    <row r="158" spans="1:9">
      <c r="A158" s="15">
        <v>44510</v>
      </c>
      <c r="B158" s="25">
        <v>80.790000000000006</v>
      </c>
      <c r="C158" s="25">
        <v>83.75</v>
      </c>
      <c r="D158" s="25">
        <v>81.99</v>
      </c>
      <c r="E158" s="4" t="s">
        <v>8</v>
      </c>
      <c r="F158" s="3">
        <f t="shared" si="6"/>
        <v>0</v>
      </c>
      <c r="G158" s="4" t="str">
        <f t="shared" si="7"/>
        <v>WTI Crude</v>
      </c>
      <c r="H158" s="25">
        <f t="shared" si="8"/>
        <v>80.790000000000006</v>
      </c>
      <c r="I158" s="25">
        <v>2.3384999999999998</v>
      </c>
    </row>
    <row r="159" spans="1:9">
      <c r="A159" s="15">
        <v>44509</v>
      </c>
      <c r="B159" s="25">
        <v>83.5</v>
      </c>
      <c r="C159" s="25">
        <v>82.7</v>
      </c>
      <c r="D159" s="25">
        <v>84.72</v>
      </c>
      <c r="E159" s="4" t="s">
        <v>8</v>
      </c>
      <c r="F159" s="3">
        <f t="shared" si="6"/>
        <v>0.3</v>
      </c>
      <c r="G159" s="4" t="str">
        <f t="shared" si="7"/>
        <v>Opec Basket</v>
      </c>
      <c r="H159" s="25">
        <f t="shared" si="8"/>
        <v>82.7</v>
      </c>
      <c r="I159" s="41">
        <v>2.4500999999999999</v>
      </c>
    </row>
    <row r="160" spans="1:9">
      <c r="A160" s="15">
        <v>44508</v>
      </c>
      <c r="B160" s="25">
        <v>83.59</v>
      </c>
      <c r="C160" s="25">
        <v>82.39</v>
      </c>
      <c r="D160" s="25">
        <v>84.71</v>
      </c>
      <c r="E160" s="4" t="s">
        <v>8</v>
      </c>
      <c r="F160" s="3">
        <f t="shared" si="6"/>
        <v>0.3</v>
      </c>
      <c r="G160" s="4" t="str">
        <f t="shared" si="7"/>
        <v>Opec Basket</v>
      </c>
      <c r="H160" s="25">
        <f t="shared" si="8"/>
        <v>82.39</v>
      </c>
      <c r="I160" s="25">
        <v>2.4093</v>
      </c>
    </row>
    <row r="161" spans="1:9">
      <c r="A161" s="15">
        <v>44505</v>
      </c>
      <c r="B161" s="25">
        <v>81.22</v>
      </c>
      <c r="C161" s="25">
        <v>80.16</v>
      </c>
      <c r="D161" s="25">
        <v>84.38</v>
      </c>
      <c r="E161" s="4" t="s">
        <v>8</v>
      </c>
      <c r="F161" s="3">
        <f t="shared" si="6"/>
        <v>0.3</v>
      </c>
      <c r="G161" s="4" t="str">
        <f t="shared" si="7"/>
        <v>Opec Basket</v>
      </c>
      <c r="H161" s="25">
        <f t="shared" si="8"/>
        <v>80.16</v>
      </c>
      <c r="I161" s="25">
        <v>2.3696999999999999</v>
      </c>
    </row>
    <row r="162" spans="1:9">
      <c r="A162" s="15">
        <v>44504</v>
      </c>
      <c r="B162" s="25">
        <v>81.19</v>
      </c>
      <c r="C162" s="25">
        <v>81.48</v>
      </c>
      <c r="D162" s="25">
        <v>84.32</v>
      </c>
      <c r="E162" s="4" t="s">
        <v>8</v>
      </c>
      <c r="F162" s="3">
        <f t="shared" si="6"/>
        <v>0</v>
      </c>
      <c r="G162" s="4" t="str">
        <f t="shared" si="7"/>
        <v>WTI Crude</v>
      </c>
      <c r="H162" s="25">
        <f t="shared" si="8"/>
        <v>81.19</v>
      </c>
      <c r="I162" s="25">
        <v>2.3589000000000002</v>
      </c>
    </row>
    <row r="163" spans="1:9">
      <c r="A163" s="15">
        <v>44503</v>
      </c>
      <c r="B163" s="25">
        <v>81.17</v>
      </c>
      <c r="C163" s="25">
        <v>81.64</v>
      </c>
      <c r="D163" s="25">
        <v>84.58</v>
      </c>
      <c r="E163" s="4" t="s">
        <v>8</v>
      </c>
      <c r="F163" s="3">
        <f t="shared" si="6"/>
        <v>0</v>
      </c>
      <c r="G163" s="4" t="str">
        <f t="shared" si="7"/>
        <v>WTI Crude</v>
      </c>
      <c r="H163" s="25">
        <f t="shared" si="8"/>
        <v>81.17</v>
      </c>
      <c r="I163" s="25">
        <v>2.3792</v>
      </c>
    </row>
    <row r="164" spans="1:9">
      <c r="A164" s="15">
        <v>44502</v>
      </c>
      <c r="B164" s="25">
        <v>81.459999999999994</v>
      </c>
      <c r="C164" s="25">
        <v>83.43</v>
      </c>
      <c r="D164" s="25">
        <v>86.4</v>
      </c>
      <c r="E164" s="4" t="s">
        <v>8</v>
      </c>
      <c r="F164" s="3">
        <f t="shared" si="6"/>
        <v>0</v>
      </c>
      <c r="G164" s="4" t="str">
        <f t="shared" si="7"/>
        <v>WTI Crude</v>
      </c>
      <c r="H164" s="25">
        <f t="shared" si="8"/>
        <v>81.459999999999994</v>
      </c>
      <c r="I164" s="25">
        <v>2.4472</v>
      </c>
    </row>
    <row r="165" spans="1:9">
      <c r="A165" s="15">
        <v>44501</v>
      </c>
      <c r="B165" s="25">
        <v>72.17</v>
      </c>
      <c r="C165" s="25">
        <v>82.55</v>
      </c>
      <c r="D165" s="25">
        <v>85.99</v>
      </c>
      <c r="E165" s="4">
        <v>65.25</v>
      </c>
      <c r="F165" s="3">
        <f t="shared" si="6"/>
        <v>1</v>
      </c>
      <c r="G165" s="4" t="str">
        <f t="shared" si="7"/>
        <v>WCS</v>
      </c>
      <c r="H165" s="25">
        <f t="shared" si="8"/>
        <v>65.25</v>
      </c>
      <c r="I165" s="25">
        <v>2.4426999999999999</v>
      </c>
    </row>
    <row r="166" spans="1:9">
      <c r="A166" s="15">
        <v>44498</v>
      </c>
      <c r="B166" s="25">
        <v>81.290000000000006</v>
      </c>
      <c r="C166" s="25">
        <v>82.87</v>
      </c>
      <c r="D166" s="25">
        <v>85.53</v>
      </c>
      <c r="E166" s="4" t="s">
        <v>8</v>
      </c>
      <c r="F166" s="3">
        <f t="shared" si="6"/>
        <v>0</v>
      </c>
      <c r="G166" s="4" t="str">
        <f t="shared" si="7"/>
        <v>WTI Crude</v>
      </c>
      <c r="H166" s="25">
        <f t="shared" si="8"/>
        <v>81.290000000000006</v>
      </c>
      <c r="I166" s="25">
        <v>2.4156</v>
      </c>
    </row>
    <row r="167" spans="1:9">
      <c r="A167" s="15">
        <v>44497</v>
      </c>
      <c r="B167" s="25">
        <v>80.930000000000007</v>
      </c>
      <c r="C167" s="25">
        <v>82.41</v>
      </c>
      <c r="D167" s="25">
        <v>84.61</v>
      </c>
      <c r="E167" s="4" t="s">
        <v>8</v>
      </c>
      <c r="F167" s="3">
        <f t="shared" si="6"/>
        <v>0</v>
      </c>
      <c r="G167" s="4" t="str">
        <f t="shared" si="7"/>
        <v>WTI Crude</v>
      </c>
      <c r="H167" s="25">
        <f t="shared" si="8"/>
        <v>80.930000000000007</v>
      </c>
      <c r="I167" s="25">
        <v>2.419</v>
      </c>
    </row>
    <row r="168" spans="1:9">
      <c r="A168" s="15">
        <v>44496</v>
      </c>
      <c r="B168" s="25">
        <v>81.23</v>
      </c>
      <c r="C168" s="25">
        <v>83.72</v>
      </c>
      <c r="D168" s="25">
        <v>85.82</v>
      </c>
      <c r="E168" s="4" t="s">
        <v>8</v>
      </c>
      <c r="F168" s="3">
        <f t="shared" si="6"/>
        <v>0</v>
      </c>
      <c r="G168" s="4" t="str">
        <f t="shared" si="7"/>
        <v>WTI Crude</v>
      </c>
      <c r="H168" s="25">
        <f t="shared" si="8"/>
        <v>81.23</v>
      </c>
      <c r="I168" s="41">
        <v>2.4468999999999999</v>
      </c>
    </row>
    <row r="169" spans="1:9">
      <c r="A169" s="15">
        <v>44495</v>
      </c>
      <c r="B169" s="25">
        <v>80.86</v>
      </c>
      <c r="C169" s="25">
        <v>84.52</v>
      </c>
      <c r="D169" s="25">
        <v>85.08</v>
      </c>
      <c r="E169" s="4" t="s">
        <v>8</v>
      </c>
      <c r="F169" s="3">
        <f t="shared" si="6"/>
        <v>0</v>
      </c>
      <c r="G169" s="4" t="str">
        <f t="shared" si="7"/>
        <v>WTI Crude</v>
      </c>
      <c r="H169" s="25">
        <f t="shared" si="8"/>
        <v>80.86</v>
      </c>
      <c r="I169" s="25">
        <v>2.4176000000000002</v>
      </c>
    </row>
    <row r="170" spans="1:9">
      <c r="A170" s="15">
        <v>44494</v>
      </c>
      <c r="B170" s="25">
        <v>80.56</v>
      </c>
      <c r="C170" s="25">
        <v>84.66</v>
      </c>
      <c r="D170" s="25">
        <v>84.33</v>
      </c>
      <c r="E170" s="4" t="s">
        <v>8</v>
      </c>
      <c r="F170" s="3">
        <f t="shared" si="6"/>
        <v>0</v>
      </c>
      <c r="G170" s="4" t="str">
        <f t="shared" si="7"/>
        <v>WTI Crude</v>
      </c>
      <c r="H170" s="25">
        <f t="shared" si="8"/>
        <v>80.56</v>
      </c>
      <c r="I170" s="25">
        <v>2.4222999999999999</v>
      </c>
    </row>
    <row r="171" spans="1:9">
      <c r="A171" s="15">
        <v>44491</v>
      </c>
      <c r="B171" s="25">
        <v>80.55</v>
      </c>
      <c r="C171" s="25">
        <v>83.4</v>
      </c>
      <c r="D171" s="25">
        <v>84.86</v>
      </c>
      <c r="E171" s="4" t="s">
        <v>8</v>
      </c>
      <c r="F171" s="3">
        <f t="shared" si="6"/>
        <v>0</v>
      </c>
      <c r="G171" s="4" t="str">
        <f t="shared" si="7"/>
        <v>WTI Crude</v>
      </c>
      <c r="H171" s="25">
        <f t="shared" si="8"/>
        <v>80.55</v>
      </c>
      <c r="I171" s="25">
        <v>2.4251</v>
      </c>
    </row>
    <row r="172" spans="1:9">
      <c r="A172" s="15">
        <v>44490</v>
      </c>
      <c r="B172" s="25">
        <v>80.05</v>
      </c>
      <c r="C172" s="25">
        <v>83.36</v>
      </c>
      <c r="D172" s="25">
        <v>84</v>
      </c>
      <c r="E172" s="4" t="s">
        <v>8</v>
      </c>
      <c r="F172" s="3">
        <f t="shared" si="6"/>
        <v>0</v>
      </c>
      <c r="G172" s="4" t="str">
        <f t="shared" si="7"/>
        <v>WTI Crude</v>
      </c>
      <c r="H172" s="25">
        <f t="shared" si="8"/>
        <v>80.05</v>
      </c>
      <c r="I172" s="25">
        <v>2.3824000000000001</v>
      </c>
    </row>
    <row r="173" spans="1:9">
      <c r="A173" s="15">
        <v>44489</v>
      </c>
      <c r="B173" s="25">
        <v>79.53</v>
      </c>
      <c r="C173" s="25">
        <v>83.3</v>
      </c>
      <c r="D173" s="25">
        <v>83.18</v>
      </c>
      <c r="E173" s="4" t="s">
        <v>8</v>
      </c>
      <c r="F173" s="3">
        <f t="shared" si="6"/>
        <v>0</v>
      </c>
      <c r="G173" s="4" t="str">
        <f t="shared" si="7"/>
        <v>WTI Crude</v>
      </c>
      <c r="H173" s="25">
        <f t="shared" si="8"/>
        <v>79.53</v>
      </c>
      <c r="I173" s="25">
        <v>2.4055</v>
      </c>
    </row>
    <row r="174" spans="1:9">
      <c r="A174" s="15">
        <v>44488</v>
      </c>
      <c r="B174" s="25">
        <v>79.62</v>
      </c>
      <c r="C174" s="25">
        <v>83.48</v>
      </c>
      <c r="D174" s="25">
        <v>83.42</v>
      </c>
      <c r="E174" s="4" t="s">
        <v>8</v>
      </c>
      <c r="F174" s="3">
        <f t="shared" si="6"/>
        <v>0</v>
      </c>
      <c r="G174" s="4" t="str">
        <f t="shared" si="7"/>
        <v>WTI Crude</v>
      </c>
      <c r="H174" s="25">
        <f t="shared" si="8"/>
        <v>79.62</v>
      </c>
      <c r="I174" s="25">
        <v>2.3828999999999998</v>
      </c>
    </row>
    <row r="175" spans="1:9">
      <c r="A175" s="15">
        <v>44487</v>
      </c>
      <c r="B175" s="25">
        <v>79.58</v>
      </c>
      <c r="C175" s="25">
        <v>84.04</v>
      </c>
      <c r="D175" s="25">
        <v>83.65</v>
      </c>
      <c r="E175" s="4" t="s">
        <v>8</v>
      </c>
      <c r="F175" s="3">
        <f t="shared" si="6"/>
        <v>0</v>
      </c>
      <c r="G175" s="4" t="str">
        <f t="shared" si="7"/>
        <v>WTI Crude</v>
      </c>
      <c r="H175" s="25">
        <f t="shared" si="8"/>
        <v>79.58</v>
      </c>
      <c r="I175" s="25">
        <v>2.3778999999999999</v>
      </c>
    </row>
    <row r="176" spans="1:9">
      <c r="A176" s="15">
        <v>44484</v>
      </c>
      <c r="B176" s="25">
        <v>78.739999999999995</v>
      </c>
      <c r="C176" s="25">
        <v>83.54</v>
      </c>
      <c r="D176" s="25">
        <v>82.39</v>
      </c>
      <c r="E176" s="4" t="s">
        <v>8</v>
      </c>
      <c r="F176" s="3">
        <f t="shared" si="6"/>
        <v>0</v>
      </c>
      <c r="G176" s="4" t="str">
        <f t="shared" si="7"/>
        <v>WTI Crude</v>
      </c>
      <c r="H176" s="25">
        <f t="shared" si="8"/>
        <v>78.739999999999995</v>
      </c>
      <c r="I176" s="25">
        <v>2.3662000000000001</v>
      </c>
    </row>
    <row r="177" spans="1:9">
      <c r="A177" s="15">
        <v>44483</v>
      </c>
      <c r="B177" s="25">
        <v>78.03</v>
      </c>
      <c r="C177" s="25">
        <v>82.5</v>
      </c>
      <c r="D177" s="25">
        <v>81.95</v>
      </c>
      <c r="E177" s="4" t="s">
        <v>8</v>
      </c>
      <c r="F177" s="3">
        <f t="shared" si="6"/>
        <v>0</v>
      </c>
      <c r="G177" s="4" t="str">
        <f t="shared" si="7"/>
        <v>WTI Crude</v>
      </c>
      <c r="H177" s="25">
        <f t="shared" si="8"/>
        <v>78.03</v>
      </c>
      <c r="I177" s="25">
        <v>2.3344</v>
      </c>
    </row>
    <row r="178" spans="1:9">
      <c r="A178" s="15">
        <v>44482</v>
      </c>
      <c r="B178" s="25">
        <v>77.31</v>
      </c>
      <c r="C178" s="25">
        <v>81.790000000000006</v>
      </c>
      <c r="D178" s="25">
        <v>81.08</v>
      </c>
      <c r="E178" s="4" t="s">
        <v>8</v>
      </c>
      <c r="F178" s="3">
        <f t="shared" si="6"/>
        <v>0</v>
      </c>
      <c r="G178" s="4" t="str">
        <f t="shared" si="7"/>
        <v>WTI Crude</v>
      </c>
      <c r="H178" s="25">
        <f t="shared" si="8"/>
        <v>77.31</v>
      </c>
      <c r="I178" s="25">
        <v>2.3081999999999998</v>
      </c>
    </row>
    <row r="179" spans="1:9">
      <c r="A179" s="15">
        <v>44481</v>
      </c>
      <c r="B179" s="25">
        <v>78.599999999999994</v>
      </c>
      <c r="C179" s="25">
        <v>82.37</v>
      </c>
      <c r="D179" s="25">
        <v>82.56</v>
      </c>
      <c r="E179" s="4" t="s">
        <v>8</v>
      </c>
      <c r="F179" s="3">
        <f t="shared" si="6"/>
        <v>0</v>
      </c>
      <c r="G179" s="4" t="str">
        <f t="shared" si="7"/>
        <v>WTI Crude</v>
      </c>
      <c r="H179" s="25">
        <f t="shared" si="8"/>
        <v>78.599999999999994</v>
      </c>
      <c r="I179" s="25">
        <v>2.3578999999999999</v>
      </c>
    </row>
    <row r="180" spans="1:9">
      <c r="A180" s="15">
        <v>44480</v>
      </c>
      <c r="B180" s="25">
        <v>77.44</v>
      </c>
      <c r="C180" s="25">
        <v>82.53</v>
      </c>
      <c r="D180" s="25">
        <v>81.260000000000005</v>
      </c>
      <c r="E180" s="4" t="s">
        <v>8</v>
      </c>
      <c r="F180" s="3">
        <f t="shared" si="6"/>
        <v>0</v>
      </c>
      <c r="G180" s="4" t="str">
        <f t="shared" si="7"/>
        <v>WTI Crude</v>
      </c>
      <c r="H180" s="25">
        <f t="shared" si="8"/>
        <v>77.44</v>
      </c>
      <c r="I180" s="25">
        <v>2.3085</v>
      </c>
    </row>
    <row r="181" spans="1:9">
      <c r="A181" s="15">
        <v>44477</v>
      </c>
      <c r="B181" s="25">
        <v>75.78</v>
      </c>
      <c r="C181" s="25">
        <v>81.540000000000006</v>
      </c>
      <c r="D181" s="25">
        <v>79.28</v>
      </c>
      <c r="E181" s="4" t="s">
        <v>8</v>
      </c>
      <c r="F181" s="3">
        <f t="shared" si="6"/>
        <v>0</v>
      </c>
      <c r="G181" s="4" t="str">
        <f t="shared" si="7"/>
        <v>WTI Crude</v>
      </c>
      <c r="H181" s="25">
        <f t="shared" si="8"/>
        <v>75.78</v>
      </c>
      <c r="I181" s="25">
        <v>2.25</v>
      </c>
    </row>
    <row r="182" spans="1:9">
      <c r="A182" s="15">
        <v>44476</v>
      </c>
      <c r="B182" s="25">
        <v>71.13</v>
      </c>
      <c r="C182" s="25">
        <v>78.58</v>
      </c>
      <c r="D182" s="25">
        <v>78.52</v>
      </c>
      <c r="E182" s="4" t="s">
        <v>8</v>
      </c>
      <c r="F182" s="3">
        <f t="shared" si="6"/>
        <v>0</v>
      </c>
      <c r="G182" s="4" t="str">
        <f t="shared" si="7"/>
        <v>WTI Crude</v>
      </c>
      <c r="H182" s="25">
        <f t="shared" si="8"/>
        <v>71.13</v>
      </c>
      <c r="I182" s="25">
        <v>2.194</v>
      </c>
    </row>
    <row r="183" spans="1:9">
      <c r="A183" s="15">
        <v>44475</v>
      </c>
      <c r="B183" s="25">
        <v>71.540000000000006</v>
      </c>
      <c r="C183" s="25">
        <v>80.63</v>
      </c>
      <c r="D183" s="25">
        <v>78.64</v>
      </c>
      <c r="E183" s="4" t="s">
        <v>8</v>
      </c>
      <c r="F183" s="3">
        <f t="shared" si="6"/>
        <v>0</v>
      </c>
      <c r="G183" s="4" t="str">
        <f t="shared" si="7"/>
        <v>WTI Crude</v>
      </c>
      <c r="H183" s="25">
        <f t="shared" si="8"/>
        <v>71.540000000000006</v>
      </c>
      <c r="I183" s="25">
        <v>2.1749999999999998</v>
      </c>
    </row>
    <row r="184" spans="1:9">
      <c r="A184" s="15">
        <v>44474</v>
      </c>
      <c r="B184" s="25">
        <v>71.58</v>
      </c>
      <c r="C184" s="25">
        <v>80.44</v>
      </c>
      <c r="D184" s="25">
        <v>79.09</v>
      </c>
      <c r="E184" s="4" t="s">
        <v>8</v>
      </c>
      <c r="F184" s="3">
        <f t="shared" si="6"/>
        <v>0</v>
      </c>
      <c r="G184" s="4" t="str">
        <f t="shared" si="7"/>
        <v>WTI Crude</v>
      </c>
      <c r="H184" s="25">
        <f t="shared" si="8"/>
        <v>71.58</v>
      </c>
      <c r="I184" s="25">
        <v>2.1475</v>
      </c>
    </row>
    <row r="185" spans="1:9">
      <c r="A185" s="15">
        <v>44473</v>
      </c>
      <c r="B185" s="25">
        <v>71.599999999999994</v>
      </c>
      <c r="C185" s="25">
        <v>78.260000000000005</v>
      </c>
      <c r="D185" s="25">
        <v>79.53</v>
      </c>
      <c r="E185" s="4" t="s">
        <v>8</v>
      </c>
      <c r="F185" s="3">
        <f t="shared" si="6"/>
        <v>0</v>
      </c>
      <c r="G185" s="4" t="str">
        <f t="shared" si="7"/>
        <v>WTI Crude</v>
      </c>
      <c r="H185" s="25">
        <f t="shared" si="8"/>
        <v>71.599999999999994</v>
      </c>
      <c r="I185" s="25">
        <v>2.17</v>
      </c>
    </row>
    <row r="186" spans="1:9">
      <c r="A186" s="15">
        <v>44470</v>
      </c>
      <c r="B186" s="25">
        <v>71.319999999999993</v>
      </c>
      <c r="C186" s="25">
        <v>76.36</v>
      </c>
      <c r="D186" s="25">
        <v>78.09</v>
      </c>
      <c r="E186" s="4">
        <v>69.3</v>
      </c>
      <c r="F186" s="3">
        <f t="shared" si="6"/>
        <v>1</v>
      </c>
      <c r="G186" s="4" t="str">
        <f t="shared" si="7"/>
        <v>WCS</v>
      </c>
      <c r="H186" s="25">
        <f t="shared" si="8"/>
        <v>69.3</v>
      </c>
      <c r="I186" s="25">
        <v>2.1377000000000002</v>
      </c>
    </row>
    <row r="187" spans="1:9">
      <c r="A187" s="15">
        <v>44469</v>
      </c>
      <c r="B187" s="25">
        <v>71.16</v>
      </c>
      <c r="C187" s="25">
        <v>77.72</v>
      </c>
      <c r="D187" s="25">
        <v>77.25</v>
      </c>
      <c r="E187" s="4" t="s">
        <v>8</v>
      </c>
      <c r="F187" s="3">
        <f t="shared" si="6"/>
        <v>0</v>
      </c>
      <c r="G187" s="4" t="str">
        <f t="shared" si="7"/>
        <v>WTI Crude</v>
      </c>
      <c r="H187" s="25">
        <f t="shared" si="8"/>
        <v>71.16</v>
      </c>
      <c r="I187" s="25">
        <v>2.1261000000000001</v>
      </c>
    </row>
    <row r="188" spans="1:9">
      <c r="A188" s="15">
        <v>44468</v>
      </c>
      <c r="B188" s="25">
        <v>70.849999999999994</v>
      </c>
      <c r="C188" s="25">
        <v>77.13</v>
      </c>
      <c r="D188" s="25">
        <v>76.19</v>
      </c>
      <c r="E188" s="4" t="s">
        <v>8</v>
      </c>
      <c r="F188" s="3">
        <f t="shared" si="6"/>
        <v>0</v>
      </c>
      <c r="G188" s="4" t="str">
        <f t="shared" si="7"/>
        <v>WTI Crude</v>
      </c>
      <c r="H188" s="25">
        <f t="shared" si="8"/>
        <v>70.849999999999994</v>
      </c>
      <c r="I188" s="25">
        <v>2.0836999999999999</v>
      </c>
    </row>
    <row r="189" spans="1:9">
      <c r="A189" s="15">
        <v>44467</v>
      </c>
      <c r="B189" s="25">
        <v>70.27</v>
      </c>
      <c r="C189" s="25">
        <v>78.37</v>
      </c>
      <c r="D189" s="25">
        <v>74.36</v>
      </c>
      <c r="E189" s="4" t="s">
        <v>8</v>
      </c>
      <c r="F189" s="3">
        <f t="shared" si="6"/>
        <v>0</v>
      </c>
      <c r="G189" s="4" t="str">
        <f t="shared" si="7"/>
        <v>WTI Crude</v>
      </c>
      <c r="H189" s="25">
        <f t="shared" si="8"/>
        <v>70.27</v>
      </c>
      <c r="I189" s="25">
        <v>2.0598000000000001</v>
      </c>
    </row>
    <row r="190" spans="1:9">
      <c r="A190" s="15">
        <v>44466</v>
      </c>
      <c r="B190" s="25">
        <v>70.14</v>
      </c>
      <c r="C190" s="25">
        <v>77.73</v>
      </c>
      <c r="D190" s="25">
        <v>73.92</v>
      </c>
      <c r="E190" s="4" t="s">
        <v>8</v>
      </c>
      <c r="F190" s="3">
        <f t="shared" si="6"/>
        <v>0</v>
      </c>
      <c r="G190" s="4" t="str">
        <f t="shared" si="7"/>
        <v>WTI Crude</v>
      </c>
      <c r="H190" s="25">
        <f t="shared" si="8"/>
        <v>70.14</v>
      </c>
      <c r="I190" s="25">
        <v>2.0602999999999998</v>
      </c>
    </row>
    <row r="191" spans="1:9">
      <c r="A191" s="15">
        <v>44463</v>
      </c>
      <c r="B191" s="25">
        <v>70.86</v>
      </c>
      <c r="C191" s="25">
        <v>76.209999999999994</v>
      </c>
      <c r="D191" s="25">
        <v>75.34</v>
      </c>
      <c r="E191" s="4" t="s">
        <v>8</v>
      </c>
      <c r="F191" s="3">
        <f t="shared" si="6"/>
        <v>0</v>
      </c>
      <c r="G191" s="4" t="str">
        <f t="shared" si="7"/>
        <v>WTI Crude</v>
      </c>
      <c r="H191" s="25">
        <f t="shared" si="8"/>
        <v>70.86</v>
      </c>
      <c r="I191" s="25">
        <v>2.1156999999999999</v>
      </c>
    </row>
    <row r="192" spans="1:9">
      <c r="A192" s="15">
        <v>44462</v>
      </c>
      <c r="B192" s="25">
        <v>71.14</v>
      </c>
      <c r="C192" s="25">
        <v>75.44</v>
      </c>
      <c r="D192" s="25">
        <v>75.67</v>
      </c>
      <c r="E192" s="4" t="s">
        <v>8</v>
      </c>
      <c r="F192" s="3">
        <f t="shared" si="6"/>
        <v>0</v>
      </c>
      <c r="G192" s="4" t="str">
        <f t="shared" si="7"/>
        <v>WTI Crude</v>
      </c>
      <c r="H192" s="25">
        <f t="shared" si="8"/>
        <v>71.14</v>
      </c>
      <c r="I192" s="25">
        <v>2.1269</v>
      </c>
    </row>
    <row r="193" spans="1:9">
      <c r="A193" s="15">
        <v>44461</v>
      </c>
      <c r="B193" s="25">
        <v>71.13</v>
      </c>
      <c r="C193" s="25">
        <v>74.459999999999994</v>
      </c>
      <c r="D193" s="25">
        <v>75.459999999999994</v>
      </c>
      <c r="E193" s="4" t="s">
        <v>8</v>
      </c>
      <c r="F193" s="3">
        <f t="shared" si="6"/>
        <v>0</v>
      </c>
      <c r="G193" s="4" t="str">
        <f t="shared" si="7"/>
        <v>WTI Crude</v>
      </c>
      <c r="H193" s="25">
        <f t="shared" si="8"/>
        <v>71.13</v>
      </c>
      <c r="I193" s="25">
        <v>2.1438000000000001</v>
      </c>
    </row>
    <row r="194" spans="1:9">
      <c r="A194" s="15">
        <v>44460</v>
      </c>
      <c r="B194" s="25">
        <v>69.91</v>
      </c>
      <c r="C194" s="25">
        <v>73.680000000000007</v>
      </c>
      <c r="D194" s="25">
        <v>73.599999999999994</v>
      </c>
      <c r="E194" s="4" t="s">
        <v>8</v>
      </c>
      <c r="F194" s="3">
        <f t="shared" ref="F194:F257" si="9">IF(MIN(B194:E194)=B194,0,IF(MIN(B194:E194)=C194,0.3,IF(MIN(B194:E194)=D194,0.75,IF(MIN(B194:E194)=E194,1,))))</f>
        <v>0</v>
      </c>
      <c r="G194" s="4" t="str">
        <f t="shared" ref="G194:G257" si="10">IF(MIN(B194:E194)=B194,$B$1,IF(MIN(B194:E194)=C194,$C$1,IF(MIN(B194:E194)=D194,$D$1,IF(MIN(B194:E194)=E194,$E$1,))))</f>
        <v>WTI Crude</v>
      </c>
      <c r="H194" s="25">
        <f t="shared" ref="H194:H257" si="11">IF(MIN(B194:E194)=B194,B194,IF(MIN(B194:E194)=C194,C194,IF(MIN(B194:E194)=D194,D194,IF(MIN(B194:E194)=E194,E194,))))</f>
        <v>69.91</v>
      </c>
      <c r="I194" s="25">
        <v>2.1118999999999999</v>
      </c>
    </row>
    <row r="195" spans="1:9">
      <c r="A195" s="15">
        <v>44459</v>
      </c>
      <c r="B195" s="25">
        <v>69.900000000000006</v>
      </c>
      <c r="C195" s="25">
        <v>73.47</v>
      </c>
      <c r="D195" s="25">
        <v>73.510000000000005</v>
      </c>
      <c r="E195" s="4" t="s">
        <v>8</v>
      </c>
      <c r="F195" s="3">
        <f t="shared" si="9"/>
        <v>0</v>
      </c>
      <c r="G195" s="4" t="str">
        <f t="shared" si="10"/>
        <v>WTI Crude</v>
      </c>
      <c r="H195" s="25">
        <f t="shared" si="11"/>
        <v>69.900000000000006</v>
      </c>
      <c r="I195" s="25">
        <v>2.1608999999999998</v>
      </c>
    </row>
    <row r="196" spans="1:9">
      <c r="A196" s="15">
        <v>44456</v>
      </c>
      <c r="B196" s="25">
        <v>69.41</v>
      </c>
      <c r="C196" s="25">
        <v>74.14</v>
      </c>
      <c r="D196" s="25">
        <v>72.92</v>
      </c>
      <c r="E196" s="4" t="s">
        <v>8</v>
      </c>
      <c r="F196" s="3">
        <f t="shared" si="9"/>
        <v>0</v>
      </c>
      <c r="G196" s="4" t="str">
        <f t="shared" si="10"/>
        <v>WTI Crude</v>
      </c>
      <c r="H196" s="25">
        <f t="shared" si="11"/>
        <v>69.41</v>
      </c>
      <c r="I196" s="25">
        <v>2.1539999999999999</v>
      </c>
    </row>
    <row r="197" spans="1:9">
      <c r="A197" s="15">
        <v>44455</v>
      </c>
      <c r="B197" s="25">
        <v>68.3</v>
      </c>
      <c r="C197" s="25">
        <v>74.17</v>
      </c>
      <c r="D197" s="25">
        <v>71.45</v>
      </c>
      <c r="E197" s="4" t="s">
        <v>8</v>
      </c>
      <c r="F197" s="3">
        <f t="shared" si="9"/>
        <v>0</v>
      </c>
      <c r="G197" s="4" t="str">
        <f t="shared" si="10"/>
        <v>WTI Crude</v>
      </c>
      <c r="H197" s="25">
        <f t="shared" si="11"/>
        <v>68.3</v>
      </c>
      <c r="I197" s="25">
        <v>2.0996999999999999</v>
      </c>
    </row>
    <row r="198" spans="1:9">
      <c r="A198" s="15">
        <v>44454</v>
      </c>
      <c r="B198" s="25">
        <v>69.17</v>
      </c>
      <c r="C198" s="25">
        <v>73.78</v>
      </c>
      <c r="D198" s="25">
        <v>72.599999999999994</v>
      </c>
      <c r="E198" s="4" t="s">
        <v>8</v>
      </c>
      <c r="F198" s="3">
        <f t="shared" si="9"/>
        <v>0</v>
      </c>
      <c r="G198" s="4" t="str">
        <f t="shared" si="10"/>
        <v>WTI Crude</v>
      </c>
      <c r="H198" s="25">
        <f t="shared" si="11"/>
        <v>69.17</v>
      </c>
      <c r="I198" s="25">
        <v>2.1320999999999999</v>
      </c>
    </row>
    <row r="199" spans="1:9">
      <c r="A199" s="15">
        <v>44453</v>
      </c>
      <c r="B199" s="25">
        <v>68.41</v>
      </c>
      <c r="C199" s="25">
        <v>73.290000000000006</v>
      </c>
      <c r="D199" s="25">
        <v>71.69</v>
      </c>
      <c r="E199" s="4" t="s">
        <v>8</v>
      </c>
      <c r="F199" s="3">
        <f t="shared" si="9"/>
        <v>0</v>
      </c>
      <c r="G199" s="4" t="str">
        <f t="shared" si="10"/>
        <v>WTI Crude</v>
      </c>
      <c r="H199" s="25">
        <f t="shared" si="11"/>
        <v>68.41</v>
      </c>
      <c r="I199" s="25">
        <v>2.13</v>
      </c>
    </row>
    <row r="200" spans="1:9">
      <c r="A200" s="15">
        <v>44452</v>
      </c>
      <c r="B200" s="25">
        <v>69.22</v>
      </c>
      <c r="C200" s="25">
        <v>72.77</v>
      </c>
      <c r="D200" s="25">
        <v>72.61</v>
      </c>
      <c r="E200" s="4" t="s">
        <v>8</v>
      </c>
      <c r="F200" s="3">
        <f t="shared" si="9"/>
        <v>0</v>
      </c>
      <c r="G200" s="4" t="str">
        <f t="shared" si="10"/>
        <v>WTI Crude</v>
      </c>
      <c r="H200" s="25">
        <f t="shared" si="11"/>
        <v>69.22</v>
      </c>
      <c r="I200" s="25">
        <v>2.1539999999999999</v>
      </c>
    </row>
    <row r="201" spans="1:9">
      <c r="A201" s="15">
        <v>44449</v>
      </c>
      <c r="B201" s="25">
        <v>69.84</v>
      </c>
      <c r="C201" s="25">
        <v>71.98</v>
      </c>
      <c r="D201" s="25">
        <v>73.03</v>
      </c>
      <c r="E201" s="4" t="s">
        <v>8</v>
      </c>
      <c r="F201" s="3">
        <f t="shared" si="9"/>
        <v>0</v>
      </c>
      <c r="G201" s="4" t="str">
        <f t="shared" si="10"/>
        <v>WTI Crude</v>
      </c>
      <c r="H201" s="25">
        <f t="shared" si="11"/>
        <v>69.84</v>
      </c>
      <c r="I201" s="25">
        <v>2.1635</v>
      </c>
    </row>
    <row r="202" spans="1:9">
      <c r="A202" s="15">
        <v>44448</v>
      </c>
      <c r="B202" s="25">
        <v>68.5</v>
      </c>
      <c r="C202" s="25">
        <v>71.819999999999993</v>
      </c>
      <c r="D202" s="25">
        <v>71.59</v>
      </c>
      <c r="E202" s="4" t="s">
        <v>8</v>
      </c>
      <c r="F202" s="3">
        <f t="shared" si="9"/>
        <v>0</v>
      </c>
      <c r="G202" s="4" t="str">
        <f t="shared" si="10"/>
        <v>WTI Crude</v>
      </c>
      <c r="H202" s="25">
        <f t="shared" si="11"/>
        <v>68.5</v>
      </c>
      <c r="I202" s="25">
        <v>2.1109</v>
      </c>
    </row>
    <row r="203" spans="1:9">
      <c r="A203" s="15">
        <v>44447</v>
      </c>
      <c r="B203" s="25">
        <v>67.709999999999994</v>
      </c>
      <c r="C203" s="25">
        <v>71.17</v>
      </c>
      <c r="D203" s="25">
        <v>72.989999999999995</v>
      </c>
      <c r="E203" s="4" t="s">
        <v>8</v>
      </c>
      <c r="F203" s="3">
        <f t="shared" si="9"/>
        <v>0</v>
      </c>
      <c r="G203" s="4" t="str">
        <f t="shared" si="10"/>
        <v>WTI Crude</v>
      </c>
      <c r="H203" s="25">
        <f t="shared" si="11"/>
        <v>67.709999999999994</v>
      </c>
      <c r="I203" s="25">
        <v>2.1419000000000001</v>
      </c>
    </row>
    <row r="204" spans="1:9">
      <c r="A204" s="15">
        <v>44446</v>
      </c>
      <c r="B204" s="25">
        <v>67.739999999999995</v>
      </c>
      <c r="C204" s="25">
        <v>71.34</v>
      </c>
      <c r="D204" s="25">
        <v>73.41</v>
      </c>
      <c r="E204" s="4" t="s">
        <v>8</v>
      </c>
      <c r="F204" s="3">
        <f t="shared" si="9"/>
        <v>0</v>
      </c>
      <c r="G204" s="4" t="str">
        <f t="shared" si="10"/>
        <v>WTI Crude</v>
      </c>
      <c r="H204" s="25">
        <f t="shared" si="11"/>
        <v>67.739999999999995</v>
      </c>
      <c r="I204" s="25">
        <v>2.1537999999999999</v>
      </c>
    </row>
    <row r="205" spans="1:9">
      <c r="A205" s="15">
        <v>44445</v>
      </c>
      <c r="B205" s="25">
        <v>67.7</v>
      </c>
      <c r="C205" s="25">
        <v>71.290000000000006</v>
      </c>
      <c r="D205" s="25">
        <v>72.7</v>
      </c>
      <c r="E205" s="4" t="s">
        <v>8</v>
      </c>
      <c r="F205" s="3">
        <f t="shared" si="9"/>
        <v>0</v>
      </c>
      <c r="G205" s="4" t="str">
        <f t="shared" si="10"/>
        <v>WTI Crude</v>
      </c>
      <c r="H205" s="25">
        <f t="shared" si="11"/>
        <v>67.7</v>
      </c>
      <c r="I205" s="25">
        <v>2.1196000000000002</v>
      </c>
    </row>
    <row r="206" spans="1:9">
      <c r="A206" s="15">
        <v>44442</v>
      </c>
      <c r="B206" s="25">
        <v>67.52</v>
      </c>
      <c r="C206" s="25">
        <v>72.56</v>
      </c>
      <c r="D206" s="25">
        <v>71.069999999999993</v>
      </c>
      <c r="E206" s="4" t="s">
        <v>8</v>
      </c>
      <c r="F206" s="3">
        <f t="shared" si="9"/>
        <v>0</v>
      </c>
      <c r="G206" s="4" t="str">
        <f t="shared" si="10"/>
        <v>WTI Crude</v>
      </c>
      <c r="H206" s="25">
        <f t="shared" si="11"/>
        <v>67.52</v>
      </c>
      <c r="I206" s="25">
        <v>2.0922999999999998</v>
      </c>
    </row>
    <row r="207" spans="1:9">
      <c r="A207" s="15">
        <v>44441</v>
      </c>
      <c r="B207" s="25">
        <v>67.69</v>
      </c>
      <c r="C207" s="25">
        <v>71.63</v>
      </c>
      <c r="D207" s="25">
        <v>72.25</v>
      </c>
      <c r="E207" s="4" t="s">
        <v>8</v>
      </c>
      <c r="F207" s="3">
        <f t="shared" si="9"/>
        <v>0</v>
      </c>
      <c r="G207" s="4" t="str">
        <f t="shared" si="10"/>
        <v>WTI Crude</v>
      </c>
      <c r="H207" s="25">
        <f t="shared" si="11"/>
        <v>67.69</v>
      </c>
      <c r="I207" s="25">
        <v>2.145</v>
      </c>
    </row>
    <row r="208" spans="1:9">
      <c r="A208" s="15">
        <v>44440</v>
      </c>
      <c r="B208" s="25">
        <v>67.510000000000005</v>
      </c>
      <c r="C208" s="25">
        <v>71.25</v>
      </c>
      <c r="D208" s="25">
        <v>71.05</v>
      </c>
      <c r="E208" s="4">
        <v>58.02</v>
      </c>
      <c r="F208" s="3">
        <f t="shared" si="9"/>
        <v>1</v>
      </c>
      <c r="G208" s="4" t="str">
        <f t="shared" si="10"/>
        <v>WCS</v>
      </c>
      <c r="H208" s="25">
        <f t="shared" si="11"/>
        <v>58.02</v>
      </c>
      <c r="I208" s="25">
        <v>2.0575999999999999</v>
      </c>
    </row>
    <row r="209" spans="1:9">
      <c r="A209" s="15">
        <v>44439</v>
      </c>
      <c r="B209" s="25">
        <v>66.989999999999995</v>
      </c>
      <c r="C209" s="25">
        <v>71.430000000000007</v>
      </c>
      <c r="D209" s="25">
        <v>68.75</v>
      </c>
      <c r="E209" s="4" t="s">
        <v>8</v>
      </c>
      <c r="F209" s="3">
        <f t="shared" si="9"/>
        <v>0</v>
      </c>
      <c r="G209" s="4" t="str">
        <f t="shared" si="10"/>
        <v>WTI Crude</v>
      </c>
      <c r="H209" s="25">
        <f t="shared" si="11"/>
        <v>66.989999999999995</v>
      </c>
      <c r="I209" s="25">
        <v>1.9865999999999999</v>
      </c>
    </row>
    <row r="210" spans="1:9">
      <c r="A210" s="15">
        <v>44438</v>
      </c>
      <c r="B210" s="25">
        <v>65.87</v>
      </c>
      <c r="C210" s="25">
        <v>71.88</v>
      </c>
      <c r="D210" s="25">
        <v>65.180000000000007</v>
      </c>
      <c r="E210" s="4" t="s">
        <v>8</v>
      </c>
      <c r="F210" s="3">
        <f t="shared" si="9"/>
        <v>0.75</v>
      </c>
      <c r="G210" s="4" t="str">
        <f t="shared" si="10"/>
        <v>Brent Crude</v>
      </c>
      <c r="H210" s="25">
        <f t="shared" si="11"/>
        <v>65.180000000000007</v>
      </c>
      <c r="I210" s="25">
        <v>1.8902000000000001</v>
      </c>
    </row>
    <row r="211" spans="1:9">
      <c r="A211" s="15">
        <v>44435</v>
      </c>
      <c r="B211" s="25">
        <v>66.37</v>
      </c>
      <c r="C211" s="25">
        <v>71.48</v>
      </c>
      <c r="D211" s="25">
        <v>66.45</v>
      </c>
      <c r="E211" s="4" t="s">
        <v>8</v>
      </c>
      <c r="F211" s="3">
        <f t="shared" si="9"/>
        <v>0</v>
      </c>
      <c r="G211" s="4" t="str">
        <f t="shared" si="10"/>
        <v>WTI Crude</v>
      </c>
      <c r="H211" s="25">
        <f t="shared" si="11"/>
        <v>66.37</v>
      </c>
      <c r="I211" s="25">
        <v>1.9524999999999999</v>
      </c>
    </row>
    <row r="212" spans="1:9">
      <c r="A212" s="15">
        <v>44434</v>
      </c>
      <c r="B212" s="25">
        <v>67.069999999999993</v>
      </c>
      <c r="C212" s="25">
        <v>70.75</v>
      </c>
      <c r="D212" s="25">
        <v>68.23</v>
      </c>
      <c r="E212" s="4" t="s">
        <v>8</v>
      </c>
      <c r="F212" s="3">
        <f t="shared" si="9"/>
        <v>0</v>
      </c>
      <c r="G212" s="4" t="str">
        <f t="shared" si="10"/>
        <v>WTI Crude</v>
      </c>
      <c r="H212" s="25">
        <f t="shared" si="11"/>
        <v>67.069999999999993</v>
      </c>
      <c r="I212" s="25">
        <v>2.0162</v>
      </c>
    </row>
    <row r="213" spans="1:9">
      <c r="A213" s="15">
        <v>44433</v>
      </c>
      <c r="B213" s="25">
        <v>67.59</v>
      </c>
      <c r="C213" s="25">
        <v>70.59</v>
      </c>
      <c r="D213" s="25">
        <v>69.03</v>
      </c>
      <c r="E213" s="4" t="s">
        <v>8</v>
      </c>
      <c r="F213" s="3">
        <f t="shared" si="9"/>
        <v>0</v>
      </c>
      <c r="G213" s="4" t="str">
        <f t="shared" si="10"/>
        <v>WTI Crude</v>
      </c>
      <c r="H213" s="25">
        <f t="shared" si="11"/>
        <v>67.59</v>
      </c>
      <c r="I213" s="25">
        <v>2.0396999999999998</v>
      </c>
    </row>
    <row r="214" spans="1:9">
      <c r="A214" s="15">
        <v>44432</v>
      </c>
      <c r="B214" s="25">
        <v>67.94</v>
      </c>
      <c r="C214" s="25">
        <v>69.709999999999994</v>
      </c>
      <c r="D214" s="25">
        <v>69.510000000000005</v>
      </c>
      <c r="E214" s="4" t="s">
        <v>8</v>
      </c>
      <c r="F214" s="3">
        <f t="shared" si="9"/>
        <v>0</v>
      </c>
      <c r="G214" s="4" t="str">
        <f t="shared" si="10"/>
        <v>WTI Crude</v>
      </c>
      <c r="H214" s="25">
        <f t="shared" si="11"/>
        <v>67.94</v>
      </c>
      <c r="I214" s="25">
        <v>2.0668000000000002</v>
      </c>
    </row>
    <row r="215" spans="1:9">
      <c r="A215" s="15">
        <v>44431</v>
      </c>
      <c r="B215" s="25">
        <v>68.569999999999993</v>
      </c>
      <c r="C215" s="25">
        <v>67.33</v>
      </c>
      <c r="D215" s="25">
        <v>70.59</v>
      </c>
      <c r="E215" s="4" t="s">
        <v>8</v>
      </c>
      <c r="F215" s="3">
        <f t="shared" si="9"/>
        <v>0.3</v>
      </c>
      <c r="G215" s="4" t="str">
        <f t="shared" si="10"/>
        <v>Opec Basket</v>
      </c>
      <c r="H215" s="25">
        <f t="shared" si="11"/>
        <v>67.33</v>
      </c>
      <c r="I215" s="25">
        <v>2.1128999999999998</v>
      </c>
    </row>
    <row r="216" spans="1:9">
      <c r="A216" s="15">
        <v>44428</v>
      </c>
      <c r="B216" s="25">
        <v>68.97</v>
      </c>
      <c r="C216" s="25">
        <v>66.13</v>
      </c>
      <c r="D216" s="25">
        <v>71.31</v>
      </c>
      <c r="E216" s="4" t="s">
        <v>8</v>
      </c>
      <c r="F216" s="3">
        <f t="shared" si="9"/>
        <v>0.3</v>
      </c>
      <c r="G216" s="4" t="str">
        <f t="shared" si="10"/>
        <v>Opec Basket</v>
      </c>
      <c r="H216" s="25">
        <f t="shared" si="11"/>
        <v>66.13</v>
      </c>
      <c r="I216" s="25">
        <v>2.13</v>
      </c>
    </row>
    <row r="217" spans="1:9">
      <c r="A217" s="15">
        <v>44427</v>
      </c>
      <c r="B217" s="25">
        <v>69.06</v>
      </c>
      <c r="C217" s="25">
        <v>66.08</v>
      </c>
      <c r="D217" s="25">
        <v>71.44</v>
      </c>
      <c r="E217" s="4" t="s">
        <v>8</v>
      </c>
      <c r="F217" s="3">
        <f t="shared" si="9"/>
        <v>0.3</v>
      </c>
      <c r="G217" s="4" t="str">
        <f t="shared" si="10"/>
        <v>Opec Basket</v>
      </c>
      <c r="H217" s="25">
        <f t="shared" si="11"/>
        <v>66.08</v>
      </c>
      <c r="I217" s="25">
        <v>2.3022</v>
      </c>
    </row>
    <row r="218" spans="1:9">
      <c r="A218" s="15">
        <v>44426</v>
      </c>
      <c r="B218" s="25">
        <v>68.400000000000006</v>
      </c>
      <c r="C218" s="25">
        <v>69.319999999999993</v>
      </c>
      <c r="D218" s="25">
        <v>70.63</v>
      </c>
      <c r="E218" s="4" t="s">
        <v>8</v>
      </c>
      <c r="F218" s="3">
        <f t="shared" si="9"/>
        <v>0</v>
      </c>
      <c r="G218" s="4" t="str">
        <f t="shared" si="10"/>
        <v>WTI Crude</v>
      </c>
      <c r="H218" s="25">
        <f t="shared" si="11"/>
        <v>68.400000000000006</v>
      </c>
      <c r="I218" s="25">
        <v>2.2679</v>
      </c>
    </row>
    <row r="219" spans="1:9">
      <c r="A219" s="15">
        <v>44425</v>
      </c>
      <c r="B219" s="25">
        <v>67.099999999999994</v>
      </c>
      <c r="C219" s="25">
        <v>69.400000000000006</v>
      </c>
      <c r="D219" s="25">
        <v>69.040000000000006</v>
      </c>
      <c r="E219" s="4" t="s">
        <v>8</v>
      </c>
      <c r="F219" s="3">
        <f t="shared" si="9"/>
        <v>0</v>
      </c>
      <c r="G219" s="4" t="str">
        <f t="shared" si="10"/>
        <v>WTI Crude</v>
      </c>
      <c r="H219" s="25">
        <f t="shared" si="11"/>
        <v>67.099999999999994</v>
      </c>
      <c r="I219" s="25">
        <v>2.2347999999999999</v>
      </c>
    </row>
    <row r="220" spans="1:9">
      <c r="A220" s="15">
        <v>44424</v>
      </c>
      <c r="B220" s="25">
        <v>68.489999999999995</v>
      </c>
      <c r="C220" s="25">
        <v>69.650000000000006</v>
      </c>
      <c r="D220" s="25">
        <v>70.7</v>
      </c>
      <c r="E220" s="4" t="s">
        <v>8</v>
      </c>
      <c r="F220" s="3">
        <f t="shared" si="9"/>
        <v>0</v>
      </c>
      <c r="G220" s="4" t="str">
        <f t="shared" si="10"/>
        <v>WTI Crude</v>
      </c>
      <c r="H220" s="25">
        <f t="shared" si="11"/>
        <v>68.489999999999995</v>
      </c>
      <c r="I220" s="25">
        <v>2.2568999999999999</v>
      </c>
    </row>
    <row r="221" spans="1:9">
      <c r="A221" s="15">
        <v>44421</v>
      </c>
      <c r="B221" s="25">
        <v>69.099999999999994</v>
      </c>
      <c r="C221" s="25">
        <v>70.900000000000006</v>
      </c>
      <c r="D221" s="25">
        <v>71.290000000000006</v>
      </c>
      <c r="E221" s="4" t="s">
        <v>8</v>
      </c>
      <c r="F221" s="3">
        <f t="shared" si="9"/>
        <v>0</v>
      </c>
      <c r="G221" s="4" t="str">
        <f t="shared" si="10"/>
        <v>WTI Crude</v>
      </c>
      <c r="H221" s="25">
        <f t="shared" si="11"/>
        <v>69.099999999999994</v>
      </c>
      <c r="I221" s="25">
        <v>2.294</v>
      </c>
    </row>
    <row r="222" spans="1:9">
      <c r="A222" s="15">
        <v>44420</v>
      </c>
      <c r="B222" s="25">
        <v>68.290000000000006</v>
      </c>
      <c r="C222" s="25">
        <v>71.319999999999993</v>
      </c>
      <c r="D222" s="25">
        <v>70.38</v>
      </c>
      <c r="E222" s="4" t="s">
        <v>8</v>
      </c>
      <c r="F222" s="3">
        <f t="shared" si="9"/>
        <v>0</v>
      </c>
      <c r="G222" s="4" t="str">
        <f t="shared" si="10"/>
        <v>WTI Crude</v>
      </c>
      <c r="H222" s="25">
        <f t="shared" si="11"/>
        <v>68.290000000000006</v>
      </c>
      <c r="I222" s="25">
        <v>2.25</v>
      </c>
    </row>
    <row r="223" spans="1:9">
      <c r="A223" s="15">
        <v>44419</v>
      </c>
      <c r="B223" s="25">
        <v>70.42</v>
      </c>
      <c r="C223" s="25">
        <v>70.52</v>
      </c>
      <c r="D223" s="25">
        <v>72.41</v>
      </c>
      <c r="E223" s="4" t="s">
        <v>8</v>
      </c>
      <c r="F223" s="3">
        <f t="shared" si="9"/>
        <v>0</v>
      </c>
      <c r="G223" s="4" t="str">
        <f t="shared" si="10"/>
        <v>WTI Crude</v>
      </c>
      <c r="H223" s="25">
        <f t="shared" si="11"/>
        <v>70.42</v>
      </c>
      <c r="I223" s="25">
        <v>2.2707999999999999</v>
      </c>
    </row>
    <row r="224" spans="1:9">
      <c r="A224" s="15">
        <v>44418</v>
      </c>
      <c r="B224" s="25">
        <v>71.05</v>
      </c>
      <c r="C224" s="25">
        <v>70.13</v>
      </c>
      <c r="D224" s="25">
        <v>72.89</v>
      </c>
      <c r="E224" s="4" t="s">
        <v>8</v>
      </c>
      <c r="F224" s="3">
        <f t="shared" si="9"/>
        <v>0.3</v>
      </c>
      <c r="G224" s="4" t="str">
        <f t="shared" si="10"/>
        <v>Opec Basket</v>
      </c>
      <c r="H224" s="25">
        <f t="shared" si="11"/>
        <v>70.13</v>
      </c>
      <c r="I224" s="25">
        <v>2.2747000000000002</v>
      </c>
    </row>
    <row r="225" spans="1:9">
      <c r="A225" s="15">
        <v>44417</v>
      </c>
      <c r="B225" s="25">
        <v>72.430000000000007</v>
      </c>
      <c r="C225" s="25">
        <v>70.66</v>
      </c>
      <c r="D225" s="25">
        <v>76.33</v>
      </c>
      <c r="E225" s="4" t="s">
        <v>8</v>
      </c>
      <c r="F225" s="3">
        <f t="shared" si="9"/>
        <v>0.3</v>
      </c>
      <c r="G225" s="4" t="str">
        <f t="shared" si="10"/>
        <v>Opec Basket</v>
      </c>
      <c r="H225" s="25">
        <f t="shared" si="11"/>
        <v>70.66</v>
      </c>
      <c r="I225" s="25">
        <v>2.3347000000000002</v>
      </c>
    </row>
    <row r="226" spans="1:9">
      <c r="A226" s="15">
        <v>44414</v>
      </c>
      <c r="B226" s="25">
        <v>72.41</v>
      </c>
      <c r="C226" s="25">
        <v>71.3</v>
      </c>
      <c r="D226" s="25">
        <v>76.05</v>
      </c>
      <c r="E226" s="4" t="s">
        <v>8</v>
      </c>
      <c r="F226" s="3">
        <f t="shared" si="9"/>
        <v>0.3</v>
      </c>
      <c r="G226" s="4" t="str">
        <f t="shared" si="10"/>
        <v>Opec Basket</v>
      </c>
      <c r="H226" s="25">
        <f t="shared" si="11"/>
        <v>71.3</v>
      </c>
      <c r="I226" s="25">
        <v>2.3250999999999999</v>
      </c>
    </row>
    <row r="227" spans="1:9">
      <c r="A227" s="15">
        <v>44413</v>
      </c>
      <c r="B227" s="25">
        <v>72.3</v>
      </c>
      <c r="C227" s="25">
        <v>70.34</v>
      </c>
      <c r="D227" s="25">
        <v>74.739999999999995</v>
      </c>
      <c r="E227" s="4" t="s">
        <v>8</v>
      </c>
      <c r="F227" s="3">
        <f t="shared" si="9"/>
        <v>0.3</v>
      </c>
      <c r="G227" s="4" t="str">
        <f t="shared" si="10"/>
        <v>Opec Basket</v>
      </c>
      <c r="H227" s="25">
        <f t="shared" si="11"/>
        <v>70.34</v>
      </c>
      <c r="I227" s="25">
        <v>2.282</v>
      </c>
    </row>
    <row r="228" spans="1:9">
      <c r="A228" s="15">
        <v>44412</v>
      </c>
      <c r="B228" s="25">
        <v>72.19</v>
      </c>
      <c r="C228" s="25">
        <v>71.83</v>
      </c>
      <c r="D228" s="25">
        <v>74.48</v>
      </c>
      <c r="E228" s="4" t="s">
        <v>8</v>
      </c>
      <c r="F228" s="3">
        <f t="shared" si="9"/>
        <v>0.3</v>
      </c>
      <c r="G228" s="4" t="str">
        <f t="shared" si="10"/>
        <v>Opec Basket</v>
      </c>
      <c r="H228" s="25">
        <f t="shared" si="11"/>
        <v>71.83</v>
      </c>
      <c r="I228" s="25">
        <v>2.2812999999999999</v>
      </c>
    </row>
    <row r="229" spans="1:9">
      <c r="A229" s="15">
        <v>44411</v>
      </c>
      <c r="B229" s="25">
        <v>72.239999999999995</v>
      </c>
      <c r="C229" s="25">
        <v>72.709999999999994</v>
      </c>
      <c r="D229" s="25">
        <v>74.5</v>
      </c>
      <c r="E229" s="4" t="s">
        <v>8</v>
      </c>
      <c r="F229" s="3">
        <f t="shared" si="9"/>
        <v>0</v>
      </c>
      <c r="G229" s="4" t="str">
        <f t="shared" si="10"/>
        <v>WTI Crude</v>
      </c>
      <c r="H229" s="25">
        <f t="shared" si="11"/>
        <v>72.239999999999995</v>
      </c>
      <c r="I229" s="25">
        <v>2.2753999999999999</v>
      </c>
    </row>
    <row r="230" spans="1:9">
      <c r="A230" s="15">
        <v>44410</v>
      </c>
      <c r="B230" s="25">
        <v>72.28</v>
      </c>
      <c r="C230" s="25">
        <v>73.89</v>
      </c>
      <c r="D230" s="25">
        <v>74.099999999999994</v>
      </c>
      <c r="E230" s="4">
        <v>54.47</v>
      </c>
      <c r="F230" s="3">
        <f t="shared" si="9"/>
        <v>1</v>
      </c>
      <c r="G230" s="4" t="str">
        <f t="shared" si="10"/>
        <v>WCS</v>
      </c>
      <c r="H230" s="25">
        <f t="shared" si="11"/>
        <v>54.47</v>
      </c>
      <c r="I230" s="25">
        <v>2.2612000000000001</v>
      </c>
    </row>
    <row r="231" spans="1:9">
      <c r="A231" s="15">
        <v>44407</v>
      </c>
      <c r="B231" s="25">
        <v>72.23</v>
      </c>
      <c r="C231" s="25">
        <v>74.98</v>
      </c>
      <c r="D231" s="25">
        <v>73.790000000000006</v>
      </c>
      <c r="E231" s="4" t="s">
        <v>8</v>
      </c>
      <c r="F231" s="3">
        <f t="shared" si="9"/>
        <v>0</v>
      </c>
      <c r="G231" s="4" t="str">
        <f t="shared" si="10"/>
        <v>WTI Crude</v>
      </c>
      <c r="H231" s="25">
        <f t="shared" si="11"/>
        <v>72.23</v>
      </c>
      <c r="I231" s="25">
        <v>2.2473999999999998</v>
      </c>
    </row>
    <row r="232" spans="1:9">
      <c r="A232" s="15">
        <v>44406</v>
      </c>
      <c r="B232" s="25">
        <v>71.7</v>
      </c>
      <c r="C232" s="25">
        <v>74.42</v>
      </c>
      <c r="D232" s="25">
        <v>72.23</v>
      </c>
      <c r="E232" s="4" t="s">
        <v>8</v>
      </c>
      <c r="F232" s="3">
        <f t="shared" si="9"/>
        <v>0</v>
      </c>
      <c r="G232" s="4" t="str">
        <f t="shared" si="10"/>
        <v>WTI Crude</v>
      </c>
      <c r="H232" s="25">
        <f t="shared" si="11"/>
        <v>71.7</v>
      </c>
      <c r="I232" s="25">
        <v>2.1941000000000002</v>
      </c>
    </row>
    <row r="233" spans="1:9">
      <c r="A233" s="15">
        <v>44405</v>
      </c>
      <c r="B233" s="25">
        <v>70.52</v>
      </c>
      <c r="C233" s="25">
        <v>73.569999999999993</v>
      </c>
      <c r="D233" s="25">
        <v>69.349999999999994</v>
      </c>
      <c r="E233" s="4" t="s">
        <v>8</v>
      </c>
      <c r="F233" s="3">
        <f t="shared" si="9"/>
        <v>0.75</v>
      </c>
      <c r="G233" s="4" t="str">
        <f t="shared" si="10"/>
        <v>Brent Crude</v>
      </c>
      <c r="H233" s="25">
        <f t="shared" si="11"/>
        <v>69.349999999999994</v>
      </c>
      <c r="I233" s="25">
        <v>2.1103999999999998</v>
      </c>
    </row>
    <row r="234" spans="1:9">
      <c r="A234" s="15">
        <v>44404</v>
      </c>
      <c r="B234" s="25">
        <v>70.14</v>
      </c>
      <c r="C234" s="25">
        <v>73.62</v>
      </c>
      <c r="D234" s="25">
        <v>68.62</v>
      </c>
      <c r="E234" s="4" t="s">
        <v>8</v>
      </c>
      <c r="F234" s="3">
        <f t="shared" si="9"/>
        <v>0.75</v>
      </c>
      <c r="G234" s="4" t="str">
        <f t="shared" si="10"/>
        <v>Brent Crude</v>
      </c>
      <c r="H234" s="25">
        <f t="shared" si="11"/>
        <v>68.62</v>
      </c>
      <c r="I234" s="25">
        <v>2.0903</v>
      </c>
    </row>
    <row r="235" spans="1:9">
      <c r="A235" s="15">
        <v>44403</v>
      </c>
      <c r="B235" s="25">
        <v>72.64</v>
      </c>
      <c r="C235" s="25">
        <v>72.680000000000007</v>
      </c>
      <c r="D235" s="25">
        <v>73.59</v>
      </c>
      <c r="E235" s="4" t="s">
        <v>8</v>
      </c>
      <c r="F235" s="3">
        <f t="shared" si="9"/>
        <v>0</v>
      </c>
      <c r="G235" s="4" t="str">
        <f t="shared" si="10"/>
        <v>WTI Crude</v>
      </c>
      <c r="H235" s="25">
        <f t="shared" si="11"/>
        <v>72.64</v>
      </c>
      <c r="I235" s="25">
        <v>2.2345000000000002</v>
      </c>
    </row>
    <row r="236" spans="1:9">
      <c r="A236" s="15">
        <v>44400</v>
      </c>
      <c r="B236" s="25">
        <v>72.55</v>
      </c>
      <c r="C236" s="25">
        <v>73.03</v>
      </c>
      <c r="D236" s="25">
        <v>73.47</v>
      </c>
      <c r="E236" s="4" t="s">
        <v>8</v>
      </c>
      <c r="F236" s="3">
        <f t="shared" si="9"/>
        <v>0</v>
      </c>
      <c r="G236" s="4" t="str">
        <f t="shared" si="10"/>
        <v>WTI Crude</v>
      </c>
      <c r="H236" s="25">
        <f t="shared" si="11"/>
        <v>72.55</v>
      </c>
      <c r="I236" s="25">
        <v>2.2317999999999998</v>
      </c>
    </row>
    <row r="237" spans="1:9">
      <c r="A237" s="15">
        <v>44399</v>
      </c>
      <c r="B237" s="25">
        <v>73.31</v>
      </c>
      <c r="C237" s="25">
        <v>72.09</v>
      </c>
      <c r="D237" s="25">
        <v>74.760000000000005</v>
      </c>
      <c r="E237" s="4" t="s">
        <v>8</v>
      </c>
      <c r="F237" s="3">
        <f t="shared" si="9"/>
        <v>0.3</v>
      </c>
      <c r="G237" s="4" t="str">
        <f t="shared" si="10"/>
        <v>Opec Basket</v>
      </c>
      <c r="H237" s="25">
        <f t="shared" si="11"/>
        <v>72.09</v>
      </c>
      <c r="I237" s="25">
        <v>2.2722000000000002</v>
      </c>
    </row>
    <row r="238" spans="1:9">
      <c r="A238" s="15">
        <v>44398</v>
      </c>
      <c r="B238" s="25">
        <v>74.599999999999994</v>
      </c>
      <c r="C238" s="25">
        <v>69.930000000000007</v>
      </c>
      <c r="D238" s="25">
        <v>76.489999999999995</v>
      </c>
      <c r="E238" s="4" t="s">
        <v>8</v>
      </c>
      <c r="F238" s="3">
        <f t="shared" si="9"/>
        <v>0.3</v>
      </c>
      <c r="G238" s="4" t="str">
        <f t="shared" si="10"/>
        <v>Opec Basket</v>
      </c>
      <c r="H238" s="25">
        <f t="shared" si="11"/>
        <v>69.930000000000007</v>
      </c>
      <c r="I238" s="25">
        <v>2.3016999999999999</v>
      </c>
    </row>
    <row r="239" spans="1:9">
      <c r="A239" s="15">
        <v>44397</v>
      </c>
      <c r="B239" s="25">
        <v>73.790000000000006</v>
      </c>
      <c r="C239" s="25">
        <v>70.5</v>
      </c>
      <c r="D239" s="25">
        <v>75.16</v>
      </c>
      <c r="E239" s="4" t="s">
        <v>8</v>
      </c>
      <c r="F239" s="3">
        <f t="shared" si="9"/>
        <v>0.3</v>
      </c>
      <c r="G239" s="4" t="str">
        <f t="shared" si="10"/>
        <v>Opec Basket</v>
      </c>
      <c r="H239" s="25">
        <f t="shared" si="11"/>
        <v>70.5</v>
      </c>
      <c r="I239" s="25">
        <v>2.2772000000000001</v>
      </c>
    </row>
    <row r="240" spans="1:9">
      <c r="A240" s="15">
        <v>44396</v>
      </c>
      <c r="B240" s="25">
        <v>74.09</v>
      </c>
      <c r="C240" s="25">
        <v>70.540000000000006</v>
      </c>
      <c r="D240" s="25">
        <v>75.55</v>
      </c>
      <c r="E240" s="4" t="s">
        <v>8</v>
      </c>
      <c r="F240" s="3">
        <f t="shared" si="9"/>
        <v>0.3</v>
      </c>
      <c r="G240" s="4" t="str">
        <f t="shared" si="10"/>
        <v>Opec Basket</v>
      </c>
      <c r="H240" s="25">
        <f t="shared" si="11"/>
        <v>70.540000000000006</v>
      </c>
      <c r="I240" s="25">
        <v>2.2919999999999998</v>
      </c>
    </row>
    <row r="241" spans="1:9">
      <c r="A241" s="15">
        <v>44393</v>
      </c>
      <c r="B241" s="25">
        <v>72.87</v>
      </c>
      <c r="C241" s="25">
        <v>72.84</v>
      </c>
      <c r="D241" s="25">
        <v>74.12</v>
      </c>
      <c r="E241" s="4" t="s">
        <v>8</v>
      </c>
      <c r="F241" s="3">
        <f t="shared" si="9"/>
        <v>0.3</v>
      </c>
      <c r="G241" s="4" t="str">
        <f t="shared" si="10"/>
        <v>Opec Basket</v>
      </c>
      <c r="H241" s="25">
        <f t="shared" si="11"/>
        <v>72.84</v>
      </c>
      <c r="I241" s="25">
        <v>2.2551999999999999</v>
      </c>
    </row>
    <row r="242" spans="1:9">
      <c r="A242" s="15">
        <v>44392</v>
      </c>
      <c r="B242" s="25">
        <v>72.27</v>
      </c>
      <c r="C242" s="25">
        <v>73.150000000000006</v>
      </c>
      <c r="D242" s="25">
        <v>73.430000000000007</v>
      </c>
      <c r="E242" s="4" t="s">
        <v>8</v>
      </c>
      <c r="F242" s="3">
        <f t="shared" si="9"/>
        <v>0</v>
      </c>
      <c r="G242" s="4" t="str">
        <f t="shared" si="10"/>
        <v>WTI Crude</v>
      </c>
      <c r="H242" s="25">
        <f t="shared" si="11"/>
        <v>72.27</v>
      </c>
      <c r="I242" s="25">
        <v>2.206</v>
      </c>
    </row>
    <row r="243" spans="1:9">
      <c r="A243" s="15">
        <v>44391</v>
      </c>
      <c r="B243" s="25">
        <v>73.239999999999995</v>
      </c>
      <c r="C243" s="25">
        <v>75.290000000000006</v>
      </c>
      <c r="D243" s="25">
        <v>74.53</v>
      </c>
      <c r="E243" s="4" t="s">
        <v>8</v>
      </c>
      <c r="F243" s="3">
        <f t="shared" si="9"/>
        <v>0</v>
      </c>
      <c r="G243" s="4" t="str">
        <f t="shared" si="10"/>
        <v>WTI Crude</v>
      </c>
      <c r="H243" s="25">
        <f t="shared" si="11"/>
        <v>73.239999999999995</v>
      </c>
      <c r="I243" s="25">
        <v>2.2282000000000002</v>
      </c>
    </row>
    <row r="244" spans="1:9">
      <c r="A244" s="15">
        <v>44390</v>
      </c>
      <c r="B244" s="25">
        <v>74.86</v>
      </c>
      <c r="C244" s="25">
        <v>75.13</v>
      </c>
      <c r="D244" s="25">
        <v>76.17</v>
      </c>
      <c r="E244" s="4" t="s">
        <v>8</v>
      </c>
      <c r="F244" s="3">
        <f t="shared" si="9"/>
        <v>0</v>
      </c>
      <c r="G244" s="4" t="str">
        <f t="shared" si="10"/>
        <v>WTI Crude</v>
      </c>
      <c r="H244" s="25">
        <f t="shared" si="11"/>
        <v>74.86</v>
      </c>
      <c r="I244" s="25">
        <v>2.2997999999999998</v>
      </c>
    </row>
    <row r="245" spans="1:9">
      <c r="A245" s="15">
        <v>44389</v>
      </c>
      <c r="B245" s="25">
        <v>74.89</v>
      </c>
      <c r="C245" s="25">
        <v>74.33</v>
      </c>
      <c r="D245" s="25">
        <v>75.84</v>
      </c>
      <c r="E245" s="4" t="s">
        <v>8</v>
      </c>
      <c r="F245" s="3">
        <f t="shared" si="9"/>
        <v>0.3</v>
      </c>
      <c r="G245" s="4" t="str">
        <f t="shared" si="10"/>
        <v>Opec Basket</v>
      </c>
      <c r="H245" s="25">
        <f t="shared" si="11"/>
        <v>74.33</v>
      </c>
      <c r="I245" s="25">
        <v>2.2675999999999998</v>
      </c>
    </row>
    <row r="246" spans="1:9">
      <c r="A246" s="15">
        <v>44386</v>
      </c>
      <c r="B246" s="25">
        <v>71.349999999999994</v>
      </c>
      <c r="C246" s="25">
        <v>74.180000000000007</v>
      </c>
      <c r="D246" s="25">
        <v>75.13</v>
      </c>
      <c r="E246" s="4" t="s">
        <v>8</v>
      </c>
      <c r="F246" s="3">
        <f t="shared" si="9"/>
        <v>0</v>
      </c>
      <c r="G246" s="4" t="str">
        <f t="shared" si="10"/>
        <v>WTI Crude</v>
      </c>
      <c r="H246" s="25">
        <f t="shared" si="11"/>
        <v>71.349999999999994</v>
      </c>
      <c r="I246" s="25">
        <v>2.2418</v>
      </c>
    </row>
    <row r="247" spans="1:9">
      <c r="A247" s="15">
        <v>44385</v>
      </c>
      <c r="B247" s="25">
        <v>71.33</v>
      </c>
      <c r="C247" s="25">
        <v>71.97</v>
      </c>
      <c r="D247" s="25">
        <v>74.760000000000005</v>
      </c>
      <c r="E247" s="4" t="s">
        <v>8</v>
      </c>
      <c r="F247" s="3">
        <f t="shared" si="9"/>
        <v>0</v>
      </c>
      <c r="G247" s="4" t="str">
        <f t="shared" si="10"/>
        <v>WTI Crude</v>
      </c>
      <c r="H247" s="25">
        <f t="shared" si="11"/>
        <v>71.33</v>
      </c>
      <c r="I247" s="25">
        <v>2.2414999999999998</v>
      </c>
    </row>
    <row r="248" spans="1:9">
      <c r="A248" s="15">
        <v>44384</v>
      </c>
      <c r="B248" s="25">
        <v>71.319999999999993</v>
      </c>
      <c r="C248" s="25">
        <v>73.58</v>
      </c>
      <c r="D248" s="25">
        <v>74.680000000000007</v>
      </c>
      <c r="E248" s="4" t="s">
        <v>8</v>
      </c>
      <c r="F248" s="3">
        <f t="shared" si="9"/>
        <v>0</v>
      </c>
      <c r="G248" s="4" t="str">
        <f t="shared" si="10"/>
        <v>WTI Crude</v>
      </c>
      <c r="H248" s="25">
        <f t="shared" si="11"/>
        <v>71.319999999999993</v>
      </c>
      <c r="I248" s="25">
        <v>2.2176999999999998</v>
      </c>
    </row>
    <row r="249" spans="1:9">
      <c r="A249" s="15">
        <v>44383</v>
      </c>
      <c r="B249" s="25">
        <v>71.48</v>
      </c>
      <c r="C249" s="25">
        <v>75.94</v>
      </c>
      <c r="D249" s="25">
        <v>76.180000000000007</v>
      </c>
      <c r="E249" s="4" t="s">
        <v>8</v>
      </c>
      <c r="F249" s="3">
        <f t="shared" si="9"/>
        <v>0</v>
      </c>
      <c r="G249" s="4" t="str">
        <f t="shared" si="10"/>
        <v>WTI Crude</v>
      </c>
      <c r="H249" s="25">
        <f t="shared" si="11"/>
        <v>71.48</v>
      </c>
      <c r="I249" s="25">
        <v>2.2612000000000001</v>
      </c>
    </row>
    <row r="250" spans="1:9">
      <c r="A250" s="15">
        <v>44382</v>
      </c>
      <c r="B250" s="25">
        <v>71.34</v>
      </c>
      <c r="C250" s="25">
        <v>75.709999999999994</v>
      </c>
      <c r="D250" s="25">
        <v>75.56</v>
      </c>
      <c r="E250" s="4" t="s">
        <v>8</v>
      </c>
      <c r="F250" s="3">
        <f t="shared" si="9"/>
        <v>0</v>
      </c>
      <c r="G250" s="4" t="str">
        <f t="shared" si="10"/>
        <v>WTI Crude</v>
      </c>
      <c r="H250" s="25">
        <f t="shared" si="11"/>
        <v>71.34</v>
      </c>
      <c r="I250" s="25">
        <v>2.2799999999999998</v>
      </c>
    </row>
    <row r="251" spans="1:9">
      <c r="A251" s="15">
        <v>44379</v>
      </c>
      <c r="B251" s="25">
        <v>71.290000000000006</v>
      </c>
      <c r="C251" s="25">
        <v>75.209999999999994</v>
      </c>
      <c r="D251" s="25">
        <v>75.19</v>
      </c>
      <c r="E251" s="4" t="s">
        <v>8</v>
      </c>
      <c r="F251" s="3">
        <f t="shared" si="9"/>
        <v>0</v>
      </c>
      <c r="G251" s="4" t="str">
        <f t="shared" si="10"/>
        <v>WTI Crude</v>
      </c>
      <c r="H251" s="25">
        <f t="shared" si="11"/>
        <v>71.290000000000006</v>
      </c>
      <c r="I251" s="25">
        <v>2.2698999999999998</v>
      </c>
    </row>
    <row r="252" spans="1:9">
      <c r="A252" s="15">
        <v>44378</v>
      </c>
      <c r="B252" s="25">
        <v>71.23</v>
      </c>
      <c r="C252" s="25">
        <v>74.87</v>
      </c>
      <c r="D252" s="25">
        <v>74.81</v>
      </c>
      <c r="E252" s="4">
        <v>58.46</v>
      </c>
      <c r="F252" s="3">
        <f t="shared" si="9"/>
        <v>1</v>
      </c>
      <c r="G252" s="4" t="str">
        <f t="shared" si="10"/>
        <v>WCS</v>
      </c>
      <c r="H252" s="25">
        <f t="shared" si="11"/>
        <v>58.46</v>
      </c>
      <c r="I252" s="25">
        <v>2.2301000000000002</v>
      </c>
    </row>
    <row r="253" spans="1:9">
      <c r="A253" s="15">
        <v>44377</v>
      </c>
      <c r="B253" s="25">
        <v>71.33</v>
      </c>
      <c r="C253" s="25">
        <v>73.599999999999994</v>
      </c>
      <c r="D253" s="25">
        <v>74.900000000000006</v>
      </c>
      <c r="E253" s="4"/>
      <c r="F253" s="3">
        <f t="shared" si="9"/>
        <v>0</v>
      </c>
      <c r="G253" s="4" t="str">
        <f t="shared" si="10"/>
        <v>WTI Crude</v>
      </c>
      <c r="H253" s="25">
        <f t="shared" si="11"/>
        <v>71.33</v>
      </c>
      <c r="I253" s="25">
        <v>2.2031000000000001</v>
      </c>
    </row>
    <row r="254" spans="1:9">
      <c r="A254" s="15">
        <v>44376</v>
      </c>
      <c r="B254" s="25">
        <v>70.650000000000006</v>
      </c>
      <c r="C254" s="25">
        <v>73.34</v>
      </c>
      <c r="D254" s="25">
        <v>73.510000000000005</v>
      </c>
      <c r="E254" s="4"/>
      <c r="F254" s="3">
        <f t="shared" si="9"/>
        <v>0</v>
      </c>
      <c r="G254" s="4" t="str">
        <f t="shared" si="10"/>
        <v>WTI Crude</v>
      </c>
      <c r="H254" s="25">
        <f t="shared" si="11"/>
        <v>70.650000000000006</v>
      </c>
      <c r="I254" s="25">
        <v>2.1739999999999999</v>
      </c>
    </row>
    <row r="255" spans="1:9">
      <c r="A255" s="15">
        <v>44375</v>
      </c>
      <c r="B255" s="25">
        <v>70.430000000000007</v>
      </c>
      <c r="C255" s="25">
        <v>73.84</v>
      </c>
      <c r="D255" s="25">
        <v>73.08</v>
      </c>
      <c r="E255" s="4"/>
      <c r="F255" s="3">
        <f t="shared" si="9"/>
        <v>0</v>
      </c>
      <c r="G255" s="4" t="str">
        <f t="shared" si="10"/>
        <v>WTI Crude</v>
      </c>
      <c r="H255" s="25">
        <f t="shared" si="11"/>
        <v>70.430000000000007</v>
      </c>
      <c r="I255" s="25">
        <v>2.1387999999999998</v>
      </c>
    </row>
    <row r="256" spans="1:9">
      <c r="A256" s="15">
        <v>44372</v>
      </c>
      <c r="B256" s="25">
        <v>70.95</v>
      </c>
      <c r="C256" s="25">
        <v>74.19</v>
      </c>
      <c r="D256" s="25">
        <v>74.39</v>
      </c>
      <c r="E256" s="4"/>
      <c r="F256" s="3">
        <f t="shared" si="9"/>
        <v>0</v>
      </c>
      <c r="G256" s="4" t="str">
        <f t="shared" si="10"/>
        <v>WTI Crude</v>
      </c>
      <c r="H256" s="25">
        <f t="shared" si="11"/>
        <v>70.95</v>
      </c>
      <c r="I256" s="25">
        <v>2.16</v>
      </c>
    </row>
    <row r="257" spans="1:9">
      <c r="A257" s="15">
        <v>44371</v>
      </c>
      <c r="B257" s="25">
        <v>70.92</v>
      </c>
      <c r="C257" s="25">
        <v>74.09</v>
      </c>
      <c r="D257" s="25">
        <v>73.989999999999995</v>
      </c>
      <c r="E257" s="4"/>
      <c r="F257" s="3">
        <f t="shared" si="9"/>
        <v>0</v>
      </c>
      <c r="G257" s="4" t="str">
        <f t="shared" si="10"/>
        <v>WTI Crude</v>
      </c>
      <c r="H257" s="25">
        <f t="shared" si="11"/>
        <v>70.92</v>
      </c>
      <c r="I257" s="25">
        <v>2.1728999999999998</v>
      </c>
    </row>
    <row r="258" spans="1:9">
      <c r="A258" s="15">
        <v>44370</v>
      </c>
      <c r="B258" s="25">
        <v>70.239999999999995</v>
      </c>
      <c r="C258" s="25">
        <v>74.010000000000005</v>
      </c>
      <c r="D258" s="25">
        <v>72.86</v>
      </c>
      <c r="E258" s="4"/>
      <c r="F258" s="3">
        <f t="shared" ref="F258:F321" si="12">IF(MIN(B258:E258)=B258,0,IF(MIN(B258:E258)=C258,0.3,IF(MIN(B258:E258)=D258,0.75,IF(MIN(B258:E258)=E258,1,))))</f>
        <v>0</v>
      </c>
      <c r="G258" s="4" t="str">
        <f t="shared" ref="G258:G321" si="13">IF(MIN(B258:E258)=B258,$B$1,IF(MIN(B258:E258)=C258,$C$1,IF(MIN(B258:E258)=D258,$D$1,IF(MIN(B258:E258)=E258,$E$1,))))</f>
        <v>WTI Crude</v>
      </c>
      <c r="H258" s="25">
        <f t="shared" ref="H258:H321" si="14">IF(MIN(B258:E258)=B258,B258,IF(MIN(B258:E258)=C258,C258,IF(MIN(B258:E258)=D258,D258,IF(MIN(B258:E258)=E258,E258,))))</f>
        <v>70.239999999999995</v>
      </c>
      <c r="I258" s="25">
        <v>2.173</v>
      </c>
    </row>
    <row r="259" spans="1:9">
      <c r="A259" s="15">
        <v>44369</v>
      </c>
      <c r="B259" s="25">
        <v>70.25</v>
      </c>
      <c r="C259" s="25">
        <v>73.13</v>
      </c>
      <c r="D259" s="25">
        <v>72.69</v>
      </c>
      <c r="E259" s="4"/>
      <c r="F259" s="3">
        <f t="shared" si="12"/>
        <v>0</v>
      </c>
      <c r="G259" s="4" t="str">
        <f t="shared" si="13"/>
        <v>WTI Crude</v>
      </c>
      <c r="H259" s="25">
        <f t="shared" si="14"/>
        <v>70.25</v>
      </c>
      <c r="I259" s="25">
        <v>2.1861000000000002</v>
      </c>
    </row>
    <row r="260" spans="1:9">
      <c r="A260" s="15">
        <v>44368</v>
      </c>
      <c r="B260" s="25">
        <v>69.88</v>
      </c>
      <c r="C260" s="25">
        <v>72.45</v>
      </c>
      <c r="D260" s="25">
        <v>72.52</v>
      </c>
      <c r="E260" s="4"/>
      <c r="F260" s="3">
        <f t="shared" si="12"/>
        <v>0</v>
      </c>
      <c r="G260" s="4" t="str">
        <f t="shared" si="13"/>
        <v>WTI Crude</v>
      </c>
      <c r="H260" s="25">
        <f t="shared" si="14"/>
        <v>69.88</v>
      </c>
      <c r="I260" s="25">
        <v>2.2122000000000002</v>
      </c>
    </row>
    <row r="261" spans="1:9">
      <c r="A261" s="15">
        <v>44365</v>
      </c>
      <c r="B261" s="25">
        <v>69.66</v>
      </c>
      <c r="C261" s="25">
        <v>71.56</v>
      </c>
      <c r="D261" s="25">
        <v>72.03</v>
      </c>
      <c r="E261" s="4"/>
      <c r="F261" s="3">
        <f t="shared" si="12"/>
        <v>0</v>
      </c>
      <c r="G261" s="4" t="str">
        <f t="shared" si="13"/>
        <v>WTI Crude</v>
      </c>
      <c r="H261" s="25">
        <f t="shared" si="14"/>
        <v>69.66</v>
      </c>
      <c r="I261" s="25">
        <v>2.2025000000000001</v>
      </c>
    </row>
    <row r="262" spans="1:9">
      <c r="A262" s="15">
        <v>44364</v>
      </c>
      <c r="B262" s="25">
        <v>69.73</v>
      </c>
      <c r="C262" s="25">
        <v>72.290000000000006</v>
      </c>
      <c r="D262" s="25">
        <v>72.22</v>
      </c>
      <c r="E262" s="4"/>
      <c r="F262" s="3">
        <f t="shared" si="12"/>
        <v>0</v>
      </c>
      <c r="G262" s="4" t="str">
        <f t="shared" si="13"/>
        <v>WTI Crude</v>
      </c>
      <c r="H262" s="25">
        <f t="shared" si="14"/>
        <v>69.73</v>
      </c>
      <c r="I262" s="25">
        <v>2.2189999999999999</v>
      </c>
    </row>
    <row r="263" spans="1:9">
      <c r="A263" s="15">
        <v>44363</v>
      </c>
      <c r="B263" s="25">
        <v>69.09</v>
      </c>
      <c r="C263" s="25">
        <v>73.16</v>
      </c>
      <c r="D263" s="25">
        <v>71.489999999999995</v>
      </c>
      <c r="E263" s="4"/>
      <c r="F263" s="3">
        <f t="shared" si="12"/>
        <v>0</v>
      </c>
      <c r="G263" s="4" t="str">
        <f t="shared" si="13"/>
        <v>WTI Crude</v>
      </c>
      <c r="H263" s="25">
        <f t="shared" si="14"/>
        <v>69.09</v>
      </c>
      <c r="I263" s="25">
        <v>2.1930999999999998</v>
      </c>
    </row>
    <row r="264" spans="1:9">
      <c r="A264" s="15">
        <v>44362</v>
      </c>
      <c r="B264" s="25">
        <v>69.400000000000006</v>
      </c>
      <c r="C264" s="25">
        <v>72.05</v>
      </c>
      <c r="D264" s="25">
        <v>71.89</v>
      </c>
      <c r="E264" s="4"/>
      <c r="F264" s="3">
        <f t="shared" si="12"/>
        <v>0</v>
      </c>
      <c r="G264" s="4" t="str">
        <f t="shared" si="13"/>
        <v>WTI Crude</v>
      </c>
      <c r="H264" s="25">
        <f t="shared" si="14"/>
        <v>69.400000000000006</v>
      </c>
      <c r="I264" s="25">
        <v>2.2115</v>
      </c>
    </row>
    <row r="265" spans="1:9">
      <c r="A265" s="15">
        <v>44361</v>
      </c>
      <c r="B265" s="25">
        <v>68.7</v>
      </c>
      <c r="C265" s="25">
        <v>71.989999999999995</v>
      </c>
      <c r="D265" s="25">
        <v>71.31</v>
      </c>
      <c r="E265" s="4"/>
      <c r="F265" s="3">
        <f t="shared" si="12"/>
        <v>0</v>
      </c>
      <c r="G265" s="4" t="str">
        <f t="shared" si="13"/>
        <v>WTI Crude</v>
      </c>
      <c r="H265" s="25">
        <f t="shared" si="14"/>
        <v>68.7</v>
      </c>
      <c r="I265" s="25">
        <v>2.2018</v>
      </c>
    </row>
    <row r="266" spans="1:9">
      <c r="A266" s="15">
        <v>44358</v>
      </c>
      <c r="B266" s="25">
        <v>68.73</v>
      </c>
      <c r="C266" s="25">
        <v>71.31</v>
      </c>
      <c r="D266" s="25">
        <v>71.349999999999994</v>
      </c>
      <c r="E266" s="4"/>
      <c r="F266" s="3">
        <f t="shared" si="12"/>
        <v>0</v>
      </c>
      <c r="G266" s="4" t="str">
        <f t="shared" si="13"/>
        <v>WTI Crude</v>
      </c>
      <c r="H266" s="25">
        <f t="shared" si="14"/>
        <v>68.73</v>
      </c>
      <c r="I266" s="25">
        <v>2.1941000000000002</v>
      </c>
    </row>
    <row r="267" spans="1:9">
      <c r="A267" s="15">
        <v>44357</v>
      </c>
      <c r="B267" s="25">
        <v>67.67</v>
      </c>
      <c r="C267" s="25">
        <v>70.900000000000006</v>
      </c>
      <c r="D267" s="25">
        <v>70.25</v>
      </c>
      <c r="E267" s="4"/>
      <c r="F267" s="3">
        <f t="shared" si="12"/>
        <v>0</v>
      </c>
      <c r="G267" s="4" t="str">
        <f t="shared" si="13"/>
        <v>WTI Crude</v>
      </c>
      <c r="H267" s="25">
        <f t="shared" si="14"/>
        <v>67.67</v>
      </c>
      <c r="I267" s="25">
        <v>2.1703999999999999</v>
      </c>
    </row>
    <row r="268" spans="1:9">
      <c r="A268" s="15">
        <v>44356</v>
      </c>
      <c r="B268" s="25">
        <v>65.16</v>
      </c>
      <c r="C268" s="25">
        <v>71.209999999999994</v>
      </c>
      <c r="D268" s="25">
        <v>69.63</v>
      </c>
      <c r="E268" s="4"/>
      <c r="F268" s="3">
        <f t="shared" si="12"/>
        <v>0</v>
      </c>
      <c r="G268" s="4" t="str">
        <f t="shared" si="13"/>
        <v>WTI Crude</v>
      </c>
      <c r="H268" s="25">
        <f t="shared" si="14"/>
        <v>65.16</v>
      </c>
      <c r="I268" s="25">
        <v>2.1368999999999998</v>
      </c>
    </row>
    <row r="269" spans="1:9">
      <c r="A269" s="15">
        <v>44355</v>
      </c>
      <c r="B269" s="25">
        <v>65.180000000000007</v>
      </c>
      <c r="C269" s="25">
        <v>69.83</v>
      </c>
      <c r="D269" s="25">
        <v>69.459999999999994</v>
      </c>
      <c r="E269" s="4"/>
      <c r="F269" s="3">
        <f t="shared" si="12"/>
        <v>0</v>
      </c>
      <c r="G269" s="4" t="str">
        <f t="shared" si="13"/>
        <v>WTI Crude</v>
      </c>
      <c r="H269" s="25">
        <f t="shared" si="14"/>
        <v>65.180000000000007</v>
      </c>
      <c r="I269" s="25">
        <v>2.1551999999999998</v>
      </c>
    </row>
    <row r="270" spans="1:9">
      <c r="A270" s="15">
        <v>44354</v>
      </c>
      <c r="B270" s="25">
        <v>65.12</v>
      </c>
      <c r="C270" s="25">
        <v>70.150000000000006</v>
      </c>
      <c r="D270" s="25">
        <v>68.87</v>
      </c>
      <c r="E270" s="4"/>
      <c r="F270" s="3">
        <f t="shared" si="12"/>
        <v>0</v>
      </c>
      <c r="G270" s="4" t="str">
        <f t="shared" si="13"/>
        <v>WTI Crude</v>
      </c>
      <c r="H270" s="25">
        <f t="shared" si="14"/>
        <v>65.12</v>
      </c>
      <c r="I270" s="25">
        <v>2.1511999999999998</v>
      </c>
    </row>
    <row r="271" spans="1:9">
      <c r="A271" s="15">
        <v>44351</v>
      </c>
      <c r="B271" s="25">
        <v>65.099999999999994</v>
      </c>
      <c r="C271" s="25">
        <v>70.23</v>
      </c>
      <c r="D271" s="25">
        <v>68.650000000000006</v>
      </c>
      <c r="E271" s="4"/>
      <c r="F271" s="3">
        <f t="shared" si="12"/>
        <v>0</v>
      </c>
      <c r="G271" s="4" t="str">
        <f t="shared" si="13"/>
        <v>WTI Crude</v>
      </c>
      <c r="H271" s="25">
        <f t="shared" si="14"/>
        <v>65.099999999999994</v>
      </c>
      <c r="I271" s="25">
        <v>2.1229</v>
      </c>
    </row>
    <row r="272" spans="1:9">
      <c r="A272" s="15">
        <v>44350</v>
      </c>
      <c r="B272" s="25">
        <v>65.09</v>
      </c>
      <c r="C272" s="25">
        <v>69.91</v>
      </c>
      <c r="D272" s="25">
        <v>68.459999999999994</v>
      </c>
      <c r="E272" s="4"/>
      <c r="F272" s="3">
        <f t="shared" si="12"/>
        <v>0</v>
      </c>
      <c r="G272" s="4" t="str">
        <f t="shared" si="13"/>
        <v>WTI Crude</v>
      </c>
      <c r="H272" s="25">
        <f t="shared" si="14"/>
        <v>65.09</v>
      </c>
      <c r="I272" s="25">
        <v>2.1217000000000001</v>
      </c>
    </row>
    <row r="273" spans="1:9">
      <c r="A273" s="15">
        <v>44349</v>
      </c>
      <c r="B273" s="25">
        <v>64.48</v>
      </c>
      <c r="C273" s="25">
        <v>69.39</v>
      </c>
      <c r="D273" s="25">
        <v>66.44</v>
      </c>
      <c r="E273" s="4"/>
      <c r="F273" s="3">
        <f t="shared" si="12"/>
        <v>0</v>
      </c>
      <c r="G273" s="4" t="str">
        <f t="shared" si="13"/>
        <v>WTI Crude</v>
      </c>
      <c r="H273" s="25">
        <f t="shared" si="14"/>
        <v>64.48</v>
      </c>
      <c r="I273" s="25">
        <v>2.0709</v>
      </c>
    </row>
    <row r="274" spans="1:9">
      <c r="A274" s="15">
        <v>44348</v>
      </c>
      <c r="B274" s="25">
        <v>63.99</v>
      </c>
      <c r="C274" s="25">
        <v>69.03</v>
      </c>
      <c r="D274" s="25">
        <v>65.11</v>
      </c>
      <c r="E274" s="4">
        <v>58.46</v>
      </c>
      <c r="F274" s="3">
        <f t="shared" si="12"/>
        <v>1</v>
      </c>
      <c r="G274" s="4" t="str">
        <f t="shared" si="13"/>
        <v>WCS</v>
      </c>
      <c r="H274" s="25">
        <f t="shared" si="14"/>
        <v>58.46</v>
      </c>
      <c r="I274" s="25">
        <v>2.0461999999999998</v>
      </c>
    </row>
    <row r="275" spans="1:9">
      <c r="A275" s="15">
        <v>44347</v>
      </c>
      <c r="B275" s="25">
        <v>64.47</v>
      </c>
      <c r="C275" s="25">
        <v>68.53</v>
      </c>
      <c r="D275" s="25">
        <v>66.66</v>
      </c>
      <c r="E275" s="4"/>
      <c r="F275" s="3">
        <f t="shared" si="12"/>
        <v>0</v>
      </c>
      <c r="G275" s="4" t="str">
        <f t="shared" si="13"/>
        <v>WTI Crude</v>
      </c>
      <c r="H275" s="25">
        <f t="shared" si="14"/>
        <v>64.47</v>
      </c>
      <c r="I275" s="25">
        <v>2.0979000000000001</v>
      </c>
    </row>
    <row r="276" spans="1:9">
      <c r="A276" s="15">
        <v>44344</v>
      </c>
      <c r="B276" s="25">
        <v>65.33</v>
      </c>
      <c r="C276" s="25">
        <v>68.2</v>
      </c>
      <c r="D276" s="25">
        <v>68.709999999999994</v>
      </c>
      <c r="E276" s="4"/>
      <c r="F276" s="3">
        <f t="shared" si="12"/>
        <v>0</v>
      </c>
      <c r="G276" s="4" t="str">
        <f t="shared" si="13"/>
        <v>WTI Crude</v>
      </c>
      <c r="H276" s="25">
        <f t="shared" si="14"/>
        <v>65.33</v>
      </c>
      <c r="I276" s="25">
        <v>2.1554000000000002</v>
      </c>
    </row>
    <row r="277" spans="1:9">
      <c r="A277" s="15">
        <v>44343</v>
      </c>
      <c r="B277" s="25">
        <v>65.680000000000007</v>
      </c>
      <c r="C277" s="25">
        <v>67.319999999999993</v>
      </c>
      <c r="D277" s="25">
        <v>69.459999999999994</v>
      </c>
      <c r="E277" s="4"/>
      <c r="F277" s="3">
        <f t="shared" si="12"/>
        <v>0</v>
      </c>
      <c r="G277" s="4" t="str">
        <f t="shared" si="13"/>
        <v>WTI Crude</v>
      </c>
      <c r="H277" s="25">
        <f t="shared" si="14"/>
        <v>65.680000000000007</v>
      </c>
      <c r="I277" s="25">
        <v>2.1536</v>
      </c>
    </row>
    <row r="278" spans="1:9">
      <c r="A278" s="15">
        <v>44342</v>
      </c>
      <c r="B278" s="25">
        <v>65.23</v>
      </c>
      <c r="C278" s="25">
        <v>67.47</v>
      </c>
      <c r="D278" s="25">
        <v>68.709999999999994</v>
      </c>
      <c r="E278" s="4"/>
      <c r="F278" s="3">
        <f t="shared" si="12"/>
        <v>0</v>
      </c>
      <c r="G278" s="4" t="str">
        <f t="shared" si="13"/>
        <v>WTI Crude</v>
      </c>
      <c r="H278" s="25">
        <f t="shared" si="14"/>
        <v>65.23</v>
      </c>
      <c r="I278" s="25">
        <v>2.1223999999999998</v>
      </c>
    </row>
    <row r="279" spans="1:9">
      <c r="A279" s="15">
        <v>44341</v>
      </c>
      <c r="B279" s="25">
        <v>64.38</v>
      </c>
      <c r="C279" s="25">
        <v>67.41</v>
      </c>
      <c r="D279" s="25">
        <v>67.05</v>
      </c>
      <c r="E279" s="4"/>
      <c r="F279" s="3">
        <f t="shared" si="12"/>
        <v>0</v>
      </c>
      <c r="G279" s="4" t="str">
        <f t="shared" si="13"/>
        <v>WTI Crude</v>
      </c>
      <c r="H279" s="25">
        <f t="shared" si="14"/>
        <v>64.38</v>
      </c>
      <c r="I279" s="25">
        <v>2.093</v>
      </c>
    </row>
    <row r="280" spans="1:9">
      <c r="A280" s="15">
        <v>44340</v>
      </c>
      <c r="B280" s="25">
        <v>65.739999999999995</v>
      </c>
      <c r="C280" s="25">
        <v>66.930000000000007</v>
      </c>
      <c r="D280" s="25">
        <v>69.319999999999993</v>
      </c>
      <c r="E280" s="4"/>
      <c r="F280" s="3">
        <f t="shared" si="12"/>
        <v>0</v>
      </c>
      <c r="G280" s="4" t="str">
        <f t="shared" si="13"/>
        <v>WTI Crude</v>
      </c>
      <c r="H280" s="25">
        <f t="shared" si="14"/>
        <v>65.739999999999995</v>
      </c>
      <c r="I280" s="25">
        <v>2.161</v>
      </c>
    </row>
    <row r="281" spans="1:9">
      <c r="A281" s="15">
        <v>44337</v>
      </c>
      <c r="B281" s="25">
        <v>65.22</v>
      </c>
      <c r="C281" s="25">
        <v>64.180000000000007</v>
      </c>
      <c r="D281" s="25">
        <v>68.55</v>
      </c>
      <c r="E281" s="4"/>
      <c r="F281" s="3">
        <f t="shared" si="12"/>
        <v>0.3</v>
      </c>
      <c r="G281" s="4" t="str">
        <f t="shared" si="13"/>
        <v>Opec Basket</v>
      </c>
      <c r="H281" s="25">
        <f t="shared" si="14"/>
        <v>64.180000000000007</v>
      </c>
      <c r="I281" s="25">
        <v>2.1398999999999999</v>
      </c>
    </row>
    <row r="282" spans="1:9">
      <c r="A282" s="15">
        <v>44336</v>
      </c>
      <c r="B282" s="25">
        <v>64.959999999999994</v>
      </c>
      <c r="C282" s="25">
        <v>65.290000000000006</v>
      </c>
      <c r="D282" s="25">
        <v>68.319999999999993</v>
      </c>
      <c r="E282" s="4"/>
      <c r="F282" s="3">
        <f t="shared" si="12"/>
        <v>0</v>
      </c>
      <c r="G282" s="4" t="str">
        <f t="shared" si="13"/>
        <v>WTI Crude</v>
      </c>
      <c r="H282" s="25">
        <f t="shared" si="14"/>
        <v>64.959999999999994</v>
      </c>
      <c r="I282" s="25">
        <v>2.1334</v>
      </c>
    </row>
    <row r="283" spans="1:9">
      <c r="A283" s="15">
        <v>44335</v>
      </c>
      <c r="B283" s="25">
        <v>64.94</v>
      </c>
      <c r="C283" s="25">
        <v>65.95</v>
      </c>
      <c r="D283" s="25">
        <v>68.28</v>
      </c>
      <c r="E283" s="4"/>
      <c r="F283" s="3">
        <f t="shared" si="12"/>
        <v>0</v>
      </c>
      <c r="G283" s="4" t="str">
        <f t="shared" si="13"/>
        <v>WTI Crude</v>
      </c>
      <c r="H283" s="25">
        <f t="shared" si="14"/>
        <v>64.94</v>
      </c>
      <c r="I283" s="25">
        <v>2.1269</v>
      </c>
    </row>
    <row r="284" spans="1:9">
      <c r="A284" s="15">
        <v>44334</v>
      </c>
      <c r="B284" s="25">
        <v>64.78</v>
      </c>
      <c r="C284" s="25">
        <v>68.39</v>
      </c>
      <c r="D284" s="25">
        <v>68.09</v>
      </c>
      <c r="E284" s="4"/>
      <c r="F284" s="3">
        <f t="shared" si="12"/>
        <v>0</v>
      </c>
      <c r="G284" s="4" t="str">
        <f t="shared" si="13"/>
        <v>WTI Crude</v>
      </c>
      <c r="H284" s="25">
        <f t="shared" si="14"/>
        <v>64.78</v>
      </c>
      <c r="I284" s="25">
        <v>2.1137000000000001</v>
      </c>
    </row>
    <row r="285" spans="1:9">
      <c r="A285" s="15">
        <v>44333</v>
      </c>
      <c r="B285" s="25">
        <v>65.56</v>
      </c>
      <c r="C285" s="25">
        <v>67.52</v>
      </c>
      <c r="D285" s="25">
        <v>68.959999999999994</v>
      </c>
      <c r="E285" s="4"/>
      <c r="F285" s="3">
        <f t="shared" si="12"/>
        <v>0</v>
      </c>
      <c r="G285" s="4" t="str">
        <f t="shared" si="13"/>
        <v>WTI Crude</v>
      </c>
      <c r="H285" s="25">
        <f t="shared" si="14"/>
        <v>65.56</v>
      </c>
      <c r="I285" s="25">
        <v>2.1513</v>
      </c>
    </row>
    <row r="286" spans="1:9">
      <c r="A286" s="15">
        <v>44330</v>
      </c>
      <c r="B286" s="25">
        <v>65.61</v>
      </c>
      <c r="C286" s="25">
        <v>66.16</v>
      </c>
      <c r="D286" s="25">
        <v>68.88</v>
      </c>
      <c r="E286" s="4"/>
      <c r="F286" s="3">
        <f t="shared" si="12"/>
        <v>0</v>
      </c>
      <c r="G286" s="4" t="str">
        <f t="shared" si="13"/>
        <v>WTI Crude</v>
      </c>
      <c r="H286" s="25">
        <f t="shared" si="14"/>
        <v>65.61</v>
      </c>
      <c r="I286" s="25">
        <v>2.1511999999999998</v>
      </c>
    </row>
    <row r="287" spans="1:9">
      <c r="A287" s="15">
        <v>44329</v>
      </c>
      <c r="B287" s="25">
        <v>64.47</v>
      </c>
      <c r="C287" s="25">
        <v>66.78</v>
      </c>
      <c r="D287" s="25">
        <v>67.56</v>
      </c>
      <c r="E287" s="4"/>
      <c r="F287" s="3">
        <f t="shared" si="12"/>
        <v>0</v>
      </c>
      <c r="G287" s="4" t="str">
        <f t="shared" si="13"/>
        <v>WTI Crude</v>
      </c>
      <c r="H287" s="25">
        <f t="shared" si="14"/>
        <v>64.47</v>
      </c>
      <c r="I287" s="25">
        <v>2.1015000000000001</v>
      </c>
    </row>
    <row r="288" spans="1:9">
      <c r="A288" s="15">
        <v>44328</v>
      </c>
      <c r="B288" s="25">
        <v>61.7</v>
      </c>
      <c r="C288" s="25">
        <v>67.459999999999994</v>
      </c>
      <c r="D288" s="25">
        <v>67.25</v>
      </c>
      <c r="E288" s="4"/>
      <c r="F288" s="3">
        <f t="shared" si="12"/>
        <v>0</v>
      </c>
      <c r="G288" s="4" t="str">
        <f t="shared" si="13"/>
        <v>WTI Crude</v>
      </c>
      <c r="H288" s="25">
        <f t="shared" si="14"/>
        <v>61.7</v>
      </c>
      <c r="I288" s="25">
        <v>2.0762999999999998</v>
      </c>
    </row>
    <row r="289" spans="1:9">
      <c r="A289" s="15">
        <v>44327</v>
      </c>
      <c r="B289" s="25">
        <v>61.77</v>
      </c>
      <c r="C289" s="25">
        <v>66.39</v>
      </c>
      <c r="D289" s="25">
        <v>68.56</v>
      </c>
      <c r="E289" s="4"/>
      <c r="F289" s="3">
        <f t="shared" si="12"/>
        <v>0</v>
      </c>
      <c r="G289" s="4" t="str">
        <f t="shared" si="13"/>
        <v>WTI Crude</v>
      </c>
      <c r="H289" s="25">
        <f t="shared" si="14"/>
        <v>61.77</v>
      </c>
      <c r="I289" s="25">
        <v>2.0988000000000002</v>
      </c>
    </row>
    <row r="290" spans="1:9">
      <c r="A290" s="15">
        <v>44326</v>
      </c>
      <c r="B290" s="25">
        <v>61.66</v>
      </c>
      <c r="C290" s="25">
        <v>67.099999999999994</v>
      </c>
      <c r="D290" s="25">
        <v>67.27</v>
      </c>
      <c r="E290" s="4"/>
      <c r="F290" s="3">
        <f t="shared" si="12"/>
        <v>0</v>
      </c>
      <c r="G290" s="4" t="str">
        <f t="shared" si="13"/>
        <v>WTI Crude</v>
      </c>
      <c r="H290" s="25">
        <f t="shared" si="14"/>
        <v>61.66</v>
      </c>
      <c r="I290" s="25">
        <v>2.0743</v>
      </c>
    </row>
    <row r="291" spans="1:9">
      <c r="A291" s="15">
        <v>44323</v>
      </c>
      <c r="B291" s="25">
        <v>61.53</v>
      </c>
      <c r="C291" s="25">
        <v>66.569999999999993</v>
      </c>
      <c r="D291" s="25">
        <v>66.42</v>
      </c>
      <c r="E291" s="4"/>
      <c r="F291" s="3">
        <f t="shared" si="12"/>
        <v>0</v>
      </c>
      <c r="G291" s="4" t="str">
        <f t="shared" si="13"/>
        <v>WTI Crude</v>
      </c>
      <c r="H291" s="25">
        <f t="shared" si="14"/>
        <v>61.53</v>
      </c>
      <c r="I291" s="25">
        <v>2.0287999999999999</v>
      </c>
    </row>
    <row r="292" spans="1:9">
      <c r="A292" s="15">
        <v>44322</v>
      </c>
      <c r="B292" s="25">
        <v>61.33</v>
      </c>
      <c r="C292" s="25">
        <v>67.489999999999995</v>
      </c>
      <c r="D292" s="25">
        <v>65.650000000000006</v>
      </c>
      <c r="E292" s="4"/>
      <c r="F292" s="3">
        <f t="shared" si="12"/>
        <v>0</v>
      </c>
      <c r="G292" s="4" t="str">
        <f t="shared" si="13"/>
        <v>WTI Crude</v>
      </c>
      <c r="H292" s="25">
        <f t="shared" si="14"/>
        <v>61.33</v>
      </c>
      <c r="I292" s="25">
        <v>1.9902</v>
      </c>
    </row>
    <row r="293" spans="1:9">
      <c r="A293" s="15">
        <v>44321</v>
      </c>
      <c r="B293" s="25">
        <v>61.39</v>
      </c>
      <c r="C293" s="25">
        <v>68.2</v>
      </c>
      <c r="D293" s="25">
        <v>66.11</v>
      </c>
      <c r="E293" s="4"/>
      <c r="F293" s="3">
        <f t="shared" si="12"/>
        <v>0</v>
      </c>
      <c r="G293" s="4" t="str">
        <f t="shared" si="13"/>
        <v>WTI Crude</v>
      </c>
      <c r="H293" s="25">
        <f t="shared" si="14"/>
        <v>61.39</v>
      </c>
      <c r="I293" s="25">
        <v>2.0051000000000001</v>
      </c>
    </row>
    <row r="294" spans="1:9">
      <c r="A294" s="15">
        <v>44320</v>
      </c>
      <c r="B294" s="25">
        <v>61.19</v>
      </c>
      <c r="C294" s="25">
        <v>66.67</v>
      </c>
      <c r="D294" s="25">
        <v>65.400000000000006</v>
      </c>
      <c r="E294" s="4"/>
      <c r="F294" s="3">
        <f t="shared" si="12"/>
        <v>0</v>
      </c>
      <c r="G294" s="4" t="str">
        <f t="shared" si="13"/>
        <v>WTI Crude</v>
      </c>
      <c r="H294" s="25">
        <f t="shared" si="14"/>
        <v>61.19</v>
      </c>
      <c r="I294" s="25">
        <v>1.9811000000000001</v>
      </c>
    </row>
    <row r="295" spans="1:9">
      <c r="A295" s="15">
        <v>44319</v>
      </c>
      <c r="B295" s="25">
        <v>61.16</v>
      </c>
      <c r="C295" s="25">
        <v>65.09</v>
      </c>
      <c r="D295" s="25">
        <v>65.319999999999993</v>
      </c>
      <c r="E295" s="4">
        <v>54.78</v>
      </c>
      <c r="F295" s="3">
        <f t="shared" si="12"/>
        <v>1</v>
      </c>
      <c r="G295" s="4" t="str">
        <f t="shared" si="13"/>
        <v>WCS</v>
      </c>
      <c r="H295" s="25">
        <f t="shared" si="14"/>
        <v>54.78</v>
      </c>
      <c r="I295" s="25">
        <v>1.9881</v>
      </c>
    </row>
    <row r="296" spans="1:9">
      <c r="A296" s="15">
        <v>44316</v>
      </c>
      <c r="B296" s="25">
        <v>61.66</v>
      </c>
      <c r="C296" s="25">
        <v>65.42</v>
      </c>
      <c r="D296" s="25">
        <v>66.569999999999993</v>
      </c>
      <c r="E296" s="4"/>
      <c r="F296" s="3">
        <f t="shared" si="12"/>
        <v>0</v>
      </c>
      <c r="G296" s="4" t="str">
        <f t="shared" si="13"/>
        <v>WTI Crude</v>
      </c>
      <c r="H296" s="25">
        <f t="shared" si="14"/>
        <v>61.66</v>
      </c>
      <c r="I296" s="25">
        <v>2.0209000000000001</v>
      </c>
    </row>
    <row r="297" spans="1:9">
      <c r="A297" s="15">
        <v>44315</v>
      </c>
      <c r="B297" s="25">
        <v>62</v>
      </c>
      <c r="C297" s="25">
        <v>65.709999999999994</v>
      </c>
      <c r="D297" s="25">
        <v>67.05</v>
      </c>
      <c r="E297" s="4"/>
      <c r="F297" s="3">
        <f t="shared" si="12"/>
        <v>0</v>
      </c>
      <c r="G297" s="4" t="str">
        <f t="shared" si="13"/>
        <v>WTI Crude</v>
      </c>
      <c r="H297" s="25">
        <f t="shared" si="14"/>
        <v>62</v>
      </c>
      <c r="I297" s="25">
        <v>2.0463</v>
      </c>
    </row>
    <row r="298" spans="1:9">
      <c r="A298" s="15">
        <v>44314</v>
      </c>
      <c r="B298" s="25">
        <v>61.88</v>
      </c>
      <c r="C298" s="25">
        <v>64.53</v>
      </c>
      <c r="D298" s="25">
        <v>66.77</v>
      </c>
      <c r="E298" s="4"/>
      <c r="F298" s="3">
        <f t="shared" si="12"/>
        <v>0</v>
      </c>
      <c r="G298" s="4" t="str">
        <f t="shared" si="13"/>
        <v>WTI Crude</v>
      </c>
      <c r="H298" s="25">
        <f t="shared" si="14"/>
        <v>61.88</v>
      </c>
      <c r="I298" s="25">
        <v>2.0426000000000002</v>
      </c>
    </row>
    <row r="299" spans="1:9">
      <c r="A299" s="15">
        <v>44313</v>
      </c>
      <c r="B299" s="25">
        <v>62.05</v>
      </c>
      <c r="C299" s="25">
        <v>63.91</v>
      </c>
      <c r="D299" s="25">
        <v>66.94</v>
      </c>
      <c r="E299" s="4"/>
      <c r="F299" s="3">
        <f t="shared" si="12"/>
        <v>0</v>
      </c>
      <c r="G299" s="4" t="str">
        <f t="shared" si="13"/>
        <v>WTI Crude</v>
      </c>
      <c r="H299" s="25">
        <f t="shared" si="14"/>
        <v>62.05</v>
      </c>
      <c r="I299" s="25">
        <v>2.0526</v>
      </c>
    </row>
    <row r="300" spans="1:9">
      <c r="A300" s="15">
        <v>44312</v>
      </c>
      <c r="B300" s="25">
        <v>61.88</v>
      </c>
      <c r="C300" s="25">
        <v>63.22</v>
      </c>
      <c r="D300" s="25">
        <v>66.58</v>
      </c>
      <c r="E300" s="4"/>
      <c r="F300" s="3">
        <f t="shared" si="12"/>
        <v>0</v>
      </c>
      <c r="G300" s="4" t="str">
        <f t="shared" si="13"/>
        <v>WTI Crude</v>
      </c>
      <c r="H300" s="25">
        <f t="shared" si="14"/>
        <v>61.88</v>
      </c>
      <c r="I300" s="25">
        <v>2.0409000000000002</v>
      </c>
    </row>
    <row r="301" spans="1:9">
      <c r="A301" s="15">
        <v>44309</v>
      </c>
      <c r="B301" s="25">
        <v>60.04</v>
      </c>
      <c r="C301" s="25">
        <v>63.63</v>
      </c>
      <c r="D301" s="25">
        <v>63.67</v>
      </c>
      <c r="E301" s="4"/>
      <c r="F301" s="3">
        <f t="shared" si="12"/>
        <v>0</v>
      </c>
      <c r="G301" s="4" t="str">
        <f t="shared" si="13"/>
        <v>WTI Crude</v>
      </c>
      <c r="H301" s="25">
        <f t="shared" si="14"/>
        <v>60.04</v>
      </c>
      <c r="I301" s="25">
        <v>1.9757</v>
      </c>
    </row>
    <row r="302" spans="1:9">
      <c r="A302" s="15">
        <v>44308</v>
      </c>
      <c r="B302" s="25">
        <v>59.72</v>
      </c>
      <c r="C302" s="25">
        <v>63.06</v>
      </c>
      <c r="D302" s="25">
        <v>63.28</v>
      </c>
      <c r="E302" s="4"/>
      <c r="F302" s="3">
        <f t="shared" si="12"/>
        <v>0</v>
      </c>
      <c r="G302" s="4" t="str">
        <f t="shared" si="13"/>
        <v>WTI Crude</v>
      </c>
      <c r="H302" s="25">
        <f t="shared" si="14"/>
        <v>59.72</v>
      </c>
      <c r="I302" s="25">
        <v>1.97</v>
      </c>
    </row>
    <row r="303" spans="1:9">
      <c r="A303" s="15">
        <v>44307</v>
      </c>
      <c r="B303" s="25">
        <v>59.44</v>
      </c>
      <c r="C303" s="25">
        <v>64.02</v>
      </c>
      <c r="D303" s="25">
        <v>62.95</v>
      </c>
      <c r="E303" s="4"/>
      <c r="F303" s="3">
        <f t="shared" si="12"/>
        <v>0</v>
      </c>
      <c r="G303" s="4" t="str">
        <f t="shared" si="13"/>
        <v>WTI Crude</v>
      </c>
      <c r="H303" s="25">
        <f t="shared" si="14"/>
        <v>59.44</v>
      </c>
      <c r="I303" s="25">
        <v>1.9621</v>
      </c>
    </row>
    <row r="304" spans="1:9">
      <c r="A304" s="15">
        <v>44306</v>
      </c>
      <c r="B304" s="25">
        <v>59.65</v>
      </c>
      <c r="C304" s="25">
        <v>65.36</v>
      </c>
      <c r="D304" s="25">
        <v>63.2</v>
      </c>
      <c r="E304" s="4"/>
      <c r="F304" s="3">
        <f t="shared" si="12"/>
        <v>0</v>
      </c>
      <c r="G304" s="4" t="str">
        <f t="shared" si="13"/>
        <v>WTI Crude</v>
      </c>
      <c r="H304" s="25">
        <f t="shared" si="14"/>
        <v>59.65</v>
      </c>
      <c r="I304" s="25">
        <v>1.9593</v>
      </c>
    </row>
    <row r="305" spans="1:9">
      <c r="A305" s="15">
        <v>44305</v>
      </c>
      <c r="B305" s="25">
        <v>59.79</v>
      </c>
      <c r="C305" s="25">
        <v>65.099999999999994</v>
      </c>
      <c r="D305" s="25">
        <v>63.16</v>
      </c>
      <c r="E305" s="4"/>
      <c r="F305" s="3">
        <f t="shared" si="12"/>
        <v>0</v>
      </c>
      <c r="G305" s="4" t="str">
        <f t="shared" si="13"/>
        <v>WTI Crude</v>
      </c>
      <c r="H305" s="25">
        <f t="shared" si="14"/>
        <v>59.79</v>
      </c>
      <c r="I305" s="25">
        <v>1.9518</v>
      </c>
    </row>
    <row r="306" spans="1:9">
      <c r="A306" s="15">
        <v>44302</v>
      </c>
      <c r="B306" s="25">
        <v>59.41</v>
      </c>
      <c r="C306" s="25">
        <v>65.209999999999994</v>
      </c>
      <c r="D306" s="25">
        <v>62.74</v>
      </c>
      <c r="E306" s="4"/>
      <c r="F306" s="3">
        <f t="shared" si="12"/>
        <v>0</v>
      </c>
      <c r="G306" s="4" t="str">
        <f t="shared" si="13"/>
        <v>WTI Crude</v>
      </c>
      <c r="H306" s="25">
        <f t="shared" si="14"/>
        <v>59.41</v>
      </c>
      <c r="I306" s="25">
        <v>1.9662999999999999</v>
      </c>
    </row>
    <row r="307" spans="1:9">
      <c r="A307" s="15">
        <v>44301</v>
      </c>
      <c r="B307" s="25">
        <v>58.79</v>
      </c>
      <c r="C307" s="25">
        <v>64.48</v>
      </c>
      <c r="D307" s="25">
        <v>62.15</v>
      </c>
      <c r="E307" s="4"/>
      <c r="F307" s="3">
        <f t="shared" si="12"/>
        <v>0</v>
      </c>
      <c r="G307" s="4" t="str">
        <f t="shared" si="13"/>
        <v>WTI Crude</v>
      </c>
      <c r="H307" s="25">
        <f t="shared" si="14"/>
        <v>58.79</v>
      </c>
      <c r="I307" s="25">
        <v>1.9611000000000001</v>
      </c>
    </row>
    <row r="308" spans="1:9">
      <c r="A308" s="15">
        <v>44300</v>
      </c>
      <c r="B308" s="25">
        <v>61.46</v>
      </c>
      <c r="C308" s="25">
        <v>63.39</v>
      </c>
      <c r="D308" s="25">
        <v>64.86</v>
      </c>
      <c r="E308" s="4"/>
      <c r="F308" s="3">
        <f t="shared" si="12"/>
        <v>0</v>
      </c>
      <c r="G308" s="4" t="str">
        <f t="shared" si="13"/>
        <v>WTI Crude</v>
      </c>
      <c r="H308" s="25">
        <f t="shared" si="14"/>
        <v>61.46</v>
      </c>
      <c r="I308" s="25">
        <v>2.0223</v>
      </c>
    </row>
    <row r="309" spans="1:9">
      <c r="A309" s="15">
        <v>44299</v>
      </c>
      <c r="B309" s="25">
        <v>62.36</v>
      </c>
      <c r="C309" s="25">
        <v>61.85</v>
      </c>
      <c r="D309" s="25">
        <v>63.54</v>
      </c>
      <c r="E309" s="4"/>
      <c r="F309" s="3">
        <f t="shared" si="12"/>
        <v>0.3</v>
      </c>
      <c r="G309" s="4" t="str">
        <f t="shared" si="13"/>
        <v>Opec Basket</v>
      </c>
      <c r="H309" s="25">
        <f t="shared" si="14"/>
        <v>61.85</v>
      </c>
      <c r="I309" s="25">
        <v>1.9597</v>
      </c>
    </row>
    <row r="310" spans="1:9">
      <c r="A310" s="15">
        <v>44298</v>
      </c>
      <c r="B310" s="25">
        <v>62.42</v>
      </c>
      <c r="C310" s="25">
        <v>61.44</v>
      </c>
      <c r="D310" s="25">
        <v>64.14</v>
      </c>
      <c r="E310" s="4"/>
      <c r="F310" s="3">
        <f t="shared" si="12"/>
        <v>0.3</v>
      </c>
      <c r="G310" s="4" t="str">
        <f t="shared" si="13"/>
        <v>Opec Basket</v>
      </c>
      <c r="H310" s="25">
        <f t="shared" si="14"/>
        <v>61.44</v>
      </c>
      <c r="I310" s="25">
        <v>1.9964</v>
      </c>
    </row>
    <row r="311" spans="1:9">
      <c r="A311" s="15">
        <v>44295</v>
      </c>
      <c r="B311" s="25">
        <v>62.51</v>
      </c>
      <c r="C311" s="25">
        <v>61.12</v>
      </c>
      <c r="D311" s="25">
        <v>64.98</v>
      </c>
      <c r="E311" s="4"/>
      <c r="F311" s="3">
        <f t="shared" si="12"/>
        <v>0.3</v>
      </c>
      <c r="G311" s="4" t="str">
        <f t="shared" si="13"/>
        <v>Opec Basket</v>
      </c>
      <c r="H311" s="25">
        <f t="shared" si="14"/>
        <v>61.12</v>
      </c>
      <c r="I311" s="25">
        <v>2.0009000000000001</v>
      </c>
    </row>
    <row r="312" spans="1:9">
      <c r="A312" s="15">
        <v>44294</v>
      </c>
      <c r="B312" s="25">
        <v>62.43</v>
      </c>
      <c r="C312" s="25">
        <v>61.2</v>
      </c>
      <c r="D312" s="25">
        <v>64.569999999999993</v>
      </c>
      <c r="E312" s="4"/>
      <c r="F312" s="3">
        <f t="shared" si="12"/>
        <v>0.3</v>
      </c>
      <c r="G312" s="4" t="str">
        <f t="shared" si="13"/>
        <v>Opec Basket</v>
      </c>
      <c r="H312" s="25">
        <f t="shared" si="14"/>
        <v>61.2</v>
      </c>
      <c r="I312" s="25">
        <v>1.9709000000000001</v>
      </c>
    </row>
    <row r="313" spans="1:9">
      <c r="A313" s="15">
        <v>44293</v>
      </c>
      <c r="B313" s="25">
        <v>62.01</v>
      </c>
      <c r="C313" s="25">
        <v>60.67</v>
      </c>
      <c r="D313" s="25">
        <v>61.95</v>
      </c>
      <c r="E313" s="4"/>
      <c r="F313" s="3">
        <f t="shared" si="12"/>
        <v>0.3</v>
      </c>
      <c r="G313" s="4" t="str">
        <f t="shared" si="13"/>
        <v>Opec Basket</v>
      </c>
      <c r="H313" s="25">
        <f t="shared" si="14"/>
        <v>60.67</v>
      </c>
      <c r="I313" s="25">
        <v>1.9196</v>
      </c>
    </row>
    <row r="314" spans="1:9">
      <c r="A314" s="15">
        <v>44292</v>
      </c>
      <c r="B314" s="25">
        <v>62.58</v>
      </c>
      <c r="C314" s="25">
        <v>61.31</v>
      </c>
      <c r="D314" s="25">
        <v>64.41</v>
      </c>
      <c r="E314" s="4"/>
      <c r="F314" s="3">
        <f t="shared" si="12"/>
        <v>0.3</v>
      </c>
      <c r="G314" s="4" t="str">
        <f t="shared" si="13"/>
        <v>Opec Basket</v>
      </c>
      <c r="H314" s="25">
        <f t="shared" si="14"/>
        <v>61.31</v>
      </c>
      <c r="I314" s="25">
        <v>1.9875</v>
      </c>
    </row>
    <row r="315" spans="1:9">
      <c r="A315" s="15">
        <v>44291</v>
      </c>
      <c r="B315" s="25">
        <v>61.69</v>
      </c>
      <c r="C315" s="25">
        <v>61.68</v>
      </c>
      <c r="D315" s="25">
        <v>60.79</v>
      </c>
      <c r="E315" s="4"/>
      <c r="F315" s="3">
        <f t="shared" si="12"/>
        <v>0.75</v>
      </c>
      <c r="G315" s="4" t="str">
        <f t="shared" si="13"/>
        <v>Brent Crude</v>
      </c>
      <c r="H315" s="25">
        <f t="shared" si="14"/>
        <v>60.79</v>
      </c>
      <c r="I315" s="25">
        <v>1.8958999999999999</v>
      </c>
    </row>
    <row r="316" spans="1:9">
      <c r="A316" s="15">
        <v>44287</v>
      </c>
      <c r="B316" s="25">
        <v>62.84</v>
      </c>
      <c r="C316" s="25">
        <v>61.75</v>
      </c>
      <c r="D316" s="25">
        <v>64.62</v>
      </c>
      <c r="E316" s="4">
        <v>50.51</v>
      </c>
      <c r="F316" s="3">
        <f t="shared" si="12"/>
        <v>1</v>
      </c>
      <c r="G316" s="4" t="str">
        <f t="shared" si="13"/>
        <v>WCS</v>
      </c>
      <c r="H316" s="25">
        <f t="shared" si="14"/>
        <v>50.51</v>
      </c>
      <c r="I316" s="25">
        <v>1.9583999999999999</v>
      </c>
    </row>
    <row r="317" spans="1:9">
      <c r="A317" s="15">
        <v>44286</v>
      </c>
      <c r="B317" s="25">
        <v>62.8</v>
      </c>
      <c r="C317" s="25">
        <v>63.07</v>
      </c>
      <c r="D317" s="25">
        <v>64.53</v>
      </c>
      <c r="E317" s="4"/>
      <c r="F317" s="3">
        <f t="shared" si="12"/>
        <v>0</v>
      </c>
      <c r="G317" s="4" t="str">
        <f t="shared" si="13"/>
        <v>WTI Crude</v>
      </c>
      <c r="H317" s="25">
        <f t="shared" si="14"/>
        <v>62.8</v>
      </c>
      <c r="I317" s="25">
        <v>1.9437</v>
      </c>
    </row>
    <row r="318" spans="1:9">
      <c r="A318" s="15">
        <v>44285</v>
      </c>
      <c r="B318" s="25">
        <v>62.26</v>
      </c>
      <c r="C318" s="25">
        <v>63.37</v>
      </c>
      <c r="D318" s="25">
        <v>63.28</v>
      </c>
      <c r="E318" s="4"/>
      <c r="F318" s="3">
        <f t="shared" si="12"/>
        <v>0</v>
      </c>
      <c r="G318" s="4" t="str">
        <f t="shared" si="13"/>
        <v>WTI Crude</v>
      </c>
      <c r="H318" s="25">
        <f t="shared" si="14"/>
        <v>62.26</v>
      </c>
      <c r="I318" s="25">
        <v>1.9407000000000001</v>
      </c>
    </row>
    <row r="319" spans="1:9">
      <c r="A319" s="15">
        <v>44284</v>
      </c>
      <c r="B319" s="25">
        <v>64.25</v>
      </c>
      <c r="C319" s="25">
        <v>62.86</v>
      </c>
      <c r="D319" s="25">
        <v>68</v>
      </c>
      <c r="E319" s="4"/>
      <c r="F319" s="3">
        <f t="shared" si="12"/>
        <v>0.3</v>
      </c>
      <c r="G319" s="4" t="str">
        <f t="shared" si="13"/>
        <v>Opec Basket</v>
      </c>
      <c r="H319" s="25">
        <f t="shared" si="14"/>
        <v>62.86</v>
      </c>
      <c r="I319" s="25">
        <v>2.0474999999999999</v>
      </c>
    </row>
    <row r="320" spans="1:9">
      <c r="A320" s="15">
        <v>44281</v>
      </c>
      <c r="B320" s="25">
        <v>64.349999999999994</v>
      </c>
      <c r="C320" s="25">
        <v>62.56</v>
      </c>
      <c r="D320" s="25">
        <v>68.39</v>
      </c>
      <c r="E320" s="4"/>
      <c r="F320" s="3">
        <f t="shared" si="12"/>
        <v>0.3</v>
      </c>
      <c r="G320" s="4" t="str">
        <f t="shared" si="13"/>
        <v>Opec Basket</v>
      </c>
      <c r="H320" s="25">
        <f t="shared" si="14"/>
        <v>62.56</v>
      </c>
      <c r="I320" s="25">
        <v>2.0956999999999999</v>
      </c>
    </row>
    <row r="321" spans="1:9">
      <c r="A321" s="15">
        <v>44280</v>
      </c>
      <c r="B321" s="25">
        <v>64.66</v>
      </c>
      <c r="C321" s="25">
        <v>61.63</v>
      </c>
      <c r="D321" s="25">
        <v>68.88</v>
      </c>
      <c r="E321" s="4"/>
      <c r="F321" s="3">
        <f t="shared" si="12"/>
        <v>0.3</v>
      </c>
      <c r="G321" s="4" t="str">
        <f t="shared" si="13"/>
        <v>Opec Basket</v>
      </c>
      <c r="H321" s="25">
        <f t="shared" si="14"/>
        <v>61.63</v>
      </c>
      <c r="I321" s="25">
        <v>2.0994000000000002</v>
      </c>
    </row>
    <row r="322" spans="1:9">
      <c r="A322" s="15">
        <v>44279</v>
      </c>
      <c r="B322" s="25">
        <v>64.78</v>
      </c>
      <c r="C322" s="25">
        <v>61.61</v>
      </c>
      <c r="D322" s="25">
        <v>69.22</v>
      </c>
      <c r="E322" s="4"/>
      <c r="F322" s="3">
        <f t="shared" ref="F322:F385" si="15">IF(MIN(B322:E322)=B322,0,IF(MIN(B322:E322)=C322,0.3,IF(MIN(B322:E322)=D322,0.75,IF(MIN(B322:E322)=E322,1,))))</f>
        <v>0.3</v>
      </c>
      <c r="G322" s="4" t="str">
        <f t="shared" ref="G322:G385" si="16">IF(MIN(B322:E322)=B322,$B$1,IF(MIN(B322:E322)=C322,$C$1,IF(MIN(B322:E322)=D322,$D$1,IF(MIN(B322:E322)=E322,$E$1,))))</f>
        <v>Opec Basket</v>
      </c>
      <c r="H322" s="25">
        <f t="shared" ref="H322:H385" si="17">IF(MIN(B322:E322)=B322,B322,IF(MIN(B322:E322)=C322,C322,IF(MIN(B322:E322)=D322,D322,IF(MIN(B322:E322)=E322,E322,))))</f>
        <v>61.61</v>
      </c>
      <c r="I322" s="25">
        <v>2.1347999999999998</v>
      </c>
    </row>
    <row r="323" spans="1:9">
      <c r="A323" s="15">
        <v>44278</v>
      </c>
      <c r="B323" s="25">
        <v>65.010000000000005</v>
      </c>
      <c r="C323" s="25">
        <v>62.27</v>
      </c>
      <c r="D323" s="25">
        <v>69.63</v>
      </c>
      <c r="E323" s="4"/>
      <c r="F323" s="3">
        <f t="shared" si="15"/>
        <v>0.3</v>
      </c>
      <c r="G323" s="4" t="str">
        <f t="shared" si="16"/>
        <v>Opec Basket</v>
      </c>
      <c r="H323" s="25">
        <f t="shared" si="17"/>
        <v>62.27</v>
      </c>
      <c r="I323" s="25">
        <v>2.1273</v>
      </c>
    </row>
    <row r="324" spans="1:9">
      <c r="A324" s="15">
        <v>44277</v>
      </c>
      <c r="B324" s="25">
        <v>63.98</v>
      </c>
      <c r="C324" s="25">
        <v>63.22</v>
      </c>
      <c r="D324" s="25">
        <v>67.900000000000006</v>
      </c>
      <c r="E324" s="4"/>
      <c r="F324" s="3">
        <f t="shared" si="15"/>
        <v>0.3</v>
      </c>
      <c r="G324" s="4" t="str">
        <f t="shared" si="16"/>
        <v>Opec Basket</v>
      </c>
      <c r="H324" s="25">
        <f t="shared" si="17"/>
        <v>63.22</v>
      </c>
      <c r="I324" s="25">
        <v>2.0747</v>
      </c>
    </row>
    <row r="325" spans="1:9">
      <c r="A325" s="15">
        <v>44274</v>
      </c>
      <c r="B325" s="25">
        <v>63.68</v>
      </c>
      <c r="C325" s="25">
        <v>62.47</v>
      </c>
      <c r="D325" s="25">
        <v>67.52</v>
      </c>
      <c r="E325" s="4"/>
      <c r="F325" s="3">
        <f t="shared" si="15"/>
        <v>0.3</v>
      </c>
      <c r="G325" s="4" t="str">
        <f t="shared" si="16"/>
        <v>Opec Basket</v>
      </c>
      <c r="H325" s="25">
        <f t="shared" si="17"/>
        <v>62.47</v>
      </c>
      <c r="I325" s="25">
        <v>2.0501999999999998</v>
      </c>
    </row>
    <row r="326" spans="1:9">
      <c r="A326" s="15">
        <v>44273</v>
      </c>
      <c r="B326" s="25">
        <v>64.42</v>
      </c>
      <c r="C326" s="25">
        <v>64.790000000000006</v>
      </c>
      <c r="D326" s="25">
        <v>68.239999999999995</v>
      </c>
      <c r="E326" s="4"/>
      <c r="F326" s="3">
        <f t="shared" si="15"/>
        <v>0</v>
      </c>
      <c r="G326" s="4" t="str">
        <f t="shared" si="16"/>
        <v>WTI Crude</v>
      </c>
      <c r="H326" s="25">
        <f t="shared" si="17"/>
        <v>64.42</v>
      </c>
      <c r="I326" s="25">
        <v>2.0487000000000002</v>
      </c>
    </row>
    <row r="327" spans="1:9">
      <c r="A327" s="15">
        <v>44272</v>
      </c>
      <c r="B327" s="25">
        <v>65.22</v>
      </c>
      <c r="C327" s="25">
        <v>66.760000000000005</v>
      </c>
      <c r="D327" s="25">
        <v>69.36</v>
      </c>
      <c r="E327" s="4"/>
      <c r="F327" s="3">
        <f t="shared" si="15"/>
        <v>0</v>
      </c>
      <c r="G327" s="4" t="str">
        <f t="shared" si="16"/>
        <v>WTI Crude</v>
      </c>
      <c r="H327" s="25">
        <f t="shared" si="17"/>
        <v>65.22</v>
      </c>
      <c r="I327" s="25">
        <v>2.0647000000000002</v>
      </c>
    </row>
    <row r="328" spans="1:9">
      <c r="A328" s="15">
        <v>44271</v>
      </c>
      <c r="B328" s="25">
        <v>63.34</v>
      </c>
      <c r="C328" s="25">
        <v>66.89</v>
      </c>
      <c r="D328" s="25">
        <v>66.739999999999995</v>
      </c>
      <c r="E328" s="4"/>
      <c r="F328" s="3">
        <f t="shared" si="15"/>
        <v>0</v>
      </c>
      <c r="G328" s="4" t="str">
        <f t="shared" si="16"/>
        <v>WTI Crude</v>
      </c>
      <c r="H328" s="25">
        <f t="shared" si="17"/>
        <v>63.34</v>
      </c>
      <c r="I328" s="25">
        <v>1.9979</v>
      </c>
    </row>
    <row r="329" spans="1:9">
      <c r="A329" s="15">
        <v>44270</v>
      </c>
      <c r="B329" s="25">
        <v>61.13</v>
      </c>
      <c r="C329" s="25">
        <v>68.180000000000007</v>
      </c>
      <c r="D329" s="25">
        <v>64.069999999999993</v>
      </c>
      <c r="E329" s="4"/>
      <c r="F329" s="3">
        <f t="shared" si="15"/>
        <v>0</v>
      </c>
      <c r="G329" s="4" t="str">
        <f t="shared" si="16"/>
        <v>WTI Crude</v>
      </c>
      <c r="H329" s="25">
        <f t="shared" si="17"/>
        <v>61.13</v>
      </c>
      <c r="I329" s="25">
        <v>1.9518</v>
      </c>
    </row>
    <row r="330" spans="1:9">
      <c r="A330" s="15">
        <v>44267</v>
      </c>
      <c r="B330" s="25">
        <v>59.73</v>
      </c>
      <c r="C330" s="25">
        <v>68.14</v>
      </c>
      <c r="D330" s="25">
        <v>62.7</v>
      </c>
      <c r="E330" s="4"/>
      <c r="F330" s="3">
        <f t="shared" si="15"/>
        <v>0</v>
      </c>
      <c r="G330" s="4" t="str">
        <f t="shared" si="16"/>
        <v>WTI Crude</v>
      </c>
      <c r="H330" s="25">
        <f t="shared" si="17"/>
        <v>59.73</v>
      </c>
      <c r="I330" s="25">
        <v>1.9363999999999999</v>
      </c>
    </row>
    <row r="331" spans="1:9">
      <c r="A331" s="15">
        <v>44266</v>
      </c>
      <c r="B331" s="25">
        <v>60.57</v>
      </c>
      <c r="C331" s="25">
        <v>67.39</v>
      </c>
      <c r="D331" s="25">
        <v>63.69</v>
      </c>
      <c r="E331" s="4"/>
      <c r="F331" s="3">
        <f t="shared" si="15"/>
        <v>0</v>
      </c>
      <c r="G331" s="4" t="str">
        <f t="shared" si="16"/>
        <v>WTI Crude</v>
      </c>
      <c r="H331" s="25">
        <f t="shared" si="17"/>
        <v>60.57</v>
      </c>
      <c r="I331" s="25">
        <v>1.9429000000000001</v>
      </c>
    </row>
    <row r="332" spans="1:9">
      <c r="A332" s="15">
        <v>44265</v>
      </c>
      <c r="B332" s="25">
        <v>59.06</v>
      </c>
      <c r="C332" s="25">
        <v>65.599999999999994</v>
      </c>
      <c r="D332" s="25">
        <v>66.13</v>
      </c>
      <c r="E332" s="4"/>
      <c r="F332" s="3">
        <f t="shared" si="15"/>
        <v>0</v>
      </c>
      <c r="G332" s="4" t="str">
        <f t="shared" si="16"/>
        <v>WTI Crude</v>
      </c>
      <c r="H332" s="25">
        <f t="shared" si="17"/>
        <v>59.06</v>
      </c>
      <c r="I332" s="25">
        <v>1.9504999999999999</v>
      </c>
    </row>
    <row r="333" spans="1:9">
      <c r="A333" s="15">
        <v>44264</v>
      </c>
      <c r="B333" s="25">
        <v>59.17</v>
      </c>
      <c r="C333" s="25">
        <v>66.38</v>
      </c>
      <c r="D333" s="25">
        <v>66.88</v>
      </c>
      <c r="E333" s="4"/>
      <c r="F333" s="3">
        <f t="shared" si="15"/>
        <v>0</v>
      </c>
      <c r="G333" s="4" t="str">
        <f t="shared" si="16"/>
        <v>WTI Crude</v>
      </c>
      <c r="H333" s="25">
        <f t="shared" si="17"/>
        <v>59.17</v>
      </c>
      <c r="I333" s="25">
        <v>1.9763999999999999</v>
      </c>
    </row>
    <row r="334" spans="1:9">
      <c r="A334" s="15">
        <v>44263</v>
      </c>
      <c r="B334" s="25">
        <v>59.14</v>
      </c>
      <c r="C334" s="25">
        <v>68.17</v>
      </c>
      <c r="D334" s="25">
        <v>67.040000000000006</v>
      </c>
      <c r="E334" s="4"/>
      <c r="F334" s="3">
        <f t="shared" si="15"/>
        <v>0</v>
      </c>
      <c r="G334" s="4" t="str">
        <f t="shared" si="16"/>
        <v>WTI Crude</v>
      </c>
      <c r="H334" s="25">
        <f t="shared" si="17"/>
        <v>59.14</v>
      </c>
      <c r="I334" s="25">
        <v>1.9777</v>
      </c>
    </row>
    <row r="335" spans="1:9">
      <c r="A335" s="15">
        <v>44260</v>
      </c>
      <c r="B335" s="25">
        <v>58.89</v>
      </c>
      <c r="C335" s="25">
        <v>67.03</v>
      </c>
      <c r="D335" s="25">
        <v>65.37</v>
      </c>
      <c r="E335" s="4"/>
      <c r="F335" s="3">
        <f t="shared" si="15"/>
        <v>0</v>
      </c>
      <c r="G335" s="4" t="str">
        <f t="shared" si="16"/>
        <v>WTI Crude</v>
      </c>
      <c r="H335" s="25">
        <f t="shared" si="17"/>
        <v>58.89</v>
      </c>
      <c r="I335" s="25">
        <v>1.9424999999999999</v>
      </c>
    </row>
    <row r="336" spans="1:9">
      <c r="A336" s="15">
        <v>44259</v>
      </c>
      <c r="B336" s="25">
        <v>58.9</v>
      </c>
      <c r="C336" s="25">
        <v>64.23</v>
      </c>
      <c r="D336" s="25">
        <v>65.239999999999995</v>
      </c>
      <c r="E336" s="4"/>
      <c r="F336" s="3">
        <f t="shared" si="15"/>
        <v>0</v>
      </c>
      <c r="G336" s="4" t="str">
        <f t="shared" si="16"/>
        <v>WTI Crude</v>
      </c>
      <c r="H336" s="25">
        <f t="shared" si="17"/>
        <v>58.9</v>
      </c>
      <c r="I336" s="25">
        <v>1.9309000000000001</v>
      </c>
    </row>
    <row r="337" spans="1:9">
      <c r="A337" s="15">
        <v>44258</v>
      </c>
      <c r="B337" s="25">
        <v>58.26</v>
      </c>
      <c r="C337" s="25">
        <v>62.12</v>
      </c>
      <c r="D337" s="25">
        <v>62.91</v>
      </c>
      <c r="E337" s="4"/>
      <c r="F337" s="3">
        <f t="shared" si="15"/>
        <v>0</v>
      </c>
      <c r="G337" s="4" t="str">
        <f t="shared" si="16"/>
        <v>WTI Crude</v>
      </c>
      <c r="H337" s="25">
        <f t="shared" si="17"/>
        <v>58.26</v>
      </c>
      <c r="I337" s="25">
        <v>1.8889</v>
      </c>
    </row>
    <row r="338" spans="1:9">
      <c r="A338" s="15">
        <v>44257</v>
      </c>
      <c r="B338" s="25">
        <v>58.67</v>
      </c>
      <c r="C338" s="25">
        <v>61.94</v>
      </c>
      <c r="D338" s="25">
        <v>63.93</v>
      </c>
      <c r="E338" s="4"/>
      <c r="F338" s="3">
        <f t="shared" si="15"/>
        <v>0</v>
      </c>
      <c r="G338" s="4" t="str">
        <f t="shared" si="16"/>
        <v>WTI Crude</v>
      </c>
      <c r="H338" s="25">
        <f t="shared" si="17"/>
        <v>58.67</v>
      </c>
      <c r="I338" s="25">
        <v>1.8872</v>
      </c>
    </row>
    <row r="339" spans="1:9">
      <c r="A339" s="15">
        <v>44256</v>
      </c>
      <c r="B339" s="25">
        <v>58.9</v>
      </c>
      <c r="C339" s="25">
        <v>64.209999999999994</v>
      </c>
      <c r="D339" s="25">
        <v>64.34</v>
      </c>
      <c r="E339" s="4">
        <v>50.94</v>
      </c>
      <c r="F339" s="3">
        <f t="shared" si="15"/>
        <v>1</v>
      </c>
      <c r="G339" s="4" t="str">
        <f t="shared" si="16"/>
        <v>WCS</v>
      </c>
      <c r="H339" s="25">
        <f t="shared" si="17"/>
        <v>50.94</v>
      </c>
      <c r="I339" s="25">
        <v>1.8937999999999999</v>
      </c>
    </row>
    <row r="340" spans="1:9">
      <c r="A340" s="15">
        <v>44253</v>
      </c>
      <c r="B340" s="25">
        <v>58.44</v>
      </c>
      <c r="C340" s="25">
        <v>64.37</v>
      </c>
      <c r="D340" s="25">
        <v>63.35</v>
      </c>
      <c r="E340" s="4"/>
      <c r="F340" s="3">
        <f t="shared" si="15"/>
        <v>0</v>
      </c>
      <c r="G340" s="4" t="str">
        <f t="shared" si="16"/>
        <v>WTI Crude</v>
      </c>
      <c r="H340" s="25">
        <f t="shared" si="17"/>
        <v>58.44</v>
      </c>
      <c r="I340" s="25">
        <v>1.8636999999999999</v>
      </c>
    </row>
    <row r="341" spans="1:9">
      <c r="A341" s="15">
        <v>44252</v>
      </c>
      <c r="B341" s="25">
        <v>58.14</v>
      </c>
      <c r="C341" s="25">
        <v>65.42</v>
      </c>
      <c r="D341" s="25">
        <v>62.43</v>
      </c>
      <c r="E341" s="4"/>
      <c r="F341" s="3">
        <f t="shared" si="15"/>
        <v>0</v>
      </c>
      <c r="G341" s="4" t="str">
        <f t="shared" si="16"/>
        <v>WTI Crude</v>
      </c>
      <c r="H341" s="25">
        <f t="shared" si="17"/>
        <v>58.14</v>
      </c>
      <c r="I341" s="25">
        <v>1.8139000000000001</v>
      </c>
    </row>
    <row r="342" spans="1:9">
      <c r="A342" s="15">
        <v>44251</v>
      </c>
      <c r="B342" s="25">
        <v>57.49</v>
      </c>
      <c r="C342" s="25">
        <v>64</v>
      </c>
      <c r="D342" s="25">
        <v>61.14</v>
      </c>
      <c r="E342" s="4"/>
      <c r="F342" s="3">
        <f t="shared" si="15"/>
        <v>0</v>
      </c>
      <c r="G342" s="4" t="str">
        <f t="shared" si="16"/>
        <v>WTI Crude</v>
      </c>
      <c r="H342" s="25">
        <f t="shared" si="17"/>
        <v>57.49</v>
      </c>
      <c r="I342" s="25">
        <v>1.7786</v>
      </c>
    </row>
    <row r="343" spans="1:9">
      <c r="A343" s="15">
        <v>44250</v>
      </c>
      <c r="B343" s="25">
        <v>57.74</v>
      </c>
      <c r="C343" s="25">
        <v>63.73</v>
      </c>
      <c r="D343" s="25">
        <v>61.47</v>
      </c>
      <c r="E343" s="4"/>
      <c r="F343" s="3">
        <f t="shared" si="15"/>
        <v>0</v>
      </c>
      <c r="G343" s="4" t="str">
        <f t="shared" si="16"/>
        <v>WTI Crude</v>
      </c>
      <c r="H343" s="25">
        <f t="shared" si="17"/>
        <v>57.74</v>
      </c>
      <c r="I343" s="25">
        <v>1.7841</v>
      </c>
    </row>
    <row r="344" spans="1:9">
      <c r="A344" s="15">
        <v>44249</v>
      </c>
      <c r="B344" s="25">
        <v>57.54</v>
      </c>
      <c r="C344" s="25">
        <v>62.01</v>
      </c>
      <c r="D344" s="25">
        <v>61.09</v>
      </c>
      <c r="E344" s="4"/>
      <c r="F344" s="3">
        <f t="shared" si="15"/>
        <v>0</v>
      </c>
      <c r="G344" s="4" t="str">
        <f t="shared" si="16"/>
        <v>WTI Crude</v>
      </c>
      <c r="H344" s="25">
        <f t="shared" si="17"/>
        <v>57.54</v>
      </c>
      <c r="I344" s="25">
        <v>1.6736</v>
      </c>
    </row>
    <row r="345" spans="1:9">
      <c r="A345" s="15">
        <v>44246</v>
      </c>
      <c r="B345" s="25">
        <v>57.27</v>
      </c>
      <c r="C345" s="25">
        <v>61.32</v>
      </c>
      <c r="D345" s="25">
        <v>60.56</v>
      </c>
      <c r="E345" s="4"/>
      <c r="F345" s="3">
        <f t="shared" si="15"/>
        <v>0</v>
      </c>
      <c r="G345" s="4" t="str">
        <f t="shared" si="16"/>
        <v>WTI Crude</v>
      </c>
      <c r="H345" s="25">
        <f t="shared" si="17"/>
        <v>57.27</v>
      </c>
      <c r="I345" s="25">
        <v>1.6748000000000001</v>
      </c>
    </row>
    <row r="346" spans="1:9">
      <c r="A346" s="15">
        <v>44245</v>
      </c>
      <c r="B346" s="25">
        <v>56.44</v>
      </c>
      <c r="C346" s="25">
        <v>63.44</v>
      </c>
      <c r="D346" s="25">
        <v>59.34</v>
      </c>
      <c r="E346" s="4"/>
      <c r="F346" s="3">
        <f t="shared" si="15"/>
        <v>0</v>
      </c>
      <c r="G346" s="4" t="str">
        <f t="shared" si="16"/>
        <v>WTI Crude</v>
      </c>
      <c r="H346" s="25">
        <f t="shared" si="17"/>
        <v>56.44</v>
      </c>
      <c r="I346" s="25">
        <v>1.6493</v>
      </c>
    </row>
    <row r="347" spans="1:9">
      <c r="A347" s="15">
        <v>44244</v>
      </c>
      <c r="B347" s="25">
        <v>55.95</v>
      </c>
      <c r="C347" s="25">
        <v>63.06</v>
      </c>
      <c r="D347" s="25">
        <v>58.84</v>
      </c>
      <c r="E347" s="4"/>
      <c r="F347" s="3">
        <f t="shared" si="15"/>
        <v>0</v>
      </c>
      <c r="G347" s="4" t="str">
        <f t="shared" si="16"/>
        <v>WTI Crude</v>
      </c>
      <c r="H347" s="25">
        <f t="shared" si="17"/>
        <v>55.95</v>
      </c>
      <c r="I347" s="25">
        <v>1.6448</v>
      </c>
    </row>
    <row r="348" spans="1:9">
      <c r="A348" s="15">
        <v>44243</v>
      </c>
      <c r="B348" s="25">
        <v>55.5</v>
      </c>
      <c r="C348" s="25">
        <v>62.49</v>
      </c>
      <c r="D348" s="25">
        <v>58.46</v>
      </c>
      <c r="E348" s="4"/>
      <c r="F348" s="3">
        <f t="shared" si="15"/>
        <v>0</v>
      </c>
      <c r="G348" s="4" t="str">
        <f t="shared" si="16"/>
        <v>WTI Crude</v>
      </c>
      <c r="H348" s="25">
        <f t="shared" si="17"/>
        <v>55.5</v>
      </c>
      <c r="I348" s="25">
        <v>1.6486000000000001</v>
      </c>
    </row>
    <row r="349" spans="1:9">
      <c r="A349" s="15">
        <v>44242</v>
      </c>
      <c r="B349" s="25">
        <v>54.67</v>
      </c>
      <c r="C349" s="25">
        <v>62.61</v>
      </c>
      <c r="D349" s="25">
        <v>57.46</v>
      </c>
      <c r="E349" s="4"/>
      <c r="F349" s="3">
        <f t="shared" si="15"/>
        <v>0</v>
      </c>
      <c r="G349" s="4" t="str">
        <f t="shared" si="16"/>
        <v>WTI Crude</v>
      </c>
      <c r="H349" s="25">
        <f t="shared" si="17"/>
        <v>54.67</v>
      </c>
      <c r="I349" s="25">
        <v>1.6160000000000001</v>
      </c>
    </row>
    <row r="350" spans="1:9">
      <c r="A350" s="15">
        <v>44239</v>
      </c>
      <c r="B350" s="25">
        <v>53.52</v>
      </c>
      <c r="C350" s="25">
        <v>60.79</v>
      </c>
      <c r="D350" s="25">
        <v>56.35</v>
      </c>
      <c r="E350" s="4"/>
      <c r="F350" s="3">
        <f t="shared" si="15"/>
        <v>0</v>
      </c>
      <c r="G350" s="4" t="str">
        <f t="shared" si="16"/>
        <v>WTI Crude</v>
      </c>
      <c r="H350" s="25">
        <f t="shared" si="17"/>
        <v>53.52</v>
      </c>
      <c r="I350" s="25">
        <v>1.5901000000000001</v>
      </c>
    </row>
    <row r="351" spans="1:9">
      <c r="A351" s="15">
        <v>44238</v>
      </c>
      <c r="B351" s="25">
        <v>52.1</v>
      </c>
      <c r="C351" s="25">
        <v>60.55</v>
      </c>
      <c r="D351" s="25">
        <v>55.88</v>
      </c>
      <c r="E351" s="4"/>
      <c r="F351" s="3">
        <f t="shared" si="15"/>
        <v>0</v>
      </c>
      <c r="G351" s="4" t="str">
        <f t="shared" si="16"/>
        <v>WTI Crude</v>
      </c>
      <c r="H351" s="25">
        <f t="shared" si="17"/>
        <v>52.1</v>
      </c>
      <c r="I351" s="25">
        <v>1.5527</v>
      </c>
    </row>
    <row r="352" spans="1:9">
      <c r="A352" s="15">
        <v>44237</v>
      </c>
      <c r="B352" s="25">
        <v>52.11</v>
      </c>
      <c r="C352" s="25">
        <v>60.47</v>
      </c>
      <c r="D352" s="25">
        <v>55.53</v>
      </c>
      <c r="E352" s="4"/>
      <c r="F352" s="3">
        <f t="shared" si="15"/>
        <v>0</v>
      </c>
      <c r="G352" s="4" t="str">
        <f t="shared" si="16"/>
        <v>WTI Crude</v>
      </c>
      <c r="H352" s="25">
        <f t="shared" si="17"/>
        <v>52.11</v>
      </c>
      <c r="I352" s="25">
        <v>1.5753999999999999</v>
      </c>
    </row>
    <row r="353" spans="1:9">
      <c r="A353" s="15">
        <v>44236</v>
      </c>
      <c r="B353" s="25">
        <v>52.16</v>
      </c>
      <c r="C353" s="25">
        <v>60.3</v>
      </c>
      <c r="D353" s="25">
        <v>55.81</v>
      </c>
      <c r="E353" s="4"/>
      <c r="F353" s="3">
        <f t="shared" si="15"/>
        <v>0</v>
      </c>
      <c r="G353" s="4" t="str">
        <f t="shared" si="16"/>
        <v>WTI Crude</v>
      </c>
      <c r="H353" s="25">
        <f t="shared" si="17"/>
        <v>52.16</v>
      </c>
      <c r="I353" s="25">
        <v>1.5716000000000001</v>
      </c>
    </row>
    <row r="354" spans="1:9">
      <c r="A354" s="15">
        <v>44235</v>
      </c>
      <c r="B354" s="25">
        <v>52.13</v>
      </c>
      <c r="C354" s="25">
        <v>59.59</v>
      </c>
      <c r="D354" s="25">
        <v>55.91</v>
      </c>
      <c r="E354" s="4"/>
      <c r="F354" s="3">
        <f t="shared" si="15"/>
        <v>0</v>
      </c>
      <c r="G354" s="4" t="str">
        <f t="shared" si="16"/>
        <v>WTI Crude</v>
      </c>
      <c r="H354" s="25">
        <f t="shared" si="17"/>
        <v>52.13</v>
      </c>
      <c r="I354" s="25">
        <v>1.5748</v>
      </c>
    </row>
    <row r="355" spans="1:9">
      <c r="A355" s="15">
        <v>44232</v>
      </c>
      <c r="B355" s="25">
        <v>52.16</v>
      </c>
      <c r="C355" s="25">
        <v>58.94</v>
      </c>
      <c r="D355" s="25">
        <v>55.88</v>
      </c>
      <c r="E355" s="4"/>
      <c r="F355" s="3">
        <f t="shared" si="15"/>
        <v>0</v>
      </c>
      <c r="G355" s="4" t="str">
        <f t="shared" si="16"/>
        <v>WTI Crude</v>
      </c>
      <c r="H355" s="25">
        <f t="shared" si="17"/>
        <v>52.16</v>
      </c>
      <c r="I355" s="25">
        <v>1.5579000000000001</v>
      </c>
    </row>
    <row r="356" spans="1:9">
      <c r="A356" s="15">
        <v>44231</v>
      </c>
      <c r="B356" s="25">
        <v>52.03</v>
      </c>
      <c r="C356" s="25">
        <v>58.26</v>
      </c>
      <c r="D356" s="25">
        <v>55.41</v>
      </c>
      <c r="E356" s="4"/>
      <c r="F356" s="3">
        <f t="shared" si="15"/>
        <v>0</v>
      </c>
      <c r="G356" s="4" t="str">
        <f t="shared" si="16"/>
        <v>WTI Crude</v>
      </c>
      <c r="H356" s="25">
        <f t="shared" si="17"/>
        <v>52.03</v>
      </c>
      <c r="I356" s="25">
        <v>1.5449999999999999</v>
      </c>
    </row>
    <row r="357" spans="1:9">
      <c r="A357" s="15">
        <v>44230</v>
      </c>
      <c r="B357" s="25">
        <v>52.3</v>
      </c>
      <c r="C357" s="25">
        <v>57.74</v>
      </c>
      <c r="D357" s="25">
        <v>56.1</v>
      </c>
      <c r="E357" s="4"/>
      <c r="F357" s="3">
        <f t="shared" si="15"/>
        <v>0</v>
      </c>
      <c r="G357" s="4" t="str">
        <f t="shared" si="16"/>
        <v>WTI Crude</v>
      </c>
      <c r="H357" s="25">
        <f t="shared" si="17"/>
        <v>52.3</v>
      </c>
      <c r="I357" s="25">
        <v>1.5471999999999999</v>
      </c>
    </row>
    <row r="358" spans="1:9">
      <c r="A358" s="15">
        <v>44229</v>
      </c>
      <c r="B358" s="25">
        <v>52.37</v>
      </c>
      <c r="C358" s="25">
        <v>56.82</v>
      </c>
      <c r="D358" s="25">
        <v>56.08</v>
      </c>
      <c r="E358" s="4"/>
      <c r="F358" s="3">
        <f t="shared" si="15"/>
        <v>0</v>
      </c>
      <c r="G358" s="4" t="str">
        <f t="shared" si="16"/>
        <v>WTI Crude</v>
      </c>
      <c r="H358" s="25">
        <f t="shared" si="17"/>
        <v>52.37</v>
      </c>
      <c r="I358" s="25">
        <v>1.5437000000000001</v>
      </c>
    </row>
    <row r="359" spans="1:9">
      <c r="A359" s="15">
        <v>44228</v>
      </c>
      <c r="B359" s="25">
        <v>52.23</v>
      </c>
      <c r="C359" s="25">
        <v>55.14</v>
      </c>
      <c r="D359" s="25">
        <v>55.9</v>
      </c>
      <c r="E359" s="4">
        <v>45.13</v>
      </c>
      <c r="F359" s="3">
        <f t="shared" si="15"/>
        <v>1</v>
      </c>
      <c r="G359" s="4" t="str">
        <f t="shared" si="16"/>
        <v>WCS</v>
      </c>
      <c r="H359" s="25">
        <f t="shared" si="17"/>
        <v>45.13</v>
      </c>
      <c r="I359" s="25">
        <v>1.5379</v>
      </c>
    </row>
    <row r="360" spans="1:9">
      <c r="A360" s="15">
        <v>44225</v>
      </c>
      <c r="B360" s="25">
        <v>51.96</v>
      </c>
      <c r="C360" s="25">
        <v>54.41</v>
      </c>
      <c r="D360" s="25">
        <v>55.1</v>
      </c>
      <c r="E360" s="4"/>
      <c r="F360" s="3">
        <f t="shared" si="15"/>
        <v>0</v>
      </c>
      <c r="G360" s="4" t="str">
        <f t="shared" si="16"/>
        <v>WTI Crude</v>
      </c>
      <c r="H360" s="25">
        <f t="shared" si="17"/>
        <v>51.96</v>
      </c>
      <c r="I360" s="25">
        <v>1.5277000000000001</v>
      </c>
    </row>
    <row r="361" spans="1:9">
      <c r="A361" s="15">
        <v>44224</v>
      </c>
      <c r="B361" s="25">
        <v>52.59</v>
      </c>
      <c r="C361" s="25">
        <v>54.36</v>
      </c>
      <c r="D361" s="25">
        <v>56.42</v>
      </c>
      <c r="E361" s="4"/>
      <c r="F361" s="3">
        <f t="shared" si="15"/>
        <v>0</v>
      </c>
      <c r="G361" s="4" t="str">
        <f t="shared" si="16"/>
        <v>WTI Crude</v>
      </c>
      <c r="H361" s="25">
        <f t="shared" si="17"/>
        <v>52.59</v>
      </c>
      <c r="I361" s="25">
        <v>1.5538000000000001</v>
      </c>
    </row>
    <row r="362" spans="1:9">
      <c r="A362" s="15">
        <v>44223</v>
      </c>
      <c r="B362" s="25">
        <v>52.21</v>
      </c>
      <c r="C362" s="25">
        <v>55.31</v>
      </c>
      <c r="D362" s="25">
        <v>56.06</v>
      </c>
      <c r="E362" s="4"/>
      <c r="F362" s="3">
        <f t="shared" si="15"/>
        <v>0</v>
      </c>
      <c r="G362" s="4" t="str">
        <f t="shared" si="16"/>
        <v>WTI Crude</v>
      </c>
      <c r="H362" s="25">
        <f t="shared" si="17"/>
        <v>52.21</v>
      </c>
      <c r="I362" s="25">
        <v>1.5467</v>
      </c>
    </row>
    <row r="363" spans="1:9">
      <c r="A363" s="15">
        <v>44222</v>
      </c>
      <c r="B363" s="25">
        <v>52.39</v>
      </c>
      <c r="C363" s="25">
        <v>54.87</v>
      </c>
      <c r="D363" s="25">
        <v>56.58</v>
      </c>
      <c r="E363" s="4"/>
      <c r="F363" s="3">
        <f t="shared" si="15"/>
        <v>0</v>
      </c>
      <c r="G363" s="4" t="str">
        <f t="shared" si="16"/>
        <v>WTI Crude</v>
      </c>
      <c r="H363" s="25">
        <f t="shared" si="17"/>
        <v>52.39</v>
      </c>
      <c r="I363" s="25">
        <v>1.5518000000000001</v>
      </c>
    </row>
    <row r="364" spans="1:9">
      <c r="A364" s="15">
        <v>44221</v>
      </c>
      <c r="B364" s="25">
        <v>51.73</v>
      </c>
      <c r="C364" s="25">
        <v>54.85</v>
      </c>
      <c r="D364" s="25">
        <v>55.66</v>
      </c>
      <c r="E364" s="4"/>
      <c r="F364" s="3">
        <f t="shared" si="15"/>
        <v>0</v>
      </c>
      <c r="G364" s="4" t="str">
        <f t="shared" si="16"/>
        <v>WTI Crude</v>
      </c>
      <c r="H364" s="25">
        <f t="shared" si="17"/>
        <v>51.73</v>
      </c>
      <c r="I364" s="25">
        <v>1.5207999999999999</v>
      </c>
    </row>
    <row r="365" spans="1:9">
      <c r="A365" s="15">
        <v>44218</v>
      </c>
      <c r="B365" s="25">
        <v>51.72</v>
      </c>
      <c r="C365" s="25">
        <v>54.69</v>
      </c>
      <c r="D365" s="25">
        <v>55.99</v>
      </c>
      <c r="E365" s="4"/>
      <c r="F365" s="3">
        <f t="shared" si="15"/>
        <v>0</v>
      </c>
      <c r="G365" s="4" t="str">
        <f t="shared" si="16"/>
        <v>WTI Crude</v>
      </c>
      <c r="H365" s="25">
        <f t="shared" si="17"/>
        <v>51.72</v>
      </c>
      <c r="I365" s="25">
        <v>1.5423</v>
      </c>
    </row>
    <row r="366" spans="1:9">
      <c r="A366" s="15">
        <v>44217</v>
      </c>
      <c r="B366" s="25">
        <v>50.62</v>
      </c>
      <c r="C366" s="25">
        <v>55.14</v>
      </c>
      <c r="D366" s="25">
        <v>54.38</v>
      </c>
      <c r="E366" s="4"/>
      <c r="F366" s="3">
        <f t="shared" si="15"/>
        <v>0</v>
      </c>
      <c r="G366" s="4" t="str">
        <f t="shared" si="16"/>
        <v>WTI Crude</v>
      </c>
      <c r="H366" s="25">
        <f t="shared" si="17"/>
        <v>50.62</v>
      </c>
      <c r="I366" s="25">
        <v>1.4826999999999999</v>
      </c>
    </row>
    <row r="367" spans="1:9">
      <c r="A367" s="15">
        <v>44216</v>
      </c>
      <c r="B367" s="25">
        <v>50.46</v>
      </c>
      <c r="C367" s="25">
        <v>55.75</v>
      </c>
      <c r="D367" s="25">
        <v>54.3</v>
      </c>
      <c r="E367" s="4"/>
      <c r="F367" s="3">
        <f t="shared" si="15"/>
        <v>0</v>
      </c>
      <c r="G367" s="4" t="str">
        <f t="shared" si="16"/>
        <v>WTI Crude</v>
      </c>
      <c r="H367" s="25">
        <f t="shared" si="17"/>
        <v>50.46</v>
      </c>
      <c r="I367" s="25">
        <v>1.4750000000000001</v>
      </c>
    </row>
    <row r="368" spans="1:9">
      <c r="A368" s="15">
        <v>44215</v>
      </c>
      <c r="B368" s="25">
        <v>49.84</v>
      </c>
      <c r="C368" s="25">
        <v>54.85</v>
      </c>
      <c r="D368" s="25">
        <v>53.6</v>
      </c>
      <c r="E368" s="4"/>
      <c r="F368" s="3">
        <f t="shared" si="15"/>
        <v>0</v>
      </c>
      <c r="G368" s="4" t="str">
        <f t="shared" si="16"/>
        <v>WTI Crude</v>
      </c>
      <c r="H368" s="25">
        <f t="shared" si="17"/>
        <v>49.84</v>
      </c>
      <c r="I368" s="25">
        <v>1.4520999999999999</v>
      </c>
    </row>
    <row r="369" spans="1:9">
      <c r="A369" s="15">
        <v>44214</v>
      </c>
      <c r="B369" s="25">
        <v>47.67</v>
      </c>
      <c r="C369" s="25">
        <v>53.92</v>
      </c>
      <c r="D369" s="25">
        <v>51.09</v>
      </c>
      <c r="E369" s="4"/>
      <c r="F369" s="3">
        <f t="shared" si="15"/>
        <v>0</v>
      </c>
      <c r="G369" s="4" t="str">
        <f t="shared" si="16"/>
        <v>WTI Crude</v>
      </c>
      <c r="H369" s="25">
        <f t="shared" si="17"/>
        <v>47.67</v>
      </c>
      <c r="I369" s="25">
        <v>1.3729</v>
      </c>
    </row>
    <row r="370" spans="1:9">
      <c r="A370" s="15">
        <v>44211</v>
      </c>
      <c r="B370" s="25">
        <v>47.07</v>
      </c>
      <c r="C370" s="25">
        <v>54.68</v>
      </c>
      <c r="D370" s="25">
        <v>51.8</v>
      </c>
      <c r="E370" s="4"/>
      <c r="F370" s="3">
        <f t="shared" si="15"/>
        <v>0</v>
      </c>
      <c r="G370" s="4" t="str">
        <f t="shared" si="16"/>
        <v>WTI Crude</v>
      </c>
      <c r="H370" s="25">
        <f t="shared" si="17"/>
        <v>47.07</v>
      </c>
      <c r="I370" s="25">
        <v>1.4100999999999999</v>
      </c>
    </row>
    <row r="371" spans="1:9">
      <c r="A371" s="15">
        <v>44210</v>
      </c>
      <c r="B371" s="25">
        <v>47.06</v>
      </c>
      <c r="C371" s="25">
        <v>55.19</v>
      </c>
      <c r="D371" s="25">
        <v>51.34</v>
      </c>
      <c r="E371" s="4"/>
      <c r="F371" s="3">
        <f t="shared" si="15"/>
        <v>0</v>
      </c>
      <c r="G371" s="4" t="str">
        <f t="shared" si="16"/>
        <v>WTI Crude</v>
      </c>
      <c r="H371" s="25">
        <f t="shared" si="17"/>
        <v>47.06</v>
      </c>
      <c r="I371" s="25">
        <v>1.4013</v>
      </c>
    </row>
    <row r="372" spans="1:9">
      <c r="A372" s="15">
        <v>44209</v>
      </c>
      <c r="B372" s="25">
        <v>47.03</v>
      </c>
      <c r="C372" s="25">
        <v>55.81</v>
      </c>
      <c r="D372" s="25">
        <v>51.09</v>
      </c>
      <c r="E372" s="4"/>
      <c r="F372" s="3">
        <f t="shared" si="15"/>
        <v>0</v>
      </c>
      <c r="G372" s="4" t="str">
        <f t="shared" si="16"/>
        <v>WTI Crude</v>
      </c>
      <c r="H372" s="25">
        <f t="shared" si="17"/>
        <v>47.03</v>
      </c>
      <c r="I372" s="25">
        <v>1.3783000000000001</v>
      </c>
    </row>
    <row r="373" spans="1:9">
      <c r="A373" s="15">
        <v>44208</v>
      </c>
      <c r="B373" s="25">
        <v>46.97</v>
      </c>
      <c r="C373" s="25">
        <v>55.41</v>
      </c>
      <c r="D373" s="25">
        <v>50.86</v>
      </c>
      <c r="E373" s="4"/>
      <c r="F373" s="3">
        <f t="shared" si="15"/>
        <v>0</v>
      </c>
      <c r="G373" s="4" t="str">
        <f t="shared" si="16"/>
        <v>WTI Crude</v>
      </c>
      <c r="H373" s="25">
        <f t="shared" si="17"/>
        <v>46.97</v>
      </c>
      <c r="I373" s="25">
        <v>1.3607</v>
      </c>
    </row>
    <row r="374" spans="1:9">
      <c r="A374" s="15">
        <v>44207</v>
      </c>
      <c r="B374" s="25">
        <v>47.09</v>
      </c>
      <c r="C374" s="25">
        <v>54.76</v>
      </c>
      <c r="D374" s="25">
        <v>51.29</v>
      </c>
      <c r="E374" s="4"/>
      <c r="F374" s="3">
        <f t="shared" si="15"/>
        <v>0</v>
      </c>
      <c r="G374" s="4" t="str">
        <f t="shared" si="16"/>
        <v>WTI Crude</v>
      </c>
      <c r="H374" s="25">
        <f t="shared" si="17"/>
        <v>47.09</v>
      </c>
      <c r="I374" s="25">
        <v>1.3722000000000001</v>
      </c>
    </row>
    <row r="375" spans="1:9">
      <c r="A375" s="15">
        <v>44204</v>
      </c>
      <c r="B375" s="25">
        <v>47.06</v>
      </c>
      <c r="C375" s="25">
        <v>54.39</v>
      </c>
      <c r="D375" s="25">
        <v>51.2</v>
      </c>
      <c r="E375" s="4"/>
      <c r="F375" s="3">
        <f t="shared" si="15"/>
        <v>0</v>
      </c>
      <c r="G375" s="4" t="str">
        <f t="shared" si="16"/>
        <v>WTI Crude</v>
      </c>
      <c r="H375" s="25">
        <f t="shared" si="17"/>
        <v>47.06</v>
      </c>
      <c r="I375" s="25">
        <v>1.3762000000000001</v>
      </c>
    </row>
    <row r="376" spans="1:9">
      <c r="A376" s="15">
        <v>44203</v>
      </c>
      <c r="B376" s="25">
        <v>46.76</v>
      </c>
      <c r="C376" s="25">
        <v>53.84</v>
      </c>
      <c r="D376" s="25">
        <v>50.08</v>
      </c>
      <c r="E376" s="4"/>
      <c r="F376" s="3">
        <f t="shared" si="15"/>
        <v>0</v>
      </c>
      <c r="G376" s="4" t="str">
        <f t="shared" si="16"/>
        <v>WTI Crude</v>
      </c>
      <c r="H376" s="25">
        <f t="shared" si="17"/>
        <v>46.76</v>
      </c>
      <c r="I376" s="25">
        <v>1.3354999999999999</v>
      </c>
    </row>
    <row r="377" spans="1:9">
      <c r="A377" s="15">
        <v>44202</v>
      </c>
      <c r="B377" s="25">
        <v>47.06</v>
      </c>
      <c r="C377" s="25">
        <v>53.29</v>
      </c>
      <c r="D377" s="25">
        <v>50.91</v>
      </c>
      <c r="E377" s="4"/>
      <c r="F377" s="3">
        <f t="shared" si="15"/>
        <v>0</v>
      </c>
      <c r="G377" s="4" t="str">
        <f t="shared" si="16"/>
        <v>WTI Crude</v>
      </c>
      <c r="H377" s="25">
        <f t="shared" si="17"/>
        <v>47.06</v>
      </c>
      <c r="I377" s="25">
        <v>1.3548</v>
      </c>
    </row>
    <row r="378" spans="1:9">
      <c r="A378" s="15">
        <v>44201</v>
      </c>
      <c r="B378" s="25">
        <v>47.53</v>
      </c>
      <c r="C378" s="25">
        <v>50.75</v>
      </c>
      <c r="D378" s="25">
        <v>52.26</v>
      </c>
      <c r="E378" s="4"/>
      <c r="F378" s="3">
        <f t="shared" si="15"/>
        <v>0</v>
      </c>
      <c r="G378" s="4" t="str">
        <f t="shared" si="16"/>
        <v>WTI Crude</v>
      </c>
      <c r="H378" s="25">
        <f t="shared" si="17"/>
        <v>47.53</v>
      </c>
      <c r="I378" s="25">
        <v>1.391</v>
      </c>
    </row>
    <row r="379" spans="1:9">
      <c r="A379" s="15">
        <v>44200</v>
      </c>
      <c r="B379" s="25">
        <v>47.24</v>
      </c>
      <c r="C379" s="25">
        <v>51.35</v>
      </c>
      <c r="D379" s="25">
        <v>51.5</v>
      </c>
      <c r="E379" s="4"/>
      <c r="F379" s="3">
        <f t="shared" si="15"/>
        <v>0</v>
      </c>
      <c r="G379" s="4" t="str">
        <f t="shared" si="16"/>
        <v>WTI Crude</v>
      </c>
      <c r="H379" s="25">
        <f t="shared" si="17"/>
        <v>47.24</v>
      </c>
      <c r="I379" s="25">
        <v>1.3816999999999999</v>
      </c>
    </row>
    <row r="380" spans="1:9">
      <c r="A380" s="15">
        <v>44196</v>
      </c>
      <c r="B380" s="25">
        <v>46.99</v>
      </c>
      <c r="C380" s="25">
        <v>50.24</v>
      </c>
      <c r="D380" s="25">
        <v>51.08</v>
      </c>
      <c r="E380" s="4"/>
      <c r="F380" s="3">
        <f t="shared" si="15"/>
        <v>0</v>
      </c>
      <c r="G380" s="4" t="str">
        <f t="shared" si="16"/>
        <v>WTI Crude</v>
      </c>
      <c r="H380" s="25">
        <f t="shared" si="17"/>
        <v>46.99</v>
      </c>
      <c r="I380" s="25">
        <v>1.3514999999999999</v>
      </c>
    </row>
    <row r="381" spans="1:9">
      <c r="A381" s="15">
        <v>44195</v>
      </c>
      <c r="B381" s="25">
        <v>46.89</v>
      </c>
      <c r="C381" s="25">
        <v>50.22</v>
      </c>
      <c r="D381" s="25">
        <v>50.76</v>
      </c>
      <c r="E381" s="4"/>
      <c r="F381" s="3">
        <f t="shared" si="15"/>
        <v>0</v>
      </c>
      <c r="G381" s="4" t="str">
        <f t="shared" si="16"/>
        <v>WTI Crude</v>
      </c>
      <c r="H381" s="25">
        <f t="shared" si="17"/>
        <v>46.89</v>
      </c>
      <c r="I381" s="25">
        <v>1.3268</v>
      </c>
    </row>
    <row r="382" spans="1:9">
      <c r="A382" s="15">
        <v>44194</v>
      </c>
      <c r="B382" s="25">
        <v>46.54</v>
      </c>
      <c r="C382" s="25">
        <v>50.16</v>
      </c>
      <c r="D382" s="25">
        <v>50.29</v>
      </c>
      <c r="E382" s="4"/>
      <c r="F382" s="3">
        <f t="shared" si="15"/>
        <v>0</v>
      </c>
      <c r="G382" s="4" t="str">
        <f t="shared" si="16"/>
        <v>WTI Crude</v>
      </c>
      <c r="H382" s="25">
        <f t="shared" si="17"/>
        <v>46.54</v>
      </c>
      <c r="I382" s="25">
        <v>1.3190999999999999</v>
      </c>
    </row>
    <row r="383" spans="1:9">
      <c r="A383" s="15">
        <v>44193</v>
      </c>
      <c r="B383" s="25">
        <v>46.3</v>
      </c>
      <c r="C383" s="25">
        <v>50.1</v>
      </c>
      <c r="D383" s="25">
        <v>49.97</v>
      </c>
      <c r="E383" s="4"/>
      <c r="F383" s="3">
        <f t="shared" si="15"/>
        <v>0</v>
      </c>
      <c r="G383" s="4" t="str">
        <f t="shared" si="16"/>
        <v>WTI Crude</v>
      </c>
      <c r="H383" s="25">
        <f t="shared" si="17"/>
        <v>46.3</v>
      </c>
      <c r="I383" s="25">
        <v>1.3077000000000001</v>
      </c>
    </row>
    <row r="384" spans="1:9">
      <c r="A384" s="15">
        <v>44189</v>
      </c>
      <c r="B384" s="25">
        <v>46.44</v>
      </c>
      <c r="C384" s="25">
        <v>50.31</v>
      </c>
      <c r="D384" s="25">
        <v>50.25</v>
      </c>
      <c r="E384" s="4"/>
      <c r="F384" s="3">
        <f t="shared" si="15"/>
        <v>0</v>
      </c>
      <c r="G384" s="4" t="str">
        <f t="shared" si="16"/>
        <v>WTI Crude</v>
      </c>
      <c r="H384" s="25">
        <f t="shared" si="17"/>
        <v>46.44</v>
      </c>
      <c r="I384" s="25">
        <v>1.3166</v>
      </c>
    </row>
    <row r="385" spans="1:9">
      <c r="A385" s="15">
        <v>44188</v>
      </c>
      <c r="B385" s="25">
        <v>45.58</v>
      </c>
      <c r="C385" s="25">
        <v>49.46</v>
      </c>
      <c r="D385" s="25">
        <v>48.86</v>
      </c>
      <c r="E385" s="4"/>
      <c r="F385" s="3">
        <f t="shared" si="15"/>
        <v>0</v>
      </c>
      <c r="G385" s="4" t="str">
        <f t="shared" si="16"/>
        <v>WTI Crude</v>
      </c>
      <c r="H385" s="25">
        <f t="shared" si="17"/>
        <v>45.58</v>
      </c>
      <c r="I385" s="25">
        <v>1.2759</v>
      </c>
    </row>
    <row r="386" spans="1:9">
      <c r="A386" s="15">
        <v>44187</v>
      </c>
      <c r="B386" s="25">
        <v>45.64</v>
      </c>
      <c r="C386" s="25">
        <v>49.22</v>
      </c>
      <c r="D386" s="25">
        <v>48.84</v>
      </c>
      <c r="E386" s="4"/>
      <c r="F386" s="3">
        <f t="shared" ref="F386:F449" si="18">IF(MIN(B386:E386)=B386,0,IF(MIN(B386:E386)=C386,0.3,IF(MIN(B386:E386)=D386,0.75,IF(MIN(B386:E386)=E386,1,))))</f>
        <v>0</v>
      </c>
      <c r="G386" s="4" t="str">
        <f t="shared" ref="G386:G449" si="19">IF(MIN(B386:E386)=B386,$B$1,IF(MIN(B386:E386)=C386,$C$1,IF(MIN(B386:E386)=D386,$D$1,IF(MIN(B386:E386)=E386,$E$1,))))</f>
        <v>WTI Crude</v>
      </c>
      <c r="H386" s="25">
        <f t="shared" ref="H386:H449" si="20">IF(MIN(B386:E386)=B386,B386,IF(MIN(B386:E386)=C386,C386,IF(MIN(B386:E386)=D386,D386,IF(MIN(B386:E386)=E386,E386,))))</f>
        <v>45.64</v>
      </c>
      <c r="I386" s="25">
        <v>1.2559</v>
      </c>
    </row>
    <row r="387" spans="1:9">
      <c r="A387" s="15">
        <v>44186</v>
      </c>
      <c r="B387" s="25">
        <v>45.76</v>
      </c>
      <c r="C387" s="25">
        <v>49.57</v>
      </c>
      <c r="D387" s="25">
        <v>48.79</v>
      </c>
      <c r="E387" s="4"/>
      <c r="F387" s="3">
        <f t="shared" si="18"/>
        <v>0</v>
      </c>
      <c r="G387" s="4" t="str">
        <f t="shared" si="19"/>
        <v>WTI Crude</v>
      </c>
      <c r="H387" s="25">
        <f t="shared" si="20"/>
        <v>45.76</v>
      </c>
      <c r="I387" s="25">
        <v>1.2558</v>
      </c>
    </row>
    <row r="388" spans="1:9">
      <c r="A388" s="15">
        <v>44183</v>
      </c>
      <c r="B388" s="25">
        <v>46.16</v>
      </c>
      <c r="C388" s="25">
        <v>50.69</v>
      </c>
      <c r="D388" s="25">
        <v>49.25</v>
      </c>
      <c r="E388" s="4"/>
      <c r="F388" s="3">
        <f t="shared" si="18"/>
        <v>0</v>
      </c>
      <c r="G388" s="4" t="str">
        <f t="shared" si="19"/>
        <v>WTI Crude</v>
      </c>
      <c r="H388" s="25">
        <f t="shared" si="20"/>
        <v>46.16</v>
      </c>
      <c r="I388" s="25">
        <v>1.2685</v>
      </c>
    </row>
    <row r="389" spans="1:9">
      <c r="A389" s="15">
        <v>44182</v>
      </c>
      <c r="B389" s="25">
        <v>45.62</v>
      </c>
      <c r="C389" s="25">
        <v>50.78</v>
      </c>
      <c r="D389" s="25">
        <v>48.71</v>
      </c>
      <c r="E389" s="4"/>
      <c r="F389" s="3">
        <f t="shared" si="18"/>
        <v>0</v>
      </c>
      <c r="G389" s="4" t="str">
        <f t="shared" si="19"/>
        <v>WTI Crude</v>
      </c>
      <c r="H389" s="25">
        <f t="shared" si="20"/>
        <v>45.62</v>
      </c>
      <c r="I389" s="25">
        <v>1.2617</v>
      </c>
    </row>
    <row r="390" spans="1:9">
      <c r="A390" s="15">
        <v>44181</v>
      </c>
      <c r="B390" s="25">
        <v>45.3</v>
      </c>
      <c r="C390" s="25">
        <v>50.12</v>
      </c>
      <c r="D390" s="25">
        <v>48.25</v>
      </c>
      <c r="E390" s="4"/>
      <c r="F390" s="3">
        <f t="shared" si="18"/>
        <v>0</v>
      </c>
      <c r="G390" s="4" t="str">
        <f t="shared" si="19"/>
        <v>WTI Crude</v>
      </c>
      <c r="H390" s="25">
        <f t="shared" si="20"/>
        <v>45.3</v>
      </c>
      <c r="I390" s="25">
        <v>1.2399</v>
      </c>
    </row>
    <row r="391" spans="1:9">
      <c r="A391" s="15">
        <v>44180</v>
      </c>
      <c r="B391" s="25">
        <v>44.61</v>
      </c>
      <c r="C391" s="25">
        <v>49.61</v>
      </c>
      <c r="D391" s="25">
        <v>47.42</v>
      </c>
      <c r="E391" s="4"/>
      <c r="F391" s="3">
        <f t="shared" si="18"/>
        <v>0</v>
      </c>
      <c r="G391" s="4" t="str">
        <f t="shared" si="19"/>
        <v>WTI Crude</v>
      </c>
      <c r="H391" s="25">
        <f t="shared" si="20"/>
        <v>44.61</v>
      </c>
      <c r="I391" s="25">
        <v>1.2203999999999999</v>
      </c>
    </row>
    <row r="392" spans="1:9">
      <c r="A392" s="15">
        <v>44179</v>
      </c>
      <c r="B392" s="25">
        <v>41.35</v>
      </c>
      <c r="C392" s="25">
        <v>49.65</v>
      </c>
      <c r="D392" s="25">
        <v>47.59</v>
      </c>
      <c r="E392" s="4"/>
      <c r="F392" s="3">
        <f t="shared" si="18"/>
        <v>0</v>
      </c>
      <c r="G392" s="4" t="str">
        <f t="shared" si="19"/>
        <v>WTI Crude</v>
      </c>
      <c r="H392" s="25">
        <f t="shared" si="20"/>
        <v>41.35</v>
      </c>
      <c r="I392" s="25">
        <v>1.2416</v>
      </c>
    </row>
    <row r="393" spans="1:9">
      <c r="A393" s="15">
        <v>44176</v>
      </c>
      <c r="B393" s="25">
        <v>41.36</v>
      </c>
      <c r="C393" s="25">
        <v>49.58</v>
      </c>
      <c r="D393" s="25">
        <v>48.18</v>
      </c>
      <c r="E393" s="4"/>
      <c r="F393" s="3">
        <f t="shared" si="18"/>
        <v>0</v>
      </c>
      <c r="G393" s="4" t="str">
        <f t="shared" si="19"/>
        <v>WTI Crude</v>
      </c>
      <c r="H393" s="25">
        <f t="shared" si="20"/>
        <v>41.36</v>
      </c>
      <c r="I393" s="25">
        <v>1.266</v>
      </c>
    </row>
    <row r="394" spans="1:9">
      <c r="A394" s="15">
        <v>44175</v>
      </c>
      <c r="B394" s="25">
        <v>41.37</v>
      </c>
      <c r="C394" s="25">
        <v>48.87</v>
      </c>
      <c r="D394" s="25">
        <v>48.61</v>
      </c>
      <c r="E394" s="4"/>
      <c r="F394" s="3">
        <f t="shared" si="18"/>
        <v>0</v>
      </c>
      <c r="G394" s="4" t="str">
        <f t="shared" si="19"/>
        <v>WTI Crude</v>
      </c>
      <c r="H394" s="25">
        <f t="shared" si="20"/>
        <v>41.37</v>
      </c>
      <c r="I394" s="25">
        <v>1.2709999999999999</v>
      </c>
    </row>
    <row r="395" spans="1:9">
      <c r="A395" s="15">
        <v>44174</v>
      </c>
      <c r="B395" s="25">
        <v>41.25</v>
      </c>
      <c r="C395" s="25">
        <v>48.31</v>
      </c>
      <c r="D395" s="25">
        <v>47.86</v>
      </c>
      <c r="E395" s="4"/>
      <c r="F395" s="3">
        <f t="shared" si="18"/>
        <v>0</v>
      </c>
      <c r="G395" s="4" t="str">
        <f t="shared" si="19"/>
        <v>WTI Crude</v>
      </c>
      <c r="H395" s="25">
        <f t="shared" si="20"/>
        <v>41.25</v>
      </c>
      <c r="I395" s="25">
        <v>1.2509999999999999</v>
      </c>
    </row>
    <row r="396" spans="1:9">
      <c r="A396" s="15">
        <v>44173</v>
      </c>
      <c r="B396" s="25">
        <v>40.880000000000003</v>
      </c>
      <c r="C396" s="25">
        <v>47.79</v>
      </c>
      <c r="D396" s="25">
        <v>46.06</v>
      </c>
      <c r="E396" s="4"/>
      <c r="F396" s="3">
        <f t="shared" si="18"/>
        <v>0</v>
      </c>
      <c r="G396" s="4" t="str">
        <f t="shared" si="19"/>
        <v>WTI Crude</v>
      </c>
      <c r="H396" s="25">
        <f t="shared" si="20"/>
        <v>40.880000000000003</v>
      </c>
      <c r="I396" s="25">
        <v>1.1971000000000001</v>
      </c>
    </row>
    <row r="397" spans="1:9">
      <c r="A397" s="15">
        <v>44172</v>
      </c>
      <c r="B397" s="25">
        <v>40.72</v>
      </c>
      <c r="C397" s="25">
        <v>47.77</v>
      </c>
      <c r="D397" s="25">
        <v>44.96</v>
      </c>
      <c r="E397" s="4"/>
      <c r="F397" s="3">
        <f t="shared" si="18"/>
        <v>0</v>
      </c>
      <c r="G397" s="4" t="str">
        <f t="shared" si="19"/>
        <v>WTI Crude</v>
      </c>
      <c r="H397" s="25">
        <f t="shared" si="20"/>
        <v>40.72</v>
      </c>
      <c r="I397" s="25">
        <v>1.1702999999999999</v>
      </c>
    </row>
    <row r="398" spans="1:9">
      <c r="A398" s="15">
        <v>44169</v>
      </c>
      <c r="B398" s="25">
        <v>40.57</v>
      </c>
      <c r="C398" s="25">
        <v>48.35</v>
      </c>
      <c r="D398" s="25">
        <v>44.2</v>
      </c>
      <c r="E398" s="4"/>
      <c r="F398" s="3">
        <f t="shared" si="18"/>
        <v>0</v>
      </c>
      <c r="G398" s="4" t="str">
        <f t="shared" si="19"/>
        <v>WTI Crude</v>
      </c>
      <c r="H398" s="25">
        <f t="shared" si="20"/>
        <v>40.57</v>
      </c>
      <c r="I398" s="25">
        <v>1.1596</v>
      </c>
    </row>
    <row r="399" spans="1:9">
      <c r="A399" s="15">
        <v>44168</v>
      </c>
      <c r="B399" s="25">
        <v>40.61</v>
      </c>
      <c r="C399" s="25">
        <v>47.46</v>
      </c>
      <c r="D399" s="25">
        <v>44.34</v>
      </c>
      <c r="E399" s="4"/>
      <c r="F399" s="3">
        <f t="shared" si="18"/>
        <v>0</v>
      </c>
      <c r="G399" s="4" t="str">
        <f t="shared" si="19"/>
        <v>WTI Crude</v>
      </c>
      <c r="H399" s="25">
        <f t="shared" si="20"/>
        <v>40.61</v>
      </c>
      <c r="I399" s="25">
        <v>1.1626000000000001</v>
      </c>
    </row>
    <row r="400" spans="1:9">
      <c r="A400" s="15">
        <v>44167</v>
      </c>
      <c r="B400" s="25">
        <v>40.46</v>
      </c>
      <c r="C400" s="25">
        <v>46.69</v>
      </c>
      <c r="D400" s="25">
        <v>43.75</v>
      </c>
      <c r="E400" s="4"/>
      <c r="F400" s="3">
        <f t="shared" si="18"/>
        <v>0</v>
      </c>
      <c r="G400" s="4" t="str">
        <f t="shared" si="19"/>
        <v>WTI Crude</v>
      </c>
      <c r="H400" s="25">
        <f t="shared" si="20"/>
        <v>40.46</v>
      </c>
      <c r="I400" s="25">
        <v>1.1528</v>
      </c>
    </row>
    <row r="401" spans="1:9">
      <c r="A401" s="15">
        <v>44166</v>
      </c>
      <c r="B401" s="25">
        <v>40.42</v>
      </c>
      <c r="C401" s="25">
        <v>46.73</v>
      </c>
      <c r="D401" s="25">
        <v>43.82</v>
      </c>
      <c r="E401" s="4"/>
      <c r="F401" s="3">
        <f t="shared" si="18"/>
        <v>0</v>
      </c>
      <c r="G401" s="4" t="str">
        <f t="shared" si="19"/>
        <v>WTI Crude</v>
      </c>
      <c r="H401" s="25">
        <f t="shared" si="20"/>
        <v>40.42</v>
      </c>
      <c r="I401" s="25">
        <v>1.147</v>
      </c>
    </row>
    <row r="402" spans="1:9">
      <c r="A402" s="15">
        <v>44165</v>
      </c>
      <c r="B402" s="25">
        <v>39.83</v>
      </c>
      <c r="C402" s="25">
        <v>46.43</v>
      </c>
      <c r="D402" s="25">
        <v>42.78</v>
      </c>
      <c r="E402" s="4"/>
      <c r="F402" s="3">
        <f t="shared" si="18"/>
        <v>0</v>
      </c>
      <c r="G402" s="4" t="str">
        <f t="shared" si="19"/>
        <v>WTI Crude</v>
      </c>
      <c r="H402" s="25">
        <f t="shared" si="20"/>
        <v>39.83</v>
      </c>
      <c r="I402" s="25">
        <v>1.125</v>
      </c>
    </row>
    <row r="403" spans="1:9">
      <c r="A403" s="15">
        <v>44162</v>
      </c>
      <c r="B403" s="25">
        <v>40.380000000000003</v>
      </c>
      <c r="C403" s="25">
        <v>46.79</v>
      </c>
      <c r="D403" s="25">
        <v>43.53</v>
      </c>
      <c r="E403" s="4"/>
      <c r="F403" s="3">
        <f t="shared" si="18"/>
        <v>0</v>
      </c>
      <c r="G403" s="4" t="str">
        <f t="shared" si="19"/>
        <v>WTI Crude</v>
      </c>
      <c r="H403" s="25">
        <f t="shared" si="20"/>
        <v>40.380000000000003</v>
      </c>
      <c r="I403" s="25">
        <v>1.1557999999999999</v>
      </c>
    </row>
    <row r="404" spans="1:9">
      <c r="A404" s="15">
        <v>44161</v>
      </c>
      <c r="B404" s="25">
        <v>40.58</v>
      </c>
      <c r="C404" s="25">
        <v>46.66</v>
      </c>
      <c r="D404" s="25">
        <v>43.8</v>
      </c>
      <c r="E404" s="4"/>
      <c r="F404" s="3">
        <f t="shared" si="18"/>
        <v>0</v>
      </c>
      <c r="G404" s="4" t="str">
        <f t="shared" si="19"/>
        <v>WTI Crude</v>
      </c>
      <c r="H404" s="25">
        <f t="shared" si="20"/>
        <v>40.58</v>
      </c>
      <c r="I404" s="25">
        <v>1.1758999999999999</v>
      </c>
    </row>
    <row r="405" spans="1:9">
      <c r="A405" s="15">
        <v>44160</v>
      </c>
      <c r="B405" s="25">
        <v>40.520000000000003</v>
      </c>
      <c r="C405" s="25">
        <v>46.91</v>
      </c>
      <c r="D405" s="25">
        <v>43.61</v>
      </c>
      <c r="E405" s="4"/>
      <c r="F405" s="3">
        <f t="shared" si="18"/>
        <v>0</v>
      </c>
      <c r="G405" s="4" t="str">
        <f t="shared" si="19"/>
        <v>WTI Crude</v>
      </c>
      <c r="H405" s="25">
        <f t="shared" si="20"/>
        <v>40.520000000000003</v>
      </c>
      <c r="I405" s="25">
        <v>1.1940999999999999</v>
      </c>
    </row>
    <row r="406" spans="1:9">
      <c r="A406" s="15">
        <v>44159</v>
      </c>
      <c r="B406" s="25">
        <v>39.78</v>
      </c>
      <c r="C406" s="25">
        <v>45.51</v>
      </c>
      <c r="D406" s="25">
        <v>42.4</v>
      </c>
      <c r="E406" s="4"/>
      <c r="F406" s="3">
        <f t="shared" si="18"/>
        <v>0</v>
      </c>
      <c r="G406" s="4" t="str">
        <f t="shared" si="19"/>
        <v>WTI Crude</v>
      </c>
      <c r="H406" s="25">
        <f t="shared" si="20"/>
        <v>39.78</v>
      </c>
      <c r="I406" s="25">
        <v>1.1607000000000001</v>
      </c>
    </row>
    <row r="407" spans="1:9">
      <c r="A407" s="15">
        <v>44158</v>
      </c>
      <c r="B407" s="25">
        <v>37.42</v>
      </c>
      <c r="C407" s="25">
        <v>44.75</v>
      </c>
      <c r="D407" s="25">
        <v>39.450000000000003</v>
      </c>
      <c r="E407" s="4"/>
      <c r="F407" s="3">
        <f t="shared" si="18"/>
        <v>0</v>
      </c>
      <c r="G407" s="4" t="str">
        <f t="shared" si="19"/>
        <v>WTI Crude</v>
      </c>
      <c r="H407" s="25">
        <f t="shared" si="20"/>
        <v>37.42</v>
      </c>
      <c r="I407" s="25">
        <v>1.0844</v>
      </c>
    </row>
    <row r="408" spans="1:9">
      <c r="A408" s="15">
        <v>44155</v>
      </c>
      <c r="B408" s="25">
        <v>38.729999999999997</v>
      </c>
      <c r="C408" s="25">
        <v>43.38</v>
      </c>
      <c r="D408" s="25">
        <v>40.93</v>
      </c>
      <c r="E408" s="4"/>
      <c r="F408" s="3">
        <f t="shared" si="18"/>
        <v>0</v>
      </c>
      <c r="G408" s="4" t="str">
        <f t="shared" si="19"/>
        <v>WTI Crude</v>
      </c>
      <c r="H408" s="25">
        <f t="shared" si="20"/>
        <v>38.729999999999997</v>
      </c>
      <c r="I408" s="25">
        <v>1.1158999999999999</v>
      </c>
    </row>
    <row r="409" spans="1:9">
      <c r="A409" s="15">
        <v>44154</v>
      </c>
      <c r="B409" s="25">
        <v>39.04</v>
      </c>
      <c r="C409" s="25">
        <v>43.12</v>
      </c>
      <c r="D409" s="25">
        <v>41.23</v>
      </c>
      <c r="E409" s="4"/>
      <c r="F409" s="3">
        <f t="shared" si="18"/>
        <v>0</v>
      </c>
      <c r="G409" s="4" t="str">
        <f t="shared" si="19"/>
        <v>WTI Crude</v>
      </c>
      <c r="H409" s="25">
        <f t="shared" si="20"/>
        <v>39.04</v>
      </c>
      <c r="I409" s="25">
        <v>1.1081000000000001</v>
      </c>
    </row>
    <row r="410" spans="1:9">
      <c r="A410" s="15">
        <v>44153</v>
      </c>
      <c r="B410" s="25">
        <v>37.700000000000003</v>
      </c>
      <c r="C410" s="25">
        <v>43.05</v>
      </c>
      <c r="D410" s="25">
        <v>39.71</v>
      </c>
      <c r="E410" s="4"/>
      <c r="F410" s="3">
        <f t="shared" si="18"/>
        <v>0</v>
      </c>
      <c r="G410" s="4" t="str">
        <f t="shared" si="19"/>
        <v>WTI Crude</v>
      </c>
      <c r="H410" s="25">
        <f t="shared" si="20"/>
        <v>37.700000000000003</v>
      </c>
      <c r="I410" s="25">
        <v>1.0769</v>
      </c>
    </row>
    <row r="411" spans="1:9">
      <c r="A411" s="15">
        <v>44152</v>
      </c>
      <c r="B411" s="25">
        <v>36.9</v>
      </c>
      <c r="C411" s="25">
        <v>42.76</v>
      </c>
      <c r="D411" s="25">
        <v>38.97</v>
      </c>
      <c r="E411" s="4"/>
      <c r="F411" s="3">
        <f t="shared" si="18"/>
        <v>0</v>
      </c>
      <c r="G411" s="4" t="str">
        <f t="shared" si="19"/>
        <v>WTI Crude</v>
      </c>
      <c r="H411" s="25">
        <f t="shared" si="20"/>
        <v>36.9</v>
      </c>
      <c r="I411" s="25">
        <v>1.052</v>
      </c>
    </row>
    <row r="412" spans="1:9">
      <c r="A412" s="15">
        <v>44151</v>
      </c>
      <c r="B412" s="25">
        <v>39.549999999999997</v>
      </c>
      <c r="C412" s="25">
        <v>42.93</v>
      </c>
      <c r="D412" s="25">
        <v>37.46</v>
      </c>
      <c r="E412" s="4"/>
      <c r="F412" s="3">
        <f t="shared" si="18"/>
        <v>0.75</v>
      </c>
      <c r="G412" s="4" t="str">
        <f t="shared" si="19"/>
        <v>Brent Crude</v>
      </c>
      <c r="H412" s="25">
        <f t="shared" si="20"/>
        <v>37.46</v>
      </c>
      <c r="I412" s="25">
        <v>1.0322</v>
      </c>
    </row>
    <row r="413" spans="1:9">
      <c r="A413" s="15">
        <v>44148</v>
      </c>
      <c r="B413" s="25">
        <v>39.57</v>
      </c>
      <c r="C413" s="25">
        <v>42.05</v>
      </c>
      <c r="D413" s="25">
        <v>37.65</v>
      </c>
      <c r="E413" s="4"/>
      <c r="F413" s="3">
        <f t="shared" si="18"/>
        <v>0.75</v>
      </c>
      <c r="G413" s="4" t="str">
        <f t="shared" si="19"/>
        <v>Brent Crude</v>
      </c>
      <c r="H413" s="25">
        <f t="shared" si="20"/>
        <v>37.65</v>
      </c>
      <c r="I413" s="25">
        <v>1.028</v>
      </c>
    </row>
    <row r="414" spans="1:9">
      <c r="A414" s="15">
        <v>44147</v>
      </c>
      <c r="B414" s="25">
        <v>39.68</v>
      </c>
      <c r="C414" s="25">
        <v>42.97</v>
      </c>
      <c r="D414" s="25">
        <v>39.119999999999997</v>
      </c>
      <c r="E414" s="4"/>
      <c r="F414" s="3">
        <f t="shared" si="18"/>
        <v>0.75</v>
      </c>
      <c r="G414" s="4" t="str">
        <f t="shared" si="19"/>
        <v>Brent Crude</v>
      </c>
      <c r="H414" s="25">
        <f t="shared" si="20"/>
        <v>39.119999999999997</v>
      </c>
      <c r="I414" s="25">
        <v>1.0636000000000001</v>
      </c>
    </row>
    <row r="415" spans="1:9">
      <c r="A415" s="15">
        <v>44146</v>
      </c>
      <c r="B415" s="25">
        <v>39.979999999999997</v>
      </c>
      <c r="C415" s="25">
        <v>43.42</v>
      </c>
      <c r="D415" s="25">
        <v>41.2</v>
      </c>
      <c r="E415" s="4"/>
      <c r="F415" s="3">
        <f t="shared" si="18"/>
        <v>0</v>
      </c>
      <c r="G415" s="4" t="str">
        <f t="shared" si="19"/>
        <v>WTI Crude</v>
      </c>
      <c r="H415" s="25">
        <f t="shared" si="20"/>
        <v>39.979999999999997</v>
      </c>
      <c r="I415" s="25">
        <v>1.1288</v>
      </c>
    </row>
    <row r="416" spans="1:9">
      <c r="A416" s="15">
        <v>44145</v>
      </c>
      <c r="B416" s="25">
        <v>39.799999999999997</v>
      </c>
      <c r="C416" s="25">
        <v>41.72</v>
      </c>
      <c r="D416" s="25">
        <v>40.46</v>
      </c>
      <c r="E416" s="4"/>
      <c r="F416" s="3">
        <f t="shared" si="18"/>
        <v>0</v>
      </c>
      <c r="G416" s="4" t="str">
        <f t="shared" si="19"/>
        <v>WTI Crude</v>
      </c>
      <c r="H416" s="25">
        <f t="shared" si="20"/>
        <v>39.799999999999997</v>
      </c>
      <c r="I416" s="25">
        <v>1.0969</v>
      </c>
    </row>
    <row r="417" spans="1:9">
      <c r="A417" s="15">
        <v>44144</v>
      </c>
      <c r="B417" s="25">
        <v>40.090000000000003</v>
      </c>
      <c r="C417" s="25">
        <v>39.97</v>
      </c>
      <c r="D417" s="25">
        <v>41.77</v>
      </c>
      <c r="E417" s="4"/>
      <c r="F417" s="3">
        <f t="shared" si="18"/>
        <v>0.3</v>
      </c>
      <c r="G417" s="4" t="str">
        <f t="shared" si="19"/>
        <v>Opec Basket</v>
      </c>
      <c r="H417" s="25">
        <f t="shared" si="20"/>
        <v>39.97</v>
      </c>
      <c r="I417" s="25">
        <v>1.127</v>
      </c>
    </row>
    <row r="418" spans="1:9">
      <c r="A418" s="15">
        <v>44141</v>
      </c>
      <c r="B418" s="25">
        <v>40.31</v>
      </c>
      <c r="C418" s="25">
        <v>39.22</v>
      </c>
      <c r="D418" s="25">
        <v>42.46</v>
      </c>
      <c r="E418" s="4"/>
      <c r="F418" s="3">
        <f t="shared" si="18"/>
        <v>0.3</v>
      </c>
      <c r="G418" s="4" t="str">
        <f t="shared" si="19"/>
        <v>Opec Basket</v>
      </c>
      <c r="H418" s="25">
        <f t="shared" si="20"/>
        <v>39.22</v>
      </c>
      <c r="I418" s="25">
        <v>1.1452</v>
      </c>
    </row>
    <row r="419" spans="1:9">
      <c r="A419" s="15">
        <v>44140</v>
      </c>
      <c r="B419" s="25">
        <v>40.11</v>
      </c>
      <c r="C419" s="25">
        <v>39.79</v>
      </c>
      <c r="D419" s="25">
        <v>41.73</v>
      </c>
      <c r="E419" s="4"/>
      <c r="F419" s="3">
        <f t="shared" si="18"/>
        <v>0.3</v>
      </c>
      <c r="G419" s="4" t="str">
        <f t="shared" si="19"/>
        <v>Opec Basket</v>
      </c>
      <c r="H419" s="25">
        <f t="shared" si="20"/>
        <v>39.79</v>
      </c>
      <c r="I419" s="25">
        <v>1.1271</v>
      </c>
    </row>
    <row r="420" spans="1:9">
      <c r="A420" s="15">
        <v>44139</v>
      </c>
      <c r="B420" s="25">
        <v>40.72</v>
      </c>
      <c r="C420" s="25">
        <v>39.090000000000003</v>
      </c>
      <c r="D420" s="25">
        <v>43.16</v>
      </c>
      <c r="E420" s="4"/>
      <c r="F420" s="3">
        <f t="shared" si="18"/>
        <v>0.3</v>
      </c>
      <c r="G420" s="4" t="str">
        <f t="shared" si="19"/>
        <v>Opec Basket</v>
      </c>
      <c r="H420" s="25">
        <f t="shared" si="20"/>
        <v>39.090000000000003</v>
      </c>
      <c r="I420" s="25">
        <v>1.1725000000000001</v>
      </c>
    </row>
    <row r="421" spans="1:9">
      <c r="A421" s="15">
        <v>44138</v>
      </c>
      <c r="B421" s="25">
        <v>40.46</v>
      </c>
      <c r="C421" s="25">
        <v>38.44</v>
      </c>
      <c r="D421" s="25">
        <v>42.62</v>
      </c>
      <c r="E421" s="4"/>
      <c r="F421" s="3">
        <f t="shared" si="18"/>
        <v>0.3</v>
      </c>
      <c r="G421" s="4" t="str">
        <f t="shared" si="19"/>
        <v>Opec Basket</v>
      </c>
      <c r="H421" s="25">
        <f t="shared" si="20"/>
        <v>38.44</v>
      </c>
      <c r="I421" s="25">
        <v>1.1485000000000001</v>
      </c>
    </row>
    <row r="422" spans="1:9">
      <c r="A422" s="15">
        <v>44137</v>
      </c>
      <c r="B422" s="25">
        <v>40.479999999999997</v>
      </c>
      <c r="C422" s="25">
        <v>35.89</v>
      </c>
      <c r="D422" s="25">
        <v>42.93</v>
      </c>
      <c r="E422" s="4"/>
      <c r="F422" s="3">
        <f t="shared" si="18"/>
        <v>0.3</v>
      </c>
      <c r="G422" s="4" t="str">
        <f t="shared" si="19"/>
        <v>Opec Basket</v>
      </c>
      <c r="H422" s="25">
        <f t="shared" si="20"/>
        <v>35.89</v>
      </c>
      <c r="I422" s="25">
        <v>1.1535</v>
      </c>
    </row>
    <row r="423" spans="1:9">
      <c r="A423" s="15">
        <v>44134</v>
      </c>
      <c r="B423" s="25">
        <v>40.54</v>
      </c>
      <c r="C423" s="25">
        <v>36.5</v>
      </c>
      <c r="D423" s="25">
        <v>43.16</v>
      </c>
      <c r="E423" s="4"/>
      <c r="F423" s="3">
        <f t="shared" si="18"/>
        <v>0.3</v>
      </c>
      <c r="G423" s="4" t="str">
        <f t="shared" si="19"/>
        <v>Opec Basket</v>
      </c>
      <c r="H423" s="25">
        <f t="shared" si="20"/>
        <v>36.5</v>
      </c>
      <c r="I423" s="25">
        <v>1.1637</v>
      </c>
    </row>
    <row r="424" spans="1:9">
      <c r="A424" s="15">
        <v>44133</v>
      </c>
      <c r="B424" s="25">
        <v>40.590000000000003</v>
      </c>
      <c r="C424" s="25">
        <v>37.119999999999997</v>
      </c>
      <c r="D424" s="25">
        <v>43.32</v>
      </c>
      <c r="E424" s="4"/>
      <c r="F424" s="3">
        <f t="shared" si="18"/>
        <v>0.3</v>
      </c>
      <c r="G424" s="4" t="str">
        <f t="shared" si="19"/>
        <v>Opec Basket</v>
      </c>
      <c r="H424" s="25">
        <f t="shared" si="20"/>
        <v>37.119999999999997</v>
      </c>
      <c r="I424" s="25">
        <v>1.1795</v>
      </c>
    </row>
    <row r="425" spans="1:9">
      <c r="A425" s="15">
        <v>44132</v>
      </c>
      <c r="B425" s="25">
        <v>40.090000000000003</v>
      </c>
      <c r="C425" s="25">
        <v>38.42</v>
      </c>
      <c r="D425" s="25">
        <v>42.45</v>
      </c>
      <c r="E425" s="4"/>
      <c r="F425" s="3">
        <f t="shared" si="18"/>
        <v>0.3</v>
      </c>
      <c r="G425" s="4" t="str">
        <f t="shared" si="19"/>
        <v>Opec Basket</v>
      </c>
      <c r="H425" s="25">
        <f t="shared" si="20"/>
        <v>38.42</v>
      </c>
      <c r="I425" s="25">
        <v>1.1633</v>
      </c>
    </row>
    <row r="426" spans="1:9">
      <c r="A426" s="15">
        <v>44131</v>
      </c>
      <c r="B426" s="25">
        <v>39.6</v>
      </c>
      <c r="C426" s="25">
        <v>39.53</v>
      </c>
      <c r="D426" s="25">
        <v>41.72</v>
      </c>
      <c r="E426" s="4"/>
      <c r="F426" s="3">
        <f t="shared" si="18"/>
        <v>0.3</v>
      </c>
      <c r="G426" s="4" t="str">
        <f t="shared" si="19"/>
        <v>Opec Basket</v>
      </c>
      <c r="H426" s="25">
        <f t="shared" si="20"/>
        <v>39.53</v>
      </c>
      <c r="I426" s="25">
        <v>1.1757</v>
      </c>
    </row>
    <row r="427" spans="1:9">
      <c r="A427" s="15">
        <v>44130</v>
      </c>
      <c r="B427" s="25">
        <v>40.4</v>
      </c>
      <c r="C427" s="25">
        <v>39.22</v>
      </c>
      <c r="D427" s="25">
        <v>42.85</v>
      </c>
      <c r="E427" s="4"/>
      <c r="F427" s="3">
        <f t="shared" si="18"/>
        <v>0.3</v>
      </c>
      <c r="G427" s="4" t="str">
        <f t="shared" si="19"/>
        <v>Opec Basket</v>
      </c>
      <c r="H427" s="25">
        <f t="shared" si="20"/>
        <v>39.22</v>
      </c>
      <c r="I427" s="25">
        <v>1.2032</v>
      </c>
    </row>
    <row r="428" spans="1:9">
      <c r="A428" s="15">
        <v>44127</v>
      </c>
      <c r="B428" s="25">
        <v>40.82</v>
      </c>
      <c r="C428" s="25">
        <v>41.05</v>
      </c>
      <c r="D428" s="25">
        <v>43.34</v>
      </c>
      <c r="E428" s="4"/>
      <c r="F428" s="3">
        <f t="shared" si="18"/>
        <v>0</v>
      </c>
      <c r="G428" s="4" t="str">
        <f t="shared" si="19"/>
        <v>WTI Crude</v>
      </c>
      <c r="H428" s="25">
        <f t="shared" si="20"/>
        <v>40.82</v>
      </c>
      <c r="I428" s="25">
        <v>1.2316</v>
      </c>
    </row>
    <row r="429" spans="1:9">
      <c r="A429" s="15">
        <v>44126</v>
      </c>
      <c r="B429" s="25">
        <v>39.86</v>
      </c>
      <c r="C429" s="25">
        <v>40.909999999999997</v>
      </c>
      <c r="D429" s="25">
        <v>41.99</v>
      </c>
      <c r="E429" s="4"/>
      <c r="F429" s="3">
        <f t="shared" si="18"/>
        <v>0</v>
      </c>
      <c r="G429" s="4" t="str">
        <f t="shared" si="19"/>
        <v>WTI Crude</v>
      </c>
      <c r="H429" s="25">
        <f t="shared" si="20"/>
        <v>39.86</v>
      </c>
      <c r="I429" s="25">
        <v>1.2009000000000001</v>
      </c>
    </row>
    <row r="430" spans="1:9">
      <c r="A430" s="15">
        <v>44125</v>
      </c>
      <c r="B430" s="25">
        <v>40.450000000000003</v>
      </c>
      <c r="C430" s="25">
        <v>40.880000000000003</v>
      </c>
      <c r="D430" s="25">
        <v>42.65</v>
      </c>
      <c r="E430" s="4"/>
      <c r="F430" s="3">
        <f t="shared" si="18"/>
        <v>0</v>
      </c>
      <c r="G430" s="4" t="str">
        <f t="shared" si="19"/>
        <v>WTI Crude</v>
      </c>
      <c r="H430" s="25">
        <f t="shared" si="20"/>
        <v>40.450000000000003</v>
      </c>
      <c r="I430" s="25">
        <v>1.2351000000000001</v>
      </c>
    </row>
    <row r="431" spans="1:9">
      <c r="A431" s="15">
        <v>44124</v>
      </c>
      <c r="B431" s="25">
        <v>39.200000000000003</v>
      </c>
      <c r="C431" s="25">
        <v>41.04</v>
      </c>
      <c r="D431" s="25">
        <v>41.29</v>
      </c>
      <c r="E431" s="4"/>
      <c r="F431" s="3">
        <f t="shared" si="18"/>
        <v>0</v>
      </c>
      <c r="G431" s="4" t="str">
        <f t="shared" si="19"/>
        <v>WTI Crude</v>
      </c>
      <c r="H431" s="25">
        <f t="shared" si="20"/>
        <v>39.200000000000003</v>
      </c>
      <c r="I431" s="25">
        <v>1.1940999999999999</v>
      </c>
    </row>
    <row r="432" spans="1:9">
      <c r="A432" s="15">
        <v>44123</v>
      </c>
      <c r="B432" s="25">
        <v>37.229999999999997</v>
      </c>
      <c r="C432" s="25">
        <v>41.38</v>
      </c>
      <c r="D432" s="25">
        <v>39.270000000000003</v>
      </c>
      <c r="E432" s="4"/>
      <c r="F432" s="3">
        <f t="shared" si="18"/>
        <v>0</v>
      </c>
      <c r="G432" s="4" t="str">
        <f t="shared" si="19"/>
        <v>WTI Crude</v>
      </c>
      <c r="H432" s="25">
        <f t="shared" si="20"/>
        <v>37.229999999999997</v>
      </c>
      <c r="I432" s="25">
        <v>1.1234999999999999</v>
      </c>
    </row>
    <row r="433" spans="1:9">
      <c r="A433" s="15">
        <v>44120</v>
      </c>
      <c r="B433" s="25">
        <v>38.83</v>
      </c>
      <c r="C433" s="25">
        <v>41.37</v>
      </c>
      <c r="D433" s="25">
        <v>40.93</v>
      </c>
      <c r="E433" s="4"/>
      <c r="F433" s="3">
        <f t="shared" si="18"/>
        <v>0</v>
      </c>
      <c r="G433" s="4" t="str">
        <f t="shared" si="19"/>
        <v>WTI Crude</v>
      </c>
      <c r="H433" s="25">
        <f t="shared" si="20"/>
        <v>38.83</v>
      </c>
      <c r="I433" s="25">
        <v>1.1524000000000001</v>
      </c>
    </row>
    <row r="434" spans="1:9">
      <c r="A434" s="15">
        <v>44119</v>
      </c>
      <c r="B434" s="25">
        <v>39.630000000000003</v>
      </c>
      <c r="C434" s="25">
        <v>41.29</v>
      </c>
      <c r="D434" s="25">
        <v>40.950000000000003</v>
      </c>
      <c r="E434" s="4"/>
      <c r="F434" s="3">
        <f t="shared" si="18"/>
        <v>0</v>
      </c>
      <c r="G434" s="4" t="str">
        <f t="shared" si="19"/>
        <v>WTI Crude</v>
      </c>
      <c r="H434" s="25">
        <f t="shared" si="20"/>
        <v>39.630000000000003</v>
      </c>
      <c r="I434" s="25">
        <v>1.1816</v>
      </c>
    </row>
    <row r="435" spans="1:9">
      <c r="A435" s="15">
        <v>44118</v>
      </c>
      <c r="B435" s="25">
        <v>39.58</v>
      </c>
      <c r="C435" s="25">
        <v>41.2</v>
      </c>
      <c r="D435" s="25">
        <v>41.03</v>
      </c>
      <c r="E435" s="4"/>
      <c r="F435" s="3">
        <f t="shared" si="18"/>
        <v>0</v>
      </c>
      <c r="G435" s="4" t="str">
        <f t="shared" si="19"/>
        <v>WTI Crude</v>
      </c>
      <c r="H435" s="25">
        <f t="shared" si="20"/>
        <v>39.58</v>
      </c>
      <c r="I435" s="25">
        <v>1.1711</v>
      </c>
    </row>
    <row r="436" spans="1:9">
      <c r="A436" s="15">
        <v>44117</v>
      </c>
      <c r="B436" s="25">
        <v>39.71</v>
      </c>
      <c r="C436" s="25">
        <v>40.68</v>
      </c>
      <c r="D436" s="25">
        <v>42.43</v>
      </c>
      <c r="E436" s="4"/>
      <c r="F436" s="3">
        <f t="shared" si="18"/>
        <v>0</v>
      </c>
      <c r="G436" s="4" t="str">
        <f t="shared" si="19"/>
        <v>WTI Crude</v>
      </c>
      <c r="H436" s="25">
        <f t="shared" si="20"/>
        <v>39.71</v>
      </c>
      <c r="I436" s="25">
        <v>1.2132000000000001</v>
      </c>
    </row>
    <row r="437" spans="1:9">
      <c r="A437" s="15">
        <v>44116</v>
      </c>
      <c r="B437" s="25">
        <v>39.659999999999997</v>
      </c>
      <c r="C437" s="25">
        <v>40.57</v>
      </c>
      <c r="D437" s="25">
        <v>41.92</v>
      </c>
      <c r="E437" s="4"/>
      <c r="F437" s="3">
        <f t="shared" si="18"/>
        <v>0</v>
      </c>
      <c r="G437" s="4" t="str">
        <f t="shared" si="19"/>
        <v>WTI Crude</v>
      </c>
      <c r="H437" s="25">
        <f t="shared" si="20"/>
        <v>39.659999999999997</v>
      </c>
      <c r="I437" s="25">
        <v>1.1898</v>
      </c>
    </row>
    <row r="438" spans="1:9">
      <c r="A438" s="15">
        <v>44113</v>
      </c>
      <c r="B438" s="25">
        <v>39.67</v>
      </c>
      <c r="C438" s="25">
        <v>41.61</v>
      </c>
      <c r="D438" s="25">
        <v>41.94</v>
      </c>
      <c r="E438" s="4"/>
      <c r="F438" s="3">
        <f t="shared" si="18"/>
        <v>0</v>
      </c>
      <c r="G438" s="4" t="str">
        <f t="shared" si="19"/>
        <v>WTI Crude</v>
      </c>
      <c r="H438" s="25">
        <f t="shared" si="20"/>
        <v>39.67</v>
      </c>
      <c r="I438" s="25">
        <v>1.1732</v>
      </c>
    </row>
    <row r="439" spans="1:9">
      <c r="A439" s="15">
        <v>44112</v>
      </c>
      <c r="B439" s="25">
        <v>39.58</v>
      </c>
      <c r="C439" s="25">
        <v>41.06</v>
      </c>
      <c r="D439" s="25">
        <v>41.77</v>
      </c>
      <c r="E439" s="4"/>
      <c r="F439" s="3">
        <f t="shared" si="18"/>
        <v>0</v>
      </c>
      <c r="G439" s="4" t="str">
        <f t="shared" si="19"/>
        <v>WTI Crude</v>
      </c>
      <c r="H439" s="25">
        <f t="shared" si="20"/>
        <v>39.58</v>
      </c>
      <c r="I439" s="25">
        <v>1.1577999999999999</v>
      </c>
    </row>
    <row r="440" spans="1:9">
      <c r="A440" s="15">
        <v>44111</v>
      </c>
      <c r="B440" s="25">
        <v>39.54</v>
      </c>
      <c r="C440" s="25">
        <v>40.450000000000003</v>
      </c>
      <c r="D440" s="25">
        <v>41.72</v>
      </c>
      <c r="E440" s="4"/>
      <c r="F440" s="3">
        <f t="shared" si="18"/>
        <v>0</v>
      </c>
      <c r="G440" s="4" t="str">
        <f t="shared" si="19"/>
        <v>WTI Crude</v>
      </c>
      <c r="H440" s="25">
        <f t="shared" si="20"/>
        <v>39.54</v>
      </c>
      <c r="I440" s="25">
        <v>1.1437999999999999</v>
      </c>
    </row>
    <row r="441" spans="1:9">
      <c r="A441" s="15">
        <v>44110</v>
      </c>
      <c r="B441" s="25">
        <v>39.450000000000003</v>
      </c>
      <c r="C441" s="25">
        <v>40.33</v>
      </c>
      <c r="D441" s="25">
        <v>41.44</v>
      </c>
      <c r="E441" s="4"/>
      <c r="F441" s="3">
        <f t="shared" si="18"/>
        <v>0</v>
      </c>
      <c r="G441" s="4" t="str">
        <f t="shared" si="19"/>
        <v>WTI Crude</v>
      </c>
      <c r="H441" s="25">
        <f t="shared" si="20"/>
        <v>39.450000000000003</v>
      </c>
      <c r="I441" s="25">
        <v>1.1544000000000001</v>
      </c>
    </row>
    <row r="442" spans="1:9">
      <c r="A442" s="15">
        <v>44109</v>
      </c>
      <c r="B442" s="25">
        <v>40.130000000000003</v>
      </c>
      <c r="C442" s="25">
        <v>39.07</v>
      </c>
      <c r="D442" s="25">
        <v>43.15</v>
      </c>
      <c r="E442" s="4"/>
      <c r="F442" s="3">
        <f t="shared" si="18"/>
        <v>0.3</v>
      </c>
      <c r="G442" s="4" t="str">
        <f t="shared" si="19"/>
        <v>Opec Basket</v>
      </c>
      <c r="H442" s="25">
        <f t="shared" si="20"/>
        <v>39.07</v>
      </c>
      <c r="I442" s="25">
        <v>1.2097</v>
      </c>
    </row>
    <row r="443" spans="1:9">
      <c r="A443" s="15">
        <v>44106</v>
      </c>
      <c r="B443" s="25">
        <v>40.08</v>
      </c>
      <c r="C443" s="25">
        <v>38.090000000000003</v>
      </c>
      <c r="D443" s="25">
        <v>43.3</v>
      </c>
      <c r="E443" s="4"/>
      <c r="F443" s="3">
        <f t="shared" si="18"/>
        <v>0.3</v>
      </c>
      <c r="G443" s="4" t="str">
        <f t="shared" si="19"/>
        <v>Opec Basket</v>
      </c>
      <c r="H443" s="25">
        <f t="shared" si="20"/>
        <v>38.090000000000003</v>
      </c>
      <c r="I443" s="25">
        <v>1.2017</v>
      </c>
    </row>
    <row r="444" spans="1:9">
      <c r="A444" s="15">
        <v>44105</v>
      </c>
      <c r="B444" s="25">
        <v>39.700000000000003</v>
      </c>
      <c r="C444" s="25">
        <v>39.94</v>
      </c>
      <c r="D444" s="25">
        <v>42.22</v>
      </c>
      <c r="E444" s="4"/>
      <c r="F444" s="3">
        <f t="shared" si="18"/>
        <v>0</v>
      </c>
      <c r="G444" s="4" t="str">
        <f t="shared" si="19"/>
        <v>WTI Crude</v>
      </c>
      <c r="H444" s="25">
        <f t="shared" si="20"/>
        <v>39.700000000000003</v>
      </c>
      <c r="I444" s="25">
        <v>1.1694</v>
      </c>
    </row>
    <row r="445" spans="1:9">
      <c r="A445" s="15">
        <v>44104</v>
      </c>
      <c r="B445" s="25">
        <v>38.72</v>
      </c>
      <c r="C445" s="25">
        <v>40.65</v>
      </c>
      <c r="D445" s="25">
        <v>40.53</v>
      </c>
      <c r="E445" s="4"/>
      <c r="F445" s="3">
        <f t="shared" si="18"/>
        <v>0</v>
      </c>
      <c r="G445" s="4" t="str">
        <f t="shared" si="19"/>
        <v>WTI Crude</v>
      </c>
      <c r="H445" s="25">
        <f t="shared" si="20"/>
        <v>38.72</v>
      </c>
      <c r="I445" s="25">
        <v>1.1198999999999999</v>
      </c>
    </row>
    <row r="446" spans="1:9">
      <c r="A446" s="15">
        <v>44103</v>
      </c>
      <c r="B446" s="25">
        <v>38.14</v>
      </c>
      <c r="C446" s="25">
        <v>41.46</v>
      </c>
      <c r="D446" s="25">
        <v>39.61</v>
      </c>
      <c r="E446" s="4"/>
      <c r="F446" s="3">
        <f t="shared" si="18"/>
        <v>0</v>
      </c>
      <c r="G446" s="4" t="str">
        <f t="shared" si="19"/>
        <v>WTI Crude</v>
      </c>
      <c r="H446" s="25">
        <f t="shared" si="20"/>
        <v>38.14</v>
      </c>
      <c r="I446" s="25">
        <v>1.0922000000000001</v>
      </c>
    </row>
    <row r="447" spans="1:9">
      <c r="A447" s="15">
        <v>44102</v>
      </c>
      <c r="B447" s="25">
        <v>38.19</v>
      </c>
      <c r="C447" s="25">
        <v>41.61</v>
      </c>
      <c r="D447" s="25">
        <v>39.83</v>
      </c>
      <c r="E447" s="4"/>
      <c r="F447" s="3">
        <f t="shared" si="18"/>
        <v>0</v>
      </c>
      <c r="G447" s="4" t="str">
        <f t="shared" si="19"/>
        <v>WTI Crude</v>
      </c>
      <c r="H447" s="25">
        <f t="shared" si="20"/>
        <v>38.19</v>
      </c>
      <c r="I447" s="25">
        <v>1.0949</v>
      </c>
    </row>
    <row r="448" spans="1:9">
      <c r="A448" s="15">
        <v>44099</v>
      </c>
      <c r="B448" s="25">
        <v>38.18</v>
      </c>
      <c r="C448" s="25">
        <v>41.93</v>
      </c>
      <c r="D448" s="25">
        <v>40.06</v>
      </c>
      <c r="E448" s="4"/>
      <c r="F448" s="3">
        <f t="shared" si="18"/>
        <v>0</v>
      </c>
      <c r="G448" s="4" t="str">
        <f t="shared" si="19"/>
        <v>WTI Crude</v>
      </c>
      <c r="H448" s="25">
        <f t="shared" si="20"/>
        <v>38.18</v>
      </c>
      <c r="I448" s="25">
        <v>1.0976999999999999</v>
      </c>
    </row>
    <row r="449" spans="1:9">
      <c r="A449" s="15">
        <v>44098</v>
      </c>
      <c r="B449" s="25">
        <v>38.72</v>
      </c>
      <c r="C449" s="25">
        <v>41.22</v>
      </c>
      <c r="D449" s="25">
        <v>40.79</v>
      </c>
      <c r="E449" s="4"/>
      <c r="F449" s="3">
        <f t="shared" si="18"/>
        <v>0</v>
      </c>
      <c r="G449" s="4" t="str">
        <f t="shared" si="19"/>
        <v>WTI Crude</v>
      </c>
      <c r="H449" s="25">
        <f t="shared" si="20"/>
        <v>38.72</v>
      </c>
      <c r="I449" s="25">
        <v>1.1193</v>
      </c>
    </row>
    <row r="450" spans="1:9">
      <c r="A450" s="15">
        <v>44097</v>
      </c>
      <c r="B450" s="25">
        <v>37.76</v>
      </c>
      <c r="C450" s="25">
        <v>41.4</v>
      </c>
      <c r="D450" s="25">
        <v>39.78</v>
      </c>
      <c r="E450" s="4"/>
      <c r="F450" s="3">
        <f t="shared" ref="F450:F513" si="21">IF(MIN(B450:E450)=B450,0,IF(MIN(B450:E450)=C450,0.3,IF(MIN(B450:E450)=D450,0.75,IF(MIN(B450:E450)=E450,1,))))</f>
        <v>0</v>
      </c>
      <c r="G450" s="4" t="str">
        <f t="shared" ref="G450:G513" si="22">IF(MIN(B450:E450)=B450,$B$1,IF(MIN(B450:E450)=C450,$C$1,IF(MIN(B450:E450)=D450,$D$1,IF(MIN(B450:E450)=E450,$E$1,))))</f>
        <v>WTI Crude</v>
      </c>
      <c r="H450" s="25">
        <f t="shared" ref="H450:H513" si="23">IF(MIN(B450:E450)=B450,B450,IF(MIN(B450:E450)=C450,C450,IF(MIN(B450:E450)=D450,D450,IF(MIN(B450:E450)=E450,E450,))))</f>
        <v>37.76</v>
      </c>
      <c r="I450" s="25">
        <v>1.1028</v>
      </c>
    </row>
    <row r="451" spans="1:9">
      <c r="A451" s="15">
        <v>44096</v>
      </c>
      <c r="B451" s="25">
        <v>40.18</v>
      </c>
      <c r="C451" s="25">
        <v>41.32</v>
      </c>
      <c r="D451" s="25">
        <v>42.66</v>
      </c>
      <c r="E451" s="4"/>
      <c r="F451" s="3">
        <f t="shared" si="21"/>
        <v>0</v>
      </c>
      <c r="G451" s="4" t="str">
        <f t="shared" si="22"/>
        <v>WTI Crude</v>
      </c>
      <c r="H451" s="25">
        <f t="shared" si="23"/>
        <v>40.18</v>
      </c>
      <c r="I451" s="25">
        <v>1.1772</v>
      </c>
    </row>
    <row r="452" spans="1:9">
      <c r="A452" s="15">
        <v>44095</v>
      </c>
      <c r="B452" s="25">
        <v>41.54</v>
      </c>
      <c r="C452" s="25">
        <v>41.49</v>
      </c>
      <c r="D452" s="25">
        <v>44.07</v>
      </c>
      <c r="E452" s="4"/>
      <c r="F452" s="3">
        <f t="shared" si="21"/>
        <v>0.3</v>
      </c>
      <c r="G452" s="4" t="str">
        <f t="shared" si="22"/>
        <v>Opec Basket</v>
      </c>
      <c r="H452" s="25">
        <f t="shared" si="23"/>
        <v>41.49</v>
      </c>
      <c r="I452" s="25">
        <v>1.2049000000000001</v>
      </c>
    </row>
    <row r="453" spans="1:9">
      <c r="A453" s="15">
        <v>44092</v>
      </c>
      <c r="B453" s="25">
        <v>41.67</v>
      </c>
      <c r="C453" s="25">
        <v>42.98</v>
      </c>
      <c r="D453" s="25">
        <v>44.43</v>
      </c>
      <c r="E453" s="4"/>
      <c r="F453" s="3">
        <f t="shared" si="21"/>
        <v>0</v>
      </c>
      <c r="G453" s="4" t="str">
        <f t="shared" si="22"/>
        <v>WTI Crude</v>
      </c>
      <c r="H453" s="25">
        <f t="shared" si="23"/>
        <v>41.67</v>
      </c>
      <c r="I453" s="25">
        <v>1.202</v>
      </c>
    </row>
    <row r="454" spans="1:9">
      <c r="A454" s="15">
        <v>44091</v>
      </c>
      <c r="B454" s="25">
        <v>42.85</v>
      </c>
      <c r="C454" s="25">
        <v>42.07</v>
      </c>
      <c r="D454" s="25">
        <v>45.58</v>
      </c>
      <c r="E454" s="4"/>
      <c r="F454" s="3">
        <f t="shared" si="21"/>
        <v>0.3</v>
      </c>
      <c r="G454" s="4" t="str">
        <f t="shared" si="22"/>
        <v>Opec Basket</v>
      </c>
      <c r="H454" s="25">
        <f t="shared" si="23"/>
        <v>42.07</v>
      </c>
      <c r="I454" s="25">
        <v>1.2246999999999999</v>
      </c>
    </row>
    <row r="455" spans="1:9">
      <c r="A455" s="15">
        <v>44090</v>
      </c>
      <c r="B455" s="25">
        <v>42.69</v>
      </c>
      <c r="C455" s="25">
        <v>41.29</v>
      </c>
      <c r="D455" s="25">
        <v>45.28</v>
      </c>
      <c r="E455" s="4"/>
      <c r="F455" s="3">
        <f t="shared" si="21"/>
        <v>0.3</v>
      </c>
      <c r="G455" s="4" t="str">
        <f t="shared" si="22"/>
        <v>Opec Basket</v>
      </c>
      <c r="H455" s="25">
        <f t="shared" si="23"/>
        <v>41.29</v>
      </c>
      <c r="I455" s="25">
        <v>1.2137</v>
      </c>
    </row>
    <row r="456" spans="1:9">
      <c r="A456" s="15">
        <v>44089</v>
      </c>
      <c r="B456" s="25">
        <v>42.41</v>
      </c>
      <c r="C456" s="25">
        <v>39.35</v>
      </c>
      <c r="D456" s="25">
        <v>45.81</v>
      </c>
      <c r="E456" s="4"/>
      <c r="F456" s="3">
        <f t="shared" si="21"/>
        <v>0.3</v>
      </c>
      <c r="G456" s="4" t="str">
        <f t="shared" si="22"/>
        <v>Opec Basket</v>
      </c>
      <c r="H456" s="25">
        <f t="shared" si="23"/>
        <v>39.35</v>
      </c>
      <c r="I456" s="25">
        <v>1.2464999999999999</v>
      </c>
    </row>
    <row r="457" spans="1:9">
      <c r="A457" s="15">
        <v>44088</v>
      </c>
      <c r="B457" s="25">
        <v>42.41</v>
      </c>
      <c r="C457" s="25">
        <v>38.96</v>
      </c>
      <c r="D457" s="25">
        <v>45.09</v>
      </c>
      <c r="E457" s="4"/>
      <c r="F457" s="3">
        <f t="shared" si="21"/>
        <v>0.3</v>
      </c>
      <c r="G457" s="4" t="str">
        <f t="shared" si="22"/>
        <v>Opec Basket</v>
      </c>
      <c r="H457" s="25">
        <f t="shared" si="23"/>
        <v>38.96</v>
      </c>
      <c r="I457" s="25">
        <v>1.2181999999999999</v>
      </c>
    </row>
    <row r="458" spans="1:9">
      <c r="A458" s="15">
        <v>44085</v>
      </c>
      <c r="B458" s="25">
        <v>42.46</v>
      </c>
      <c r="C458" s="25">
        <v>39.369999999999997</v>
      </c>
      <c r="D458" s="25">
        <v>45.64</v>
      </c>
      <c r="E458" s="4"/>
      <c r="F458" s="3">
        <f t="shared" si="21"/>
        <v>0.3</v>
      </c>
      <c r="G458" s="4" t="str">
        <f t="shared" si="22"/>
        <v>Opec Basket</v>
      </c>
      <c r="H458" s="25">
        <f t="shared" si="23"/>
        <v>39.369999999999997</v>
      </c>
      <c r="I458" s="25">
        <v>1.2634000000000001</v>
      </c>
    </row>
    <row r="459" spans="1:9">
      <c r="A459" s="15">
        <v>44084</v>
      </c>
      <c r="B459" s="25">
        <v>42.45</v>
      </c>
      <c r="C459" s="25">
        <v>39.83</v>
      </c>
      <c r="D459" s="25">
        <v>45.86</v>
      </c>
      <c r="E459" s="4"/>
      <c r="F459" s="3">
        <f t="shared" si="21"/>
        <v>0.3</v>
      </c>
      <c r="G459" s="4" t="str">
        <f t="shared" si="22"/>
        <v>Opec Basket</v>
      </c>
      <c r="H459" s="25">
        <f t="shared" si="23"/>
        <v>39.83</v>
      </c>
      <c r="I459" s="25">
        <v>1.2685</v>
      </c>
    </row>
    <row r="460" spans="1:9">
      <c r="A460" s="15">
        <v>44083</v>
      </c>
      <c r="B460" s="25">
        <v>42.28</v>
      </c>
      <c r="C460" s="25">
        <v>39.82</v>
      </c>
      <c r="D460" s="25">
        <v>45.13</v>
      </c>
      <c r="E460" s="4"/>
      <c r="F460" s="3">
        <f t="shared" si="21"/>
        <v>0.3</v>
      </c>
      <c r="G460" s="4" t="str">
        <f t="shared" si="22"/>
        <v>Opec Basket</v>
      </c>
      <c r="H460" s="25">
        <f t="shared" si="23"/>
        <v>39.82</v>
      </c>
      <c r="I460" s="25">
        <v>1.2598</v>
      </c>
    </row>
    <row r="461" spans="1:9">
      <c r="A461" s="15">
        <v>44082</v>
      </c>
      <c r="B461" s="25">
        <v>42.2</v>
      </c>
      <c r="C461" s="25">
        <v>40.29</v>
      </c>
      <c r="D461" s="25">
        <v>44.35</v>
      </c>
      <c r="E461" s="4"/>
      <c r="F461" s="3">
        <f t="shared" si="21"/>
        <v>0.3</v>
      </c>
      <c r="G461" s="4" t="str">
        <f t="shared" si="22"/>
        <v>Opec Basket</v>
      </c>
      <c r="H461" s="25">
        <f t="shared" si="23"/>
        <v>40.29</v>
      </c>
      <c r="I461" s="25">
        <v>1.2130000000000001</v>
      </c>
    </row>
    <row r="462" spans="1:9">
      <c r="A462" s="15">
        <v>44081</v>
      </c>
      <c r="B462" s="25">
        <v>42.36</v>
      </c>
      <c r="C462" s="25">
        <v>41.64</v>
      </c>
      <c r="D462" s="25">
        <v>44.9</v>
      </c>
      <c r="E462" s="4"/>
      <c r="F462" s="3">
        <f t="shared" si="21"/>
        <v>0.3</v>
      </c>
      <c r="G462" s="4" t="str">
        <f t="shared" si="22"/>
        <v>Opec Basket</v>
      </c>
      <c r="H462" s="25">
        <f t="shared" si="23"/>
        <v>41.64</v>
      </c>
      <c r="I462" s="25">
        <v>1.2263999999999999</v>
      </c>
    </row>
    <row r="463" spans="1:9">
      <c r="A463" s="15">
        <v>44078</v>
      </c>
      <c r="B463" s="25">
        <v>42.47</v>
      </c>
      <c r="C463" s="25">
        <v>43.42</v>
      </c>
      <c r="D463" s="25">
        <v>45.37</v>
      </c>
      <c r="E463" s="4"/>
      <c r="F463" s="3">
        <f t="shared" si="21"/>
        <v>0</v>
      </c>
      <c r="G463" s="4" t="str">
        <f t="shared" si="22"/>
        <v>WTI Crude</v>
      </c>
      <c r="H463" s="25">
        <f t="shared" si="23"/>
        <v>42.47</v>
      </c>
      <c r="I463" s="25">
        <v>1.2284999999999999</v>
      </c>
    </row>
    <row r="464" spans="1:9">
      <c r="A464" s="15">
        <v>44077</v>
      </c>
      <c r="B464" s="25">
        <v>42.47</v>
      </c>
      <c r="C464" s="25">
        <v>43.36</v>
      </c>
      <c r="D464" s="25">
        <v>45.46</v>
      </c>
      <c r="E464" s="4"/>
      <c r="F464" s="3">
        <f t="shared" si="21"/>
        <v>0</v>
      </c>
      <c r="G464" s="4" t="str">
        <f t="shared" si="22"/>
        <v>WTI Crude</v>
      </c>
      <c r="H464" s="25">
        <f t="shared" si="23"/>
        <v>42.47</v>
      </c>
      <c r="I464" s="25">
        <v>1.2249000000000001</v>
      </c>
    </row>
    <row r="465" spans="1:9">
      <c r="A465" s="15">
        <v>44076</v>
      </c>
      <c r="B465" s="25">
        <v>42.49</v>
      </c>
      <c r="C465" s="25">
        <v>45.02</v>
      </c>
      <c r="D465" s="25">
        <v>45.37</v>
      </c>
      <c r="E465" s="4"/>
      <c r="F465" s="3">
        <f t="shared" si="21"/>
        <v>0</v>
      </c>
      <c r="G465" s="4" t="str">
        <f t="shared" si="22"/>
        <v>WTI Crude</v>
      </c>
      <c r="H465" s="25">
        <f t="shared" si="23"/>
        <v>42.49</v>
      </c>
      <c r="I465" s="25">
        <v>1.2134</v>
      </c>
    </row>
    <row r="466" spans="1:9">
      <c r="A466" s="15">
        <v>44075</v>
      </c>
      <c r="B466" s="25">
        <v>42.04</v>
      </c>
      <c r="C466" s="25">
        <v>45.3</v>
      </c>
      <c r="D466" s="25">
        <v>44.8</v>
      </c>
      <c r="E466" s="4"/>
      <c r="F466" s="3">
        <f t="shared" si="21"/>
        <v>0</v>
      </c>
      <c r="G466" s="4" t="str">
        <f t="shared" si="22"/>
        <v>WTI Crude</v>
      </c>
      <c r="H466" s="25">
        <f t="shared" si="23"/>
        <v>42.04</v>
      </c>
      <c r="I466" s="25">
        <v>1.1879999999999999</v>
      </c>
    </row>
    <row r="467" spans="1:9">
      <c r="A467" s="15">
        <v>44074</v>
      </c>
      <c r="B467" s="25">
        <v>42.16</v>
      </c>
      <c r="C467" s="25">
        <v>46.27</v>
      </c>
      <c r="D467" s="25">
        <v>44.96</v>
      </c>
      <c r="E467" s="4"/>
      <c r="F467" s="3">
        <f t="shared" si="21"/>
        <v>0</v>
      </c>
      <c r="G467" s="4" t="str">
        <f t="shared" si="22"/>
        <v>WTI Crude</v>
      </c>
      <c r="H467" s="25">
        <f t="shared" si="23"/>
        <v>42.16</v>
      </c>
      <c r="I467" s="25">
        <v>1.1789000000000001</v>
      </c>
    </row>
    <row r="468" spans="1:9">
      <c r="A468" s="15">
        <v>44071</v>
      </c>
      <c r="B468" s="25">
        <v>42.43</v>
      </c>
      <c r="C468" s="25">
        <v>45.33</v>
      </c>
      <c r="D468" s="25">
        <v>45.43</v>
      </c>
      <c r="E468" s="4"/>
      <c r="F468" s="3">
        <f t="shared" si="21"/>
        <v>0</v>
      </c>
      <c r="G468" s="4" t="str">
        <f t="shared" si="22"/>
        <v>WTI Crude</v>
      </c>
      <c r="H468" s="25">
        <f t="shared" si="23"/>
        <v>42.43</v>
      </c>
      <c r="I468" s="25">
        <v>1.1858</v>
      </c>
    </row>
    <row r="469" spans="1:9">
      <c r="A469" s="15">
        <v>44070</v>
      </c>
      <c r="B469" s="25">
        <v>41.71</v>
      </c>
      <c r="C469" s="25">
        <v>45.81</v>
      </c>
      <c r="D469" s="25">
        <v>44.5</v>
      </c>
      <c r="E469" s="4"/>
      <c r="F469" s="3">
        <f t="shared" si="21"/>
        <v>0</v>
      </c>
      <c r="G469" s="4" t="str">
        <f t="shared" si="22"/>
        <v>WTI Crude</v>
      </c>
      <c r="H469" s="25">
        <f t="shared" si="23"/>
        <v>41.71</v>
      </c>
      <c r="I469" s="25">
        <v>1.2044999999999999</v>
      </c>
    </row>
    <row r="470" spans="1:9">
      <c r="A470" s="15">
        <v>44069</v>
      </c>
      <c r="B470" s="25">
        <v>41.94</v>
      </c>
      <c r="C470" s="25">
        <v>46.05</v>
      </c>
      <c r="D470" s="25">
        <v>44.99</v>
      </c>
      <c r="E470" s="4"/>
      <c r="F470" s="3">
        <f t="shared" si="21"/>
        <v>0</v>
      </c>
      <c r="G470" s="4" t="str">
        <f t="shared" si="22"/>
        <v>WTI Crude</v>
      </c>
      <c r="H470" s="25">
        <f t="shared" si="23"/>
        <v>41.94</v>
      </c>
      <c r="I470" s="25">
        <v>1.2293000000000001</v>
      </c>
    </row>
    <row r="471" spans="1:9">
      <c r="A471" s="15">
        <v>44068</v>
      </c>
      <c r="B471" s="25">
        <v>41.4</v>
      </c>
      <c r="C471" s="25">
        <v>45.87</v>
      </c>
      <c r="D471" s="25">
        <v>44.4</v>
      </c>
      <c r="E471" s="4"/>
      <c r="F471" s="3">
        <f t="shared" si="21"/>
        <v>0</v>
      </c>
      <c r="G471" s="4" t="str">
        <f t="shared" si="22"/>
        <v>WTI Crude</v>
      </c>
      <c r="H471" s="25">
        <f t="shared" si="23"/>
        <v>41.4</v>
      </c>
      <c r="I471" s="25">
        <v>1.2076</v>
      </c>
    </row>
    <row r="472" spans="1:9">
      <c r="A472" s="15">
        <v>44067</v>
      </c>
      <c r="B472" s="25">
        <v>41.99</v>
      </c>
      <c r="C472" s="25">
        <v>45.19</v>
      </c>
      <c r="D472" s="25">
        <v>45.09</v>
      </c>
      <c r="E472" s="4"/>
      <c r="F472" s="3">
        <f t="shared" si="21"/>
        <v>0</v>
      </c>
      <c r="G472" s="4" t="str">
        <f t="shared" si="22"/>
        <v>WTI Crude</v>
      </c>
      <c r="H472" s="25">
        <f t="shared" si="23"/>
        <v>41.99</v>
      </c>
      <c r="I472" s="25">
        <v>1.2281</v>
      </c>
    </row>
    <row r="473" spans="1:9">
      <c r="A473" s="15">
        <v>44064</v>
      </c>
      <c r="B473" s="25">
        <v>42.19</v>
      </c>
      <c r="C473" s="25">
        <v>44.92</v>
      </c>
      <c r="D473" s="25">
        <v>45.17</v>
      </c>
      <c r="E473" s="4"/>
      <c r="F473" s="3">
        <f t="shared" si="21"/>
        <v>0</v>
      </c>
      <c r="G473" s="4" t="str">
        <f t="shared" si="22"/>
        <v>WTI Crude</v>
      </c>
      <c r="H473" s="25">
        <f t="shared" si="23"/>
        <v>42.19</v>
      </c>
      <c r="I473" s="25">
        <v>1.2228000000000001</v>
      </c>
    </row>
    <row r="474" spans="1:9">
      <c r="A474" s="15">
        <v>44063</v>
      </c>
      <c r="B474" s="25">
        <v>41.74</v>
      </c>
      <c r="C474" s="25">
        <v>45.05</v>
      </c>
      <c r="D474" s="25">
        <v>44.43</v>
      </c>
      <c r="E474" s="4"/>
      <c r="F474" s="3">
        <f t="shared" si="21"/>
        <v>0</v>
      </c>
      <c r="G474" s="4" t="str">
        <f t="shared" si="22"/>
        <v>WTI Crude</v>
      </c>
      <c r="H474" s="25">
        <f t="shared" si="23"/>
        <v>41.74</v>
      </c>
      <c r="I474" s="25">
        <v>1.2142999999999999</v>
      </c>
    </row>
    <row r="475" spans="1:9">
      <c r="A475" s="15">
        <v>44062</v>
      </c>
      <c r="B475" s="25">
        <v>41.11</v>
      </c>
      <c r="C475" s="25">
        <v>45.19</v>
      </c>
      <c r="D475" s="25">
        <v>44.15</v>
      </c>
      <c r="E475" s="4"/>
      <c r="F475" s="3">
        <f t="shared" si="21"/>
        <v>0</v>
      </c>
      <c r="G475" s="4" t="str">
        <f t="shared" si="22"/>
        <v>WTI Crude</v>
      </c>
      <c r="H475" s="25">
        <f t="shared" si="23"/>
        <v>41.11</v>
      </c>
      <c r="I475" s="25">
        <v>1.2131000000000001</v>
      </c>
    </row>
    <row r="476" spans="1:9">
      <c r="A476" s="15">
        <v>44061</v>
      </c>
      <c r="B476" s="25">
        <v>40.770000000000003</v>
      </c>
      <c r="C476" s="25">
        <v>45.49</v>
      </c>
      <c r="D476" s="25">
        <v>43.3</v>
      </c>
      <c r="E476" s="4"/>
      <c r="F476" s="3">
        <f t="shared" si="21"/>
        <v>0</v>
      </c>
      <c r="G476" s="4" t="str">
        <f t="shared" si="22"/>
        <v>WTI Crude</v>
      </c>
      <c r="H476" s="25">
        <f t="shared" si="23"/>
        <v>40.770000000000003</v>
      </c>
      <c r="I476" s="25">
        <v>1.1711</v>
      </c>
    </row>
    <row r="477" spans="1:9">
      <c r="A477" s="15">
        <v>44060</v>
      </c>
      <c r="B477" s="25">
        <v>40.75</v>
      </c>
      <c r="C477" s="25">
        <v>44.94</v>
      </c>
      <c r="D477" s="25">
        <v>42.94</v>
      </c>
      <c r="E477" s="4"/>
      <c r="F477" s="3">
        <f t="shared" si="21"/>
        <v>0</v>
      </c>
      <c r="G477" s="4" t="str">
        <f t="shared" si="22"/>
        <v>WTI Crude</v>
      </c>
      <c r="H477" s="25">
        <f t="shared" si="23"/>
        <v>40.75</v>
      </c>
      <c r="I477" s="25">
        <v>1.1908000000000001</v>
      </c>
    </row>
    <row r="478" spans="1:9">
      <c r="A478" s="15">
        <v>44057</v>
      </c>
      <c r="B478" s="25">
        <v>40.869999999999997</v>
      </c>
      <c r="C478" s="25">
        <v>44.62</v>
      </c>
      <c r="D478" s="25">
        <v>43.75</v>
      </c>
      <c r="E478" s="4"/>
      <c r="F478" s="3">
        <f t="shared" si="21"/>
        <v>0</v>
      </c>
      <c r="G478" s="4" t="str">
        <f t="shared" si="22"/>
        <v>WTI Crude</v>
      </c>
      <c r="H478" s="25">
        <f t="shared" si="23"/>
        <v>40.869999999999997</v>
      </c>
      <c r="I478" s="25">
        <v>1.2132000000000001</v>
      </c>
    </row>
    <row r="479" spans="1:9">
      <c r="A479" s="15">
        <v>44056</v>
      </c>
      <c r="B479" s="25">
        <v>40.840000000000003</v>
      </c>
      <c r="C479" s="25">
        <v>45.34</v>
      </c>
      <c r="D479" s="25">
        <v>43.22</v>
      </c>
      <c r="E479" s="4"/>
      <c r="F479" s="3">
        <f t="shared" si="21"/>
        <v>0</v>
      </c>
      <c r="G479" s="4" t="str">
        <f t="shared" si="22"/>
        <v>WTI Crude</v>
      </c>
      <c r="H479" s="25">
        <f t="shared" si="23"/>
        <v>40.840000000000003</v>
      </c>
      <c r="I479" s="25">
        <v>1.2352000000000001</v>
      </c>
    </row>
    <row r="480" spans="1:9">
      <c r="A480" s="15">
        <v>44055</v>
      </c>
      <c r="B480" s="25">
        <v>40.94</v>
      </c>
      <c r="C480" s="25">
        <v>45.08</v>
      </c>
      <c r="D480" s="25">
        <v>43.41</v>
      </c>
      <c r="E480" s="4"/>
      <c r="F480" s="3">
        <f t="shared" si="21"/>
        <v>0</v>
      </c>
      <c r="G480" s="4" t="str">
        <f t="shared" si="22"/>
        <v>WTI Crude</v>
      </c>
      <c r="H480" s="25">
        <f t="shared" si="23"/>
        <v>40.94</v>
      </c>
      <c r="I480" s="25">
        <v>1.2446999999999999</v>
      </c>
    </row>
    <row r="481" spans="1:9">
      <c r="A481" s="15">
        <v>44054</v>
      </c>
      <c r="B481" s="25">
        <v>40.869999999999997</v>
      </c>
      <c r="C481" s="25">
        <v>45.21</v>
      </c>
      <c r="D481" s="25">
        <v>43.34</v>
      </c>
      <c r="E481" s="4"/>
      <c r="F481" s="3">
        <f t="shared" si="21"/>
        <v>0</v>
      </c>
      <c r="G481" s="4" t="str">
        <f t="shared" si="22"/>
        <v>WTI Crude</v>
      </c>
      <c r="H481" s="25">
        <f t="shared" si="23"/>
        <v>40.869999999999997</v>
      </c>
      <c r="I481" s="25">
        <v>1.256</v>
      </c>
    </row>
    <row r="482" spans="1:9">
      <c r="A482" s="15">
        <v>44053</v>
      </c>
      <c r="B482" s="25">
        <v>40.81</v>
      </c>
      <c r="C482" s="25">
        <v>45.01</v>
      </c>
      <c r="D482" s="25">
        <v>43.31</v>
      </c>
      <c r="E482" s="4"/>
      <c r="F482" s="3">
        <f t="shared" si="21"/>
        <v>0</v>
      </c>
      <c r="G482" s="4" t="str">
        <f t="shared" si="22"/>
        <v>WTI Crude</v>
      </c>
      <c r="H482" s="25">
        <f t="shared" si="23"/>
        <v>40.81</v>
      </c>
      <c r="I482" s="25">
        <v>1.2363</v>
      </c>
    </row>
    <row r="483" spans="1:9">
      <c r="A483" s="15">
        <v>44050</v>
      </c>
      <c r="B483" s="25">
        <v>41.08</v>
      </c>
      <c r="C483" s="25">
        <v>44.87</v>
      </c>
      <c r="D483" s="25">
        <v>44.29</v>
      </c>
      <c r="E483" s="4"/>
      <c r="F483" s="3">
        <f t="shared" si="21"/>
        <v>0</v>
      </c>
      <c r="G483" s="4" t="str">
        <f t="shared" si="22"/>
        <v>WTI Crude</v>
      </c>
      <c r="H483" s="25">
        <f t="shared" si="23"/>
        <v>41.08</v>
      </c>
      <c r="I483" s="25">
        <v>1.2603</v>
      </c>
    </row>
    <row r="484" spans="1:9">
      <c r="A484" s="15">
        <v>44049</v>
      </c>
      <c r="B484" s="25">
        <v>41.08</v>
      </c>
      <c r="C484" s="25">
        <v>45.17</v>
      </c>
      <c r="D484" s="25">
        <v>44.32</v>
      </c>
      <c r="E484" s="4"/>
      <c r="F484" s="3">
        <f t="shared" si="21"/>
        <v>0</v>
      </c>
      <c r="G484" s="4" t="str">
        <f t="shared" si="22"/>
        <v>WTI Crude</v>
      </c>
      <c r="H484" s="25">
        <f t="shared" si="23"/>
        <v>41.08</v>
      </c>
      <c r="I484" s="25">
        <v>1.2604</v>
      </c>
    </row>
    <row r="485" spans="1:9">
      <c r="A485" s="15">
        <v>44048</v>
      </c>
      <c r="B485" s="25">
        <v>40.67</v>
      </c>
      <c r="C485" s="25">
        <v>45.34</v>
      </c>
      <c r="D485" s="25">
        <v>43.28</v>
      </c>
      <c r="E485" s="4"/>
      <c r="F485" s="3">
        <f t="shared" si="21"/>
        <v>0</v>
      </c>
      <c r="G485" s="4" t="str">
        <f t="shared" si="22"/>
        <v>WTI Crude</v>
      </c>
      <c r="H485" s="25">
        <f t="shared" si="23"/>
        <v>40.67</v>
      </c>
      <c r="I485" s="25">
        <v>1.2131000000000001</v>
      </c>
    </row>
    <row r="486" spans="1:9">
      <c r="A486" s="15">
        <v>44047</v>
      </c>
      <c r="B486" s="25">
        <v>40.590000000000003</v>
      </c>
      <c r="C486" s="25">
        <v>44.27</v>
      </c>
      <c r="D486" s="25">
        <v>43.14</v>
      </c>
      <c r="E486" s="4"/>
      <c r="F486" s="3">
        <f t="shared" si="21"/>
        <v>0</v>
      </c>
      <c r="G486" s="4" t="str">
        <f t="shared" si="22"/>
        <v>WTI Crude</v>
      </c>
      <c r="H486" s="25">
        <f t="shared" si="23"/>
        <v>40.590000000000003</v>
      </c>
      <c r="I486" s="25">
        <v>1.2061999999999999</v>
      </c>
    </row>
    <row r="487" spans="1:9">
      <c r="A487" s="15">
        <v>44046</v>
      </c>
      <c r="B487" s="25">
        <v>40.67</v>
      </c>
      <c r="C487" s="25">
        <v>44.02</v>
      </c>
      <c r="D487" s="25">
        <v>43.37</v>
      </c>
      <c r="E487" s="4"/>
      <c r="F487" s="3">
        <f t="shared" si="21"/>
        <v>0</v>
      </c>
      <c r="G487" s="4" t="str">
        <f t="shared" si="22"/>
        <v>WTI Crude</v>
      </c>
      <c r="H487" s="25">
        <f t="shared" si="23"/>
        <v>40.67</v>
      </c>
      <c r="I487" s="25">
        <v>1.2157</v>
      </c>
    </row>
    <row r="488" spans="1:9">
      <c r="A488" s="15">
        <v>44043</v>
      </c>
      <c r="B488" s="25">
        <v>40.93</v>
      </c>
      <c r="C488" s="25">
        <v>43.02</v>
      </c>
      <c r="D488" s="25">
        <v>43.79</v>
      </c>
      <c r="E488" s="4"/>
      <c r="F488" s="3">
        <f t="shared" si="21"/>
        <v>0</v>
      </c>
      <c r="G488" s="4" t="str">
        <f t="shared" si="22"/>
        <v>WTI Crude</v>
      </c>
      <c r="H488" s="25">
        <f t="shared" si="23"/>
        <v>40.93</v>
      </c>
      <c r="I488" s="25">
        <v>1.2427999999999999</v>
      </c>
    </row>
    <row r="489" spans="1:9">
      <c r="A489" s="15">
        <v>44042</v>
      </c>
      <c r="B489" s="25">
        <v>40.409999999999997</v>
      </c>
      <c r="C489" s="25">
        <v>42.99</v>
      </c>
      <c r="D489" s="25">
        <v>42.9</v>
      </c>
      <c r="E489" s="4"/>
      <c r="F489" s="3">
        <f t="shared" si="21"/>
        <v>0</v>
      </c>
      <c r="G489" s="4" t="str">
        <f t="shared" si="22"/>
        <v>WTI Crude</v>
      </c>
      <c r="H489" s="25">
        <f t="shared" si="23"/>
        <v>40.409999999999997</v>
      </c>
      <c r="I489" s="25">
        <v>1.2262</v>
      </c>
    </row>
    <row r="490" spans="1:9">
      <c r="A490" s="15">
        <v>44041</v>
      </c>
      <c r="B490" s="25">
        <v>40.28</v>
      </c>
      <c r="C490" s="25">
        <v>43.59</v>
      </c>
      <c r="D490" s="25">
        <v>42.72</v>
      </c>
      <c r="E490" s="4"/>
      <c r="F490" s="3">
        <f t="shared" si="21"/>
        <v>0</v>
      </c>
      <c r="G490" s="4" t="str">
        <f t="shared" si="22"/>
        <v>WTI Crude</v>
      </c>
      <c r="H490" s="25">
        <f t="shared" si="23"/>
        <v>40.28</v>
      </c>
      <c r="I490" s="25">
        <v>1.2471000000000001</v>
      </c>
    </row>
    <row r="491" spans="1:9">
      <c r="A491" s="15">
        <v>44040</v>
      </c>
      <c r="B491" s="25">
        <v>40.58</v>
      </c>
      <c r="C491" s="25">
        <v>43.4</v>
      </c>
      <c r="D491" s="25">
        <v>43.24</v>
      </c>
      <c r="E491" s="4"/>
      <c r="F491" s="3">
        <f t="shared" si="21"/>
        <v>0</v>
      </c>
      <c r="G491" s="4" t="str">
        <f t="shared" si="22"/>
        <v>WTI Crude</v>
      </c>
      <c r="H491" s="25">
        <f t="shared" si="23"/>
        <v>40.58</v>
      </c>
      <c r="I491" s="25">
        <v>1.2830999999999999</v>
      </c>
    </row>
    <row r="492" spans="1:9">
      <c r="A492" s="15">
        <v>44039</v>
      </c>
      <c r="B492" s="25">
        <v>39.9</v>
      </c>
      <c r="C492" s="25">
        <v>43.14</v>
      </c>
      <c r="D492" s="25">
        <v>42.35</v>
      </c>
      <c r="E492" s="4"/>
      <c r="F492" s="3">
        <f t="shared" si="21"/>
        <v>0</v>
      </c>
      <c r="G492" s="4" t="str">
        <f t="shared" si="22"/>
        <v>WTI Crude</v>
      </c>
      <c r="H492" s="25">
        <f t="shared" si="23"/>
        <v>39.9</v>
      </c>
      <c r="I492" s="25">
        <v>1.2504999999999999</v>
      </c>
    </row>
    <row r="493" spans="1:9">
      <c r="A493" s="15">
        <v>44036</v>
      </c>
      <c r="B493" s="25">
        <v>40.869999999999997</v>
      </c>
      <c r="C493" s="25">
        <v>43.38</v>
      </c>
      <c r="D493" s="25">
        <v>43.29</v>
      </c>
      <c r="E493" s="4"/>
      <c r="F493" s="3">
        <f t="shared" si="21"/>
        <v>0</v>
      </c>
      <c r="G493" s="4" t="str">
        <f t="shared" si="22"/>
        <v>WTI Crude</v>
      </c>
      <c r="H493" s="25">
        <f t="shared" si="23"/>
        <v>40.869999999999997</v>
      </c>
      <c r="I493" s="25">
        <v>1.2908999999999999</v>
      </c>
    </row>
    <row r="494" spans="1:9">
      <c r="A494" s="15">
        <v>44035</v>
      </c>
      <c r="B494" s="25">
        <v>40.61</v>
      </c>
      <c r="C494" s="25">
        <v>44.62</v>
      </c>
      <c r="D494" s="25">
        <v>43.08</v>
      </c>
      <c r="E494" s="4"/>
      <c r="F494" s="3">
        <f t="shared" si="21"/>
        <v>0</v>
      </c>
      <c r="G494" s="4" t="str">
        <f t="shared" si="22"/>
        <v>WTI Crude</v>
      </c>
      <c r="H494" s="25">
        <f t="shared" si="23"/>
        <v>40.61</v>
      </c>
      <c r="I494" s="25">
        <v>1.2749999999999999</v>
      </c>
    </row>
    <row r="495" spans="1:9">
      <c r="A495" s="15">
        <v>44034</v>
      </c>
      <c r="B495" s="25">
        <v>40.630000000000003</v>
      </c>
      <c r="C495" s="25">
        <v>44.24</v>
      </c>
      <c r="D495" s="25">
        <v>43.1</v>
      </c>
      <c r="E495" s="4"/>
      <c r="F495" s="3">
        <f t="shared" si="21"/>
        <v>0</v>
      </c>
      <c r="G495" s="4" t="str">
        <f t="shared" si="22"/>
        <v>WTI Crude</v>
      </c>
      <c r="H495" s="25">
        <f t="shared" si="23"/>
        <v>40.630000000000003</v>
      </c>
      <c r="I495" s="25">
        <v>1.2407999999999999</v>
      </c>
    </row>
    <row r="496" spans="1:9">
      <c r="A496" s="15">
        <v>44033</v>
      </c>
      <c r="B496" s="25">
        <v>40.65</v>
      </c>
      <c r="C496" s="25">
        <v>44.29</v>
      </c>
      <c r="D496" s="25">
        <v>43.14</v>
      </c>
      <c r="E496" s="4"/>
      <c r="F496" s="3">
        <f t="shared" si="21"/>
        <v>0</v>
      </c>
      <c r="G496" s="4" t="str">
        <f t="shared" si="22"/>
        <v>WTI Crude</v>
      </c>
      <c r="H496" s="25">
        <f t="shared" si="23"/>
        <v>40.65</v>
      </c>
      <c r="I496" s="25">
        <v>1.2592000000000001</v>
      </c>
    </row>
    <row r="497" spans="1:9">
      <c r="A497" s="15">
        <v>44032</v>
      </c>
      <c r="B497" s="25">
        <v>39.86</v>
      </c>
      <c r="C497" s="25">
        <v>43.03</v>
      </c>
      <c r="D497" s="25">
        <v>42.03</v>
      </c>
      <c r="E497" s="4"/>
      <c r="F497" s="3">
        <f t="shared" si="21"/>
        <v>0</v>
      </c>
      <c r="G497" s="4" t="str">
        <f t="shared" si="22"/>
        <v>WTI Crude</v>
      </c>
      <c r="H497" s="25">
        <f t="shared" si="23"/>
        <v>39.86</v>
      </c>
      <c r="I497" s="25">
        <v>1.2169000000000001</v>
      </c>
    </row>
    <row r="498" spans="1:9">
      <c r="A498" s="15">
        <v>44029</v>
      </c>
      <c r="B498" s="25">
        <v>38.31</v>
      </c>
      <c r="C498" s="25">
        <v>43.22</v>
      </c>
      <c r="D498" s="25">
        <v>41.15</v>
      </c>
      <c r="E498" s="4"/>
      <c r="F498" s="3">
        <f t="shared" si="21"/>
        <v>0</v>
      </c>
      <c r="G498" s="4" t="str">
        <f t="shared" si="22"/>
        <v>WTI Crude</v>
      </c>
      <c r="H498" s="25">
        <f t="shared" si="23"/>
        <v>38.31</v>
      </c>
      <c r="I498" s="25">
        <v>1.2015</v>
      </c>
    </row>
    <row r="499" spans="1:9">
      <c r="A499" s="15">
        <v>44028</v>
      </c>
      <c r="B499" s="25">
        <v>38.33</v>
      </c>
      <c r="C499" s="25">
        <v>43.8</v>
      </c>
      <c r="D499" s="25">
        <v>41.71</v>
      </c>
      <c r="E499" s="4"/>
      <c r="F499" s="3">
        <f t="shared" si="21"/>
        <v>0</v>
      </c>
      <c r="G499" s="4" t="str">
        <f t="shared" si="22"/>
        <v>WTI Crude</v>
      </c>
      <c r="H499" s="25">
        <f t="shared" si="23"/>
        <v>38.33</v>
      </c>
      <c r="I499" s="25">
        <v>1.1878</v>
      </c>
    </row>
    <row r="500" spans="1:9">
      <c r="A500" s="15">
        <v>44027</v>
      </c>
      <c r="B500" s="25">
        <v>38.22</v>
      </c>
      <c r="C500" s="25">
        <v>44.12</v>
      </c>
      <c r="D500" s="25">
        <v>41.02</v>
      </c>
      <c r="E500" s="4"/>
      <c r="F500" s="3">
        <f t="shared" si="21"/>
        <v>0</v>
      </c>
      <c r="G500" s="4" t="str">
        <f t="shared" si="22"/>
        <v>WTI Crude</v>
      </c>
      <c r="H500" s="25">
        <f t="shared" si="23"/>
        <v>38.22</v>
      </c>
      <c r="I500" s="25">
        <v>1.1569</v>
      </c>
    </row>
    <row r="501" spans="1:9">
      <c r="A501" s="15">
        <v>44026</v>
      </c>
      <c r="B501" s="25">
        <v>38.25</v>
      </c>
      <c r="C501" s="25">
        <v>43.02</v>
      </c>
      <c r="D501" s="25">
        <v>41.05</v>
      </c>
      <c r="E501" s="4"/>
      <c r="F501" s="3">
        <f t="shared" si="21"/>
        <v>0</v>
      </c>
      <c r="G501" s="4" t="str">
        <f t="shared" si="22"/>
        <v>WTI Crude</v>
      </c>
      <c r="H501" s="25">
        <f t="shared" si="23"/>
        <v>38.25</v>
      </c>
      <c r="I501" s="25">
        <v>1.1972</v>
      </c>
    </row>
    <row r="502" spans="1:9">
      <c r="A502" s="15">
        <v>44025</v>
      </c>
      <c r="B502" s="25">
        <v>38.130000000000003</v>
      </c>
      <c r="C502" s="25">
        <v>43.38</v>
      </c>
      <c r="D502" s="25">
        <v>40.31</v>
      </c>
      <c r="E502" s="4"/>
      <c r="F502" s="3">
        <f t="shared" si="21"/>
        <v>0</v>
      </c>
      <c r="G502" s="4" t="str">
        <f t="shared" si="22"/>
        <v>WTI Crude</v>
      </c>
      <c r="H502" s="25">
        <f t="shared" si="23"/>
        <v>38.130000000000003</v>
      </c>
      <c r="I502" s="25">
        <v>1.1992</v>
      </c>
    </row>
    <row r="503" spans="1:9">
      <c r="A503" s="15">
        <v>44022</v>
      </c>
      <c r="B503" s="25">
        <v>38.659999999999997</v>
      </c>
      <c r="C503" s="25">
        <v>43.47</v>
      </c>
      <c r="D503" s="25">
        <v>42.63</v>
      </c>
      <c r="E503" s="4"/>
      <c r="F503" s="3">
        <f t="shared" si="21"/>
        <v>0</v>
      </c>
      <c r="G503" s="4" t="str">
        <f t="shared" si="22"/>
        <v>WTI Crude</v>
      </c>
      <c r="H503" s="25">
        <f t="shared" si="23"/>
        <v>38.659999999999997</v>
      </c>
      <c r="I503" s="25">
        <v>1.2983</v>
      </c>
    </row>
    <row r="504" spans="1:9">
      <c r="A504" s="15">
        <v>44021</v>
      </c>
      <c r="B504" s="25">
        <v>38.76</v>
      </c>
      <c r="C504" s="25">
        <v>43.31</v>
      </c>
      <c r="D504" s="25">
        <v>43.08</v>
      </c>
      <c r="E504" s="4"/>
      <c r="F504" s="3">
        <f t="shared" si="21"/>
        <v>0</v>
      </c>
      <c r="G504" s="4" t="str">
        <f t="shared" si="22"/>
        <v>WTI Crude</v>
      </c>
      <c r="H504" s="25">
        <f t="shared" si="23"/>
        <v>38.76</v>
      </c>
      <c r="I504" s="25">
        <v>1.2904</v>
      </c>
    </row>
    <row r="505" spans="1:9">
      <c r="A505" s="15">
        <v>44020</v>
      </c>
      <c r="B505" s="25">
        <v>38.479999999999997</v>
      </c>
      <c r="C505" s="25">
        <v>43.44</v>
      </c>
      <c r="D505" s="25">
        <v>42.19</v>
      </c>
      <c r="E505" s="4"/>
      <c r="F505" s="3">
        <f t="shared" si="21"/>
        <v>0</v>
      </c>
      <c r="G505" s="4" t="str">
        <f t="shared" si="22"/>
        <v>WTI Crude</v>
      </c>
      <c r="H505" s="25">
        <f t="shared" si="23"/>
        <v>38.479999999999997</v>
      </c>
      <c r="I505" s="25">
        <v>1.2709999999999999</v>
      </c>
    </row>
    <row r="506" spans="1:9">
      <c r="A506" s="15">
        <v>44019</v>
      </c>
      <c r="B506" s="25">
        <v>38.19</v>
      </c>
      <c r="C506" s="25">
        <v>43.15</v>
      </c>
      <c r="D506" s="25">
        <v>41.51</v>
      </c>
      <c r="E506" s="4"/>
      <c r="F506" s="3">
        <f t="shared" si="21"/>
        <v>0</v>
      </c>
      <c r="G506" s="4" t="str">
        <f t="shared" si="22"/>
        <v>WTI Crude</v>
      </c>
      <c r="H506" s="25">
        <f t="shared" si="23"/>
        <v>38.19</v>
      </c>
      <c r="I506" s="25">
        <v>1.2575000000000001</v>
      </c>
    </row>
    <row r="507" spans="1:9">
      <c r="A507" s="15">
        <v>44018</v>
      </c>
      <c r="B507" s="25">
        <v>37.840000000000003</v>
      </c>
      <c r="C507" s="25">
        <v>43.57</v>
      </c>
      <c r="D507" s="25">
        <v>40.71</v>
      </c>
      <c r="E507" s="4"/>
      <c r="F507" s="3">
        <f t="shared" si="21"/>
        <v>0</v>
      </c>
      <c r="G507" s="4" t="str">
        <f t="shared" si="22"/>
        <v>WTI Crude</v>
      </c>
      <c r="H507" s="25">
        <f t="shared" si="23"/>
        <v>37.840000000000003</v>
      </c>
      <c r="I507" s="25">
        <v>1.2219</v>
      </c>
    </row>
    <row r="508" spans="1:9">
      <c r="A508" s="15">
        <v>44015</v>
      </c>
      <c r="B508" s="25">
        <v>38.03</v>
      </c>
      <c r="C508" s="25">
        <v>42.96</v>
      </c>
      <c r="D508" s="25">
        <v>40.96</v>
      </c>
      <c r="E508" s="4"/>
      <c r="F508" s="3">
        <f t="shared" si="21"/>
        <v>0</v>
      </c>
      <c r="G508" s="4" t="str">
        <f t="shared" si="22"/>
        <v>WTI Crude</v>
      </c>
      <c r="H508" s="25">
        <f t="shared" si="23"/>
        <v>38.03</v>
      </c>
      <c r="I508" s="25">
        <v>1.2149000000000001</v>
      </c>
    </row>
    <row r="509" spans="1:9">
      <c r="A509" s="15">
        <v>44014</v>
      </c>
      <c r="B509" s="25">
        <v>37.42</v>
      </c>
      <c r="C509" s="25">
        <v>42.93</v>
      </c>
      <c r="D509" s="25">
        <v>39.72</v>
      </c>
      <c r="E509" s="4"/>
      <c r="F509" s="3">
        <f t="shared" si="21"/>
        <v>0</v>
      </c>
      <c r="G509" s="4" t="str">
        <f t="shared" si="22"/>
        <v>WTI Crude</v>
      </c>
      <c r="H509" s="25">
        <f t="shared" si="23"/>
        <v>37.42</v>
      </c>
      <c r="I509" s="25">
        <v>1.1732</v>
      </c>
    </row>
    <row r="510" spans="1:9">
      <c r="A510" s="15">
        <v>44013</v>
      </c>
      <c r="B510" s="25">
        <v>36.93</v>
      </c>
      <c r="C510" s="25">
        <v>42.69</v>
      </c>
      <c r="D510" s="25">
        <v>38.729999999999997</v>
      </c>
      <c r="E510" s="4"/>
      <c r="F510" s="3">
        <f t="shared" si="21"/>
        <v>0</v>
      </c>
      <c r="G510" s="4" t="str">
        <f t="shared" si="22"/>
        <v>WTI Crude</v>
      </c>
      <c r="H510" s="25">
        <f t="shared" si="23"/>
        <v>36.93</v>
      </c>
      <c r="I510" s="25">
        <v>1.1367</v>
      </c>
    </row>
    <row r="511" spans="1:9">
      <c r="A511" s="15">
        <v>44012</v>
      </c>
      <c r="B511" s="25">
        <v>36.97</v>
      </c>
      <c r="C511" s="25">
        <v>38.22</v>
      </c>
      <c r="D511" s="25">
        <v>38.549999999999997</v>
      </c>
      <c r="E511" s="4"/>
      <c r="F511" s="3">
        <f t="shared" si="21"/>
        <v>0</v>
      </c>
      <c r="G511" s="4" t="str">
        <f t="shared" si="22"/>
        <v>WTI Crude</v>
      </c>
      <c r="H511" s="25">
        <f t="shared" si="23"/>
        <v>36.97</v>
      </c>
      <c r="I511" s="25">
        <v>1.1188</v>
      </c>
    </row>
    <row r="512" spans="1:9">
      <c r="A512" s="15">
        <v>44011</v>
      </c>
      <c r="B512" s="25">
        <v>39.03</v>
      </c>
      <c r="C512" s="25">
        <v>37.340000000000003</v>
      </c>
      <c r="D512" s="25">
        <v>41.73</v>
      </c>
      <c r="E512" s="4"/>
      <c r="F512" s="3">
        <f t="shared" si="21"/>
        <v>0.3</v>
      </c>
      <c r="G512" s="4" t="str">
        <f t="shared" si="22"/>
        <v>Opec Basket</v>
      </c>
      <c r="H512" s="25">
        <f t="shared" si="23"/>
        <v>37.340000000000003</v>
      </c>
      <c r="I512" s="25">
        <v>1.2099</v>
      </c>
    </row>
    <row r="513" spans="1:9">
      <c r="A513" s="15">
        <v>44008</v>
      </c>
      <c r="B513" s="25">
        <v>38.590000000000003</v>
      </c>
      <c r="C513" s="25">
        <v>37.99</v>
      </c>
      <c r="D513" s="25">
        <v>41.18</v>
      </c>
      <c r="E513" s="4"/>
      <c r="F513" s="3">
        <f t="shared" si="21"/>
        <v>0.3</v>
      </c>
      <c r="G513" s="4" t="str">
        <f t="shared" si="22"/>
        <v>Opec Basket</v>
      </c>
      <c r="H513" s="25">
        <f t="shared" si="23"/>
        <v>37.99</v>
      </c>
      <c r="I513" s="25">
        <v>1.2102999999999999</v>
      </c>
    </row>
    <row r="514" spans="1:9">
      <c r="A514" s="15">
        <v>44007</v>
      </c>
      <c r="B514" s="25">
        <v>38.049999999999997</v>
      </c>
      <c r="C514" s="25">
        <v>37.18</v>
      </c>
      <c r="D514" s="25">
        <v>40.799999999999997</v>
      </c>
      <c r="E514" s="4"/>
      <c r="F514" s="3">
        <f t="shared" ref="F514:F577" si="24">IF(MIN(B514:E514)=B514,0,IF(MIN(B514:E514)=C514,0.3,IF(MIN(B514:E514)=D514,0.75,IF(MIN(B514:E514)=E514,1,))))</f>
        <v>0.3</v>
      </c>
      <c r="G514" s="4" t="str">
        <f t="shared" ref="G514:G577" si="25">IF(MIN(B514:E514)=B514,$B$1,IF(MIN(B514:E514)=C514,$C$1,IF(MIN(B514:E514)=D514,$D$1,IF(MIN(B514:E514)=E514,$E$1,))))</f>
        <v>Opec Basket</v>
      </c>
      <c r="H514" s="25">
        <f t="shared" ref="H514:H577" si="26">IF(MIN(B514:E514)=B514,B514,IF(MIN(B514:E514)=C514,C514,IF(MIN(B514:E514)=D514,D514,IF(MIN(B514:E514)=E514,E514,))))</f>
        <v>37.18</v>
      </c>
      <c r="I514" s="25">
        <v>1.1950000000000001</v>
      </c>
    </row>
    <row r="515" spans="1:9">
      <c r="A515" s="15">
        <v>44006</v>
      </c>
      <c r="B515" s="25">
        <v>39.11</v>
      </c>
      <c r="C515" s="25">
        <v>38.17</v>
      </c>
      <c r="D515" s="25">
        <v>42.3</v>
      </c>
      <c r="E515" s="4"/>
      <c r="F515" s="3">
        <f t="shared" si="24"/>
        <v>0.3</v>
      </c>
      <c r="G515" s="4" t="str">
        <f t="shared" si="25"/>
        <v>Opec Basket</v>
      </c>
      <c r="H515" s="25">
        <f t="shared" si="26"/>
        <v>38.17</v>
      </c>
      <c r="I515" s="25">
        <v>1.2136</v>
      </c>
    </row>
    <row r="516" spans="1:9">
      <c r="A516" s="15">
        <v>44005</v>
      </c>
      <c r="B516" s="25">
        <v>37.369999999999997</v>
      </c>
      <c r="C516" s="25">
        <v>39.85</v>
      </c>
      <c r="D516" s="25">
        <v>39.99</v>
      </c>
      <c r="E516" s="4"/>
      <c r="F516" s="3">
        <f t="shared" si="24"/>
        <v>0</v>
      </c>
      <c r="G516" s="4" t="str">
        <f t="shared" si="25"/>
        <v>WTI Crude</v>
      </c>
      <c r="H516" s="25">
        <f t="shared" si="26"/>
        <v>37.369999999999997</v>
      </c>
      <c r="I516" s="25">
        <v>1.149</v>
      </c>
    </row>
    <row r="517" spans="1:9">
      <c r="A517" s="15">
        <v>44004</v>
      </c>
      <c r="B517" s="25">
        <v>37.270000000000003</v>
      </c>
      <c r="C517" s="25">
        <v>38.96</v>
      </c>
      <c r="D517" s="25">
        <v>39.79</v>
      </c>
      <c r="E517" s="4"/>
      <c r="F517" s="3">
        <f t="shared" si="24"/>
        <v>0</v>
      </c>
      <c r="G517" s="4" t="str">
        <f t="shared" si="25"/>
        <v>WTI Crude</v>
      </c>
      <c r="H517" s="25">
        <f t="shared" si="26"/>
        <v>37.270000000000003</v>
      </c>
      <c r="I517" s="25">
        <v>1.1193</v>
      </c>
    </row>
    <row r="518" spans="1:9">
      <c r="A518" s="15">
        <v>44001</v>
      </c>
      <c r="B518" s="25">
        <v>36.82</v>
      </c>
      <c r="C518" s="25">
        <v>39.450000000000003</v>
      </c>
      <c r="D518" s="25">
        <v>39.57</v>
      </c>
      <c r="E518" s="4"/>
      <c r="F518" s="3">
        <f t="shared" si="24"/>
        <v>0</v>
      </c>
      <c r="G518" s="4" t="str">
        <f t="shared" si="25"/>
        <v>WTI Crude</v>
      </c>
      <c r="H518" s="25">
        <f t="shared" si="26"/>
        <v>36.82</v>
      </c>
      <c r="I518" s="25">
        <v>1.1183000000000001</v>
      </c>
    </row>
    <row r="519" spans="1:9">
      <c r="A519" s="15">
        <v>44000</v>
      </c>
      <c r="B519" s="25">
        <v>35.54</v>
      </c>
      <c r="C519" s="25">
        <v>37.700000000000003</v>
      </c>
      <c r="D519" s="25">
        <v>38.32</v>
      </c>
      <c r="E519" s="4"/>
      <c r="F519" s="3">
        <f t="shared" si="24"/>
        <v>0</v>
      </c>
      <c r="G519" s="4" t="str">
        <f t="shared" si="25"/>
        <v>WTI Crude</v>
      </c>
      <c r="H519" s="25">
        <f t="shared" si="26"/>
        <v>35.54</v>
      </c>
      <c r="I519" s="25">
        <v>1.0667</v>
      </c>
    </row>
    <row r="520" spans="1:9">
      <c r="A520" s="15">
        <v>43999</v>
      </c>
      <c r="B520" s="25">
        <v>28.53</v>
      </c>
      <c r="C520" s="25">
        <v>37.590000000000003</v>
      </c>
      <c r="D520" s="25">
        <v>35.33</v>
      </c>
      <c r="E520" s="4"/>
      <c r="F520" s="3">
        <f t="shared" si="24"/>
        <v>0</v>
      </c>
      <c r="G520" s="4" t="str">
        <f t="shared" si="25"/>
        <v>WTI Crude</v>
      </c>
      <c r="H520" s="25">
        <f t="shared" si="26"/>
        <v>28.53</v>
      </c>
      <c r="I520" s="25">
        <v>1.0785</v>
      </c>
    </row>
    <row r="521" spans="1:9">
      <c r="A521" s="15">
        <v>43998</v>
      </c>
      <c r="B521" s="25">
        <v>28.44</v>
      </c>
      <c r="C521" s="25">
        <v>36.75</v>
      </c>
      <c r="D521" s="25">
        <v>35.29</v>
      </c>
      <c r="E521" s="4"/>
      <c r="F521" s="3">
        <f t="shared" si="24"/>
        <v>0</v>
      </c>
      <c r="G521" s="4" t="str">
        <f t="shared" si="25"/>
        <v>WTI Crude</v>
      </c>
      <c r="H521" s="25">
        <f t="shared" si="26"/>
        <v>28.44</v>
      </c>
      <c r="I521" s="25">
        <v>1.026</v>
      </c>
    </row>
    <row r="522" spans="1:9">
      <c r="A522" s="15">
        <v>43997</v>
      </c>
      <c r="B522" s="25">
        <v>28.35</v>
      </c>
      <c r="C522" s="25">
        <v>35.090000000000003</v>
      </c>
      <c r="D522" s="25">
        <v>34.74</v>
      </c>
      <c r="E522" s="4"/>
      <c r="F522" s="3">
        <f t="shared" si="24"/>
        <v>0</v>
      </c>
      <c r="G522" s="4" t="str">
        <f t="shared" si="25"/>
        <v>WTI Crude</v>
      </c>
      <c r="H522" s="25">
        <f t="shared" si="26"/>
        <v>28.35</v>
      </c>
      <c r="I522" s="25">
        <v>1.0177</v>
      </c>
    </row>
    <row r="523" spans="1:9">
      <c r="A523" s="15">
        <v>43994</v>
      </c>
      <c r="B523" s="25">
        <v>28.58</v>
      </c>
      <c r="C523" s="25">
        <v>35.06</v>
      </c>
      <c r="D523" s="25">
        <v>36.17</v>
      </c>
      <c r="E523" s="4"/>
      <c r="F523" s="3">
        <f t="shared" si="24"/>
        <v>0</v>
      </c>
      <c r="G523" s="4" t="str">
        <f t="shared" si="25"/>
        <v>WTI Crude</v>
      </c>
      <c r="H523" s="25">
        <f t="shared" si="26"/>
        <v>28.58</v>
      </c>
      <c r="I523" s="25">
        <v>1.0648</v>
      </c>
    </row>
    <row r="524" spans="1:9">
      <c r="A524" s="29">
        <v>43993</v>
      </c>
      <c r="B524" s="36">
        <v>28.36</v>
      </c>
      <c r="C524" s="36">
        <v>36.56</v>
      </c>
      <c r="D524" s="36">
        <v>35.130000000000003</v>
      </c>
      <c r="E524" s="9"/>
      <c r="F524" s="3">
        <f t="shared" si="24"/>
        <v>0</v>
      </c>
      <c r="G524" s="9" t="str">
        <f t="shared" si="25"/>
        <v>WTI Crude</v>
      </c>
      <c r="H524" s="36">
        <f t="shared" si="26"/>
        <v>28.36</v>
      </c>
      <c r="I524" s="36">
        <v>1.0518000000000001</v>
      </c>
    </row>
    <row r="525" spans="1:9">
      <c r="A525" s="15">
        <v>43992</v>
      </c>
      <c r="B525" s="25">
        <v>28.53</v>
      </c>
      <c r="C525" s="25">
        <v>37.46</v>
      </c>
      <c r="D525" s="25">
        <v>36.06</v>
      </c>
      <c r="E525" s="4"/>
      <c r="F525" s="3">
        <f t="shared" si="24"/>
        <v>0</v>
      </c>
      <c r="G525" s="4" t="str">
        <f t="shared" si="25"/>
        <v>WTI Crude</v>
      </c>
      <c r="H525" s="25">
        <f t="shared" si="26"/>
        <v>28.53</v>
      </c>
      <c r="I525" s="25">
        <v>1.0618000000000001</v>
      </c>
    </row>
    <row r="526" spans="1:9">
      <c r="A526" s="15">
        <v>43991</v>
      </c>
      <c r="B526" s="25">
        <v>28.4</v>
      </c>
      <c r="C526" s="25">
        <v>37.1</v>
      </c>
      <c r="D526" s="25">
        <v>35.75</v>
      </c>
      <c r="E526" s="4"/>
      <c r="F526" s="3">
        <f t="shared" si="24"/>
        <v>0</v>
      </c>
      <c r="G526" s="4" t="str">
        <f t="shared" si="25"/>
        <v>WTI Crude</v>
      </c>
      <c r="H526" s="25">
        <f t="shared" si="26"/>
        <v>28.4</v>
      </c>
      <c r="I526" s="25">
        <v>1.0438000000000001</v>
      </c>
    </row>
    <row r="527" spans="1:9">
      <c r="A527" s="15">
        <v>43990</v>
      </c>
      <c r="B527" s="25">
        <v>27.86</v>
      </c>
      <c r="C527" s="25">
        <v>38.89</v>
      </c>
      <c r="D527" s="25">
        <v>34.65</v>
      </c>
      <c r="E527" s="4"/>
      <c r="F527" s="3">
        <f t="shared" si="24"/>
        <v>0</v>
      </c>
      <c r="G527" s="4" t="str">
        <f t="shared" si="25"/>
        <v>WTI Crude</v>
      </c>
      <c r="H527" s="25">
        <f t="shared" si="26"/>
        <v>27.86</v>
      </c>
      <c r="I527" s="25">
        <v>1.0549999999999999</v>
      </c>
    </row>
    <row r="528" spans="1:9">
      <c r="A528" s="15">
        <v>43987</v>
      </c>
      <c r="B528" s="25">
        <v>27.72</v>
      </c>
      <c r="C528" s="25">
        <v>36.840000000000003</v>
      </c>
      <c r="D528" s="25">
        <v>34.81</v>
      </c>
      <c r="E528" s="4"/>
      <c r="F528" s="3">
        <f t="shared" si="24"/>
        <v>0</v>
      </c>
      <c r="G528" s="4" t="str">
        <f t="shared" si="25"/>
        <v>WTI Crude</v>
      </c>
      <c r="H528" s="25">
        <f t="shared" si="26"/>
        <v>27.72</v>
      </c>
      <c r="I528" s="25">
        <v>1.0426</v>
      </c>
    </row>
    <row r="529" spans="1:9">
      <c r="A529" s="15">
        <v>43986</v>
      </c>
      <c r="B529" s="25">
        <v>26.74</v>
      </c>
      <c r="C529" s="25">
        <v>34.85</v>
      </c>
      <c r="D529" s="25">
        <v>32.5</v>
      </c>
      <c r="E529" s="4"/>
      <c r="F529" s="3">
        <f t="shared" si="24"/>
        <v>0</v>
      </c>
      <c r="G529" s="4" t="str">
        <f t="shared" si="25"/>
        <v>WTI Crude</v>
      </c>
      <c r="H529" s="25">
        <f t="shared" si="26"/>
        <v>26.74</v>
      </c>
      <c r="I529" s="25">
        <v>0.98380000000000001</v>
      </c>
    </row>
    <row r="530" spans="1:9">
      <c r="A530" s="15">
        <v>43985</v>
      </c>
      <c r="B530" s="25">
        <v>25.88</v>
      </c>
      <c r="C530" s="25">
        <v>35.47</v>
      </c>
      <c r="D530" s="25">
        <v>31.13</v>
      </c>
      <c r="E530" s="4"/>
      <c r="F530" s="3">
        <f t="shared" si="24"/>
        <v>0</v>
      </c>
      <c r="G530" s="4" t="str">
        <f t="shared" si="25"/>
        <v>WTI Crude</v>
      </c>
      <c r="H530" s="25">
        <f t="shared" si="26"/>
        <v>25.88</v>
      </c>
      <c r="I530" s="25">
        <v>0.93689999999999996</v>
      </c>
    </row>
    <row r="531" spans="1:9">
      <c r="A531" s="15">
        <v>43984</v>
      </c>
      <c r="B531" s="25">
        <v>24.66</v>
      </c>
      <c r="C531" s="25">
        <v>34.96</v>
      </c>
      <c r="D531" s="25">
        <v>29.19</v>
      </c>
      <c r="E531" s="4"/>
      <c r="F531" s="3">
        <f t="shared" si="24"/>
        <v>0</v>
      </c>
      <c r="G531" s="4" t="str">
        <f t="shared" si="25"/>
        <v>WTI Crude</v>
      </c>
      <c r="H531" s="25">
        <f t="shared" si="26"/>
        <v>24.66</v>
      </c>
      <c r="I531" s="25">
        <v>0.88180000000000003</v>
      </c>
    </row>
    <row r="532" spans="1:9">
      <c r="A532" s="15">
        <v>43983</v>
      </c>
      <c r="B532" s="25">
        <v>25.01</v>
      </c>
      <c r="C532" s="25">
        <v>33.69</v>
      </c>
      <c r="D532" s="25">
        <v>29.98</v>
      </c>
      <c r="E532" s="4"/>
      <c r="F532" s="3">
        <f t="shared" si="24"/>
        <v>0</v>
      </c>
      <c r="G532" s="4" t="str">
        <f t="shared" si="25"/>
        <v>WTI Crude</v>
      </c>
      <c r="H532" s="25">
        <f t="shared" si="26"/>
        <v>25.01</v>
      </c>
      <c r="I532" s="25">
        <v>0.93630000000000002</v>
      </c>
    </row>
    <row r="533" spans="1:9">
      <c r="A533" s="15">
        <v>43980</v>
      </c>
      <c r="B533" s="25">
        <v>24.08</v>
      </c>
      <c r="C533" s="25">
        <v>29.01</v>
      </c>
      <c r="D533" s="25">
        <v>29.63</v>
      </c>
      <c r="E533" s="4"/>
      <c r="F533" s="3">
        <f t="shared" si="24"/>
        <v>0</v>
      </c>
      <c r="G533" s="4" t="str">
        <f t="shared" si="25"/>
        <v>WTI Crude</v>
      </c>
      <c r="H533" s="25">
        <f t="shared" si="26"/>
        <v>24.08</v>
      </c>
      <c r="I533" s="25">
        <v>0.92420000000000002</v>
      </c>
    </row>
    <row r="534" spans="1:9">
      <c r="A534" s="15">
        <v>43979</v>
      </c>
      <c r="B534" s="25">
        <v>24.67</v>
      </c>
      <c r="C534" s="25">
        <v>28.45</v>
      </c>
      <c r="D534" s="25">
        <v>30.97</v>
      </c>
      <c r="E534" s="4"/>
      <c r="F534" s="3">
        <f t="shared" si="24"/>
        <v>0</v>
      </c>
      <c r="G534" s="4" t="str">
        <f t="shared" si="25"/>
        <v>WTI Crude</v>
      </c>
      <c r="H534" s="25">
        <f t="shared" si="26"/>
        <v>24.67</v>
      </c>
      <c r="I534" s="25">
        <v>0.95220000000000005</v>
      </c>
    </row>
    <row r="535" spans="1:9">
      <c r="A535" s="15">
        <v>43978</v>
      </c>
      <c r="B535" s="25">
        <v>23.72</v>
      </c>
      <c r="C535" s="25">
        <v>29.03</v>
      </c>
      <c r="D535" s="25">
        <v>29.46</v>
      </c>
      <c r="E535" s="4"/>
      <c r="F535" s="3">
        <f t="shared" si="24"/>
        <v>0</v>
      </c>
      <c r="G535" s="4" t="str">
        <f t="shared" si="25"/>
        <v>WTI Crude</v>
      </c>
      <c r="H535" s="25">
        <f t="shared" si="26"/>
        <v>23.72</v>
      </c>
      <c r="I535" s="25">
        <v>0.93140000000000001</v>
      </c>
    </row>
    <row r="536" spans="1:9">
      <c r="A536" s="15">
        <v>43977</v>
      </c>
      <c r="B536" s="25">
        <v>24.2</v>
      </c>
      <c r="C536" s="25">
        <v>29.75</v>
      </c>
      <c r="D536" s="25">
        <v>29.72</v>
      </c>
      <c r="E536" s="4"/>
      <c r="F536" s="3">
        <f t="shared" si="24"/>
        <v>0</v>
      </c>
      <c r="G536" s="4" t="str">
        <f t="shared" si="25"/>
        <v>WTI Crude</v>
      </c>
      <c r="H536" s="25">
        <f t="shared" si="26"/>
        <v>24.2</v>
      </c>
      <c r="I536" s="25">
        <v>0.87690000000000001</v>
      </c>
    </row>
    <row r="537" spans="1:9">
      <c r="A537" s="15">
        <v>43973</v>
      </c>
      <c r="B537" s="25">
        <v>24.79</v>
      </c>
      <c r="C537" s="25">
        <v>28.06</v>
      </c>
      <c r="D537" s="25">
        <v>30.97</v>
      </c>
      <c r="E537" s="4"/>
      <c r="F537" s="3">
        <f t="shared" si="24"/>
        <v>0</v>
      </c>
      <c r="G537" s="4" t="str">
        <f t="shared" si="25"/>
        <v>WTI Crude</v>
      </c>
      <c r="H537" s="25">
        <f t="shared" si="26"/>
        <v>24.79</v>
      </c>
      <c r="I537" s="25">
        <v>0.90129999999999999</v>
      </c>
    </row>
    <row r="538" spans="1:9">
      <c r="A538" s="15">
        <v>43972</v>
      </c>
      <c r="B538" s="25">
        <v>21.2</v>
      </c>
      <c r="C538" s="25">
        <v>29.7</v>
      </c>
      <c r="D538" s="25">
        <v>27.2</v>
      </c>
      <c r="E538" s="4"/>
      <c r="F538" s="3">
        <f t="shared" si="24"/>
        <v>0</v>
      </c>
      <c r="G538" s="4" t="str">
        <f t="shared" si="25"/>
        <v>WTI Crude</v>
      </c>
      <c r="H538" s="25">
        <f t="shared" si="26"/>
        <v>21.2</v>
      </c>
      <c r="I538" s="25">
        <v>0.82150000000000001</v>
      </c>
    </row>
    <row r="539" spans="1:9">
      <c r="A539" s="15">
        <v>43971</v>
      </c>
      <c r="B539" s="25">
        <v>20.66</v>
      </c>
      <c r="C539" s="25">
        <v>28.68</v>
      </c>
      <c r="D539" s="25">
        <v>26.44</v>
      </c>
      <c r="E539" s="4"/>
      <c r="F539" s="3">
        <f t="shared" si="24"/>
        <v>0</v>
      </c>
      <c r="G539" s="4" t="str">
        <f t="shared" si="25"/>
        <v>WTI Crude</v>
      </c>
      <c r="H539" s="25">
        <f t="shared" si="26"/>
        <v>20.66</v>
      </c>
      <c r="I539" s="25">
        <v>0.76629999999999998</v>
      </c>
    </row>
    <row r="540" spans="1:9">
      <c r="A540" s="15">
        <v>43970</v>
      </c>
      <c r="B540" s="25">
        <v>16.7</v>
      </c>
      <c r="C540" s="25">
        <v>28.43</v>
      </c>
      <c r="D540" s="25">
        <v>25.27</v>
      </c>
      <c r="E540" s="4"/>
      <c r="F540" s="3">
        <f t="shared" si="24"/>
        <v>0</v>
      </c>
      <c r="G540" s="4" t="str">
        <f t="shared" si="25"/>
        <v>WTI Crude</v>
      </c>
      <c r="H540" s="25">
        <f t="shared" si="26"/>
        <v>16.7</v>
      </c>
      <c r="I540" s="25">
        <v>0.78369999999999995</v>
      </c>
    </row>
    <row r="541" spans="1:9">
      <c r="A541" s="15">
        <v>43969</v>
      </c>
      <c r="B541" s="25">
        <v>16.52</v>
      </c>
      <c r="C541" s="25">
        <v>28.21</v>
      </c>
      <c r="D541" s="25">
        <v>22.54</v>
      </c>
      <c r="E541" s="4"/>
      <c r="F541" s="3">
        <f t="shared" si="24"/>
        <v>0</v>
      </c>
      <c r="G541" s="4" t="str">
        <f t="shared" si="25"/>
        <v>WTI Crude</v>
      </c>
      <c r="H541" s="25">
        <f t="shared" si="26"/>
        <v>16.52</v>
      </c>
      <c r="I541" s="25">
        <v>0.72719999999999996</v>
      </c>
    </row>
    <row r="542" spans="1:9">
      <c r="A542" s="15">
        <v>43966</v>
      </c>
      <c r="B542" s="25">
        <v>16.260000000000002</v>
      </c>
      <c r="C542" s="25">
        <v>26.54</v>
      </c>
      <c r="D542" s="25">
        <v>20.46</v>
      </c>
      <c r="E542" s="4"/>
      <c r="F542" s="3">
        <f t="shared" si="24"/>
        <v>0</v>
      </c>
      <c r="G542" s="4" t="str">
        <f t="shared" si="25"/>
        <v>WTI Crude</v>
      </c>
      <c r="H542" s="25">
        <f t="shared" si="26"/>
        <v>16.260000000000002</v>
      </c>
      <c r="I542" s="25">
        <v>0.70399999999999996</v>
      </c>
    </row>
    <row r="543" spans="1:9">
      <c r="A543" s="15">
        <v>43965</v>
      </c>
      <c r="B543" s="25">
        <v>16.32</v>
      </c>
      <c r="C543" s="25">
        <v>24.93</v>
      </c>
      <c r="D543" s="25">
        <v>19.989999999999998</v>
      </c>
      <c r="E543" s="4"/>
      <c r="F543" s="3">
        <f t="shared" si="24"/>
        <v>0</v>
      </c>
      <c r="G543" s="4" t="str">
        <f t="shared" si="25"/>
        <v>WTI Crude</v>
      </c>
      <c r="H543" s="25">
        <f t="shared" si="26"/>
        <v>16.32</v>
      </c>
      <c r="I543" s="25">
        <v>0.68489999999999995</v>
      </c>
    </row>
    <row r="544" spans="1:9">
      <c r="A544" s="15">
        <v>43964</v>
      </c>
      <c r="B544" s="25">
        <v>17.12</v>
      </c>
      <c r="C544" s="25">
        <v>23.25</v>
      </c>
      <c r="D544" s="25">
        <v>21.44</v>
      </c>
      <c r="E544" s="4"/>
      <c r="F544" s="3">
        <f t="shared" si="24"/>
        <v>0</v>
      </c>
      <c r="G544" s="4" t="str">
        <f t="shared" si="25"/>
        <v>WTI Crude</v>
      </c>
      <c r="H544" s="25">
        <f t="shared" si="26"/>
        <v>17.12</v>
      </c>
      <c r="I544" s="25">
        <v>0.70009999999999994</v>
      </c>
    </row>
    <row r="545" spans="1:9">
      <c r="A545" s="15">
        <v>43963</v>
      </c>
      <c r="B545" s="25">
        <v>17.010000000000002</v>
      </c>
      <c r="C545" s="25">
        <v>22.83</v>
      </c>
      <c r="D545" s="25">
        <v>21.33</v>
      </c>
      <c r="E545" s="4"/>
      <c r="F545" s="3">
        <f t="shared" si="24"/>
        <v>0</v>
      </c>
      <c r="G545" s="4" t="str">
        <f t="shared" si="25"/>
        <v>WTI Crude</v>
      </c>
      <c r="H545" s="25">
        <f t="shared" si="26"/>
        <v>17.010000000000002</v>
      </c>
      <c r="I545" s="25">
        <v>0.68210000000000004</v>
      </c>
    </row>
    <row r="546" spans="1:9">
      <c r="A546" s="15">
        <v>43962</v>
      </c>
      <c r="B546" s="25">
        <v>16.23</v>
      </c>
      <c r="C546" s="25">
        <v>22.71</v>
      </c>
      <c r="D546" s="25">
        <v>20.37</v>
      </c>
      <c r="E546" s="4"/>
      <c r="F546" s="3">
        <f t="shared" si="24"/>
        <v>0</v>
      </c>
      <c r="G546" s="4" t="str">
        <f t="shared" si="25"/>
        <v>WTI Crude</v>
      </c>
      <c r="H546" s="25">
        <f t="shared" si="26"/>
        <v>16.23</v>
      </c>
      <c r="I546" s="25">
        <v>0.6875</v>
      </c>
    </row>
    <row r="547" spans="1:9">
      <c r="A547" s="15">
        <v>43959</v>
      </c>
      <c r="B547" s="25">
        <v>15.5</v>
      </c>
      <c r="C547" s="25">
        <v>22.21</v>
      </c>
      <c r="D547" s="25">
        <v>19.329999999999998</v>
      </c>
      <c r="E547" s="4"/>
      <c r="F547" s="3">
        <f t="shared" si="24"/>
        <v>0</v>
      </c>
      <c r="G547" s="4" t="str">
        <f t="shared" si="25"/>
        <v>WTI Crude</v>
      </c>
      <c r="H547" s="25">
        <f t="shared" si="26"/>
        <v>15.5</v>
      </c>
      <c r="I547" s="25">
        <v>0.62529999999999997</v>
      </c>
    </row>
    <row r="548" spans="1:9">
      <c r="A548" s="15">
        <v>43958</v>
      </c>
      <c r="B548" s="25">
        <v>16.18</v>
      </c>
      <c r="C548" s="25">
        <v>22.91</v>
      </c>
      <c r="D548" s="25">
        <v>25.57</v>
      </c>
      <c r="E548" s="4"/>
      <c r="F548" s="3">
        <f t="shared" si="24"/>
        <v>0</v>
      </c>
      <c r="G548" s="4" t="str">
        <f t="shared" si="25"/>
        <v>WTI Crude</v>
      </c>
      <c r="H548" s="25">
        <f t="shared" si="26"/>
        <v>16.18</v>
      </c>
      <c r="I548" s="25">
        <v>0.72550000000000003</v>
      </c>
    </row>
    <row r="549" spans="1:9">
      <c r="A549" s="15">
        <v>43957</v>
      </c>
      <c r="B549" s="25">
        <v>23.04</v>
      </c>
      <c r="C549" s="25">
        <v>22.4</v>
      </c>
      <c r="D549" s="25">
        <v>28.08</v>
      </c>
      <c r="E549" s="4"/>
      <c r="F549" s="3">
        <f t="shared" si="24"/>
        <v>0.3</v>
      </c>
      <c r="G549" s="4" t="str">
        <f t="shared" si="25"/>
        <v>Opec Basket</v>
      </c>
      <c r="H549" s="25">
        <f t="shared" si="26"/>
        <v>22.4</v>
      </c>
      <c r="I549" s="25">
        <v>0.76459999999999995</v>
      </c>
    </row>
    <row r="550" spans="1:9">
      <c r="A550" s="15">
        <v>43956</v>
      </c>
      <c r="B550" s="25">
        <v>23.43</v>
      </c>
      <c r="C550" s="25">
        <v>21.43</v>
      </c>
      <c r="D550" s="25">
        <v>27.82</v>
      </c>
      <c r="E550" s="4"/>
      <c r="F550" s="3">
        <f t="shared" si="24"/>
        <v>0.3</v>
      </c>
      <c r="G550" s="4" t="str">
        <f t="shared" si="25"/>
        <v>Opec Basket</v>
      </c>
      <c r="H550" s="25">
        <f t="shared" si="26"/>
        <v>21.43</v>
      </c>
      <c r="I550" s="25">
        <v>0.75690000000000002</v>
      </c>
    </row>
    <row r="551" spans="1:9">
      <c r="A551" s="15">
        <v>43955</v>
      </c>
      <c r="B551" s="25">
        <v>23.6</v>
      </c>
      <c r="C551" s="25">
        <v>18.36</v>
      </c>
      <c r="D551" s="25">
        <v>27.69</v>
      </c>
      <c r="E551" s="4"/>
      <c r="F551" s="3">
        <f t="shared" si="24"/>
        <v>0.3</v>
      </c>
      <c r="G551" s="4" t="str">
        <f t="shared" si="25"/>
        <v>Opec Basket</v>
      </c>
      <c r="H551" s="25">
        <f t="shared" si="26"/>
        <v>18.36</v>
      </c>
      <c r="I551" s="25">
        <v>0.72040000000000004</v>
      </c>
    </row>
    <row r="552" spans="1:9">
      <c r="A552" s="15">
        <v>43952</v>
      </c>
      <c r="B552" s="25">
        <v>24.11</v>
      </c>
      <c r="C552" s="25">
        <v>16.52</v>
      </c>
      <c r="D552" s="25">
        <v>29.6</v>
      </c>
      <c r="E552" s="4"/>
      <c r="F552" s="3">
        <f t="shared" si="24"/>
        <v>0.3</v>
      </c>
      <c r="G552" s="4" t="str">
        <f t="shared" si="25"/>
        <v>Opec Basket</v>
      </c>
      <c r="H552" s="25">
        <f t="shared" si="26"/>
        <v>16.52</v>
      </c>
      <c r="I552" s="25">
        <v>0.72</v>
      </c>
    </row>
    <row r="553" spans="1:9">
      <c r="A553" s="15">
        <v>43951</v>
      </c>
      <c r="B553" s="25">
        <v>25.39</v>
      </c>
      <c r="C553" s="25">
        <v>18.05</v>
      </c>
      <c r="D553" s="25">
        <v>31.74</v>
      </c>
      <c r="E553" s="4"/>
      <c r="F553" s="3">
        <f t="shared" si="24"/>
        <v>0.3</v>
      </c>
      <c r="G553" s="4" t="str">
        <f t="shared" si="25"/>
        <v>Opec Basket</v>
      </c>
      <c r="H553" s="25">
        <f t="shared" si="26"/>
        <v>18.05</v>
      </c>
      <c r="I553" s="25">
        <v>0.70330000000000004</v>
      </c>
    </row>
    <row r="554" spans="1:9">
      <c r="A554" s="15">
        <v>43950</v>
      </c>
      <c r="B554" s="25">
        <v>25.36</v>
      </c>
      <c r="C554" s="25">
        <v>14.36</v>
      </c>
      <c r="D554" s="25">
        <v>31.48</v>
      </c>
      <c r="E554" s="4"/>
      <c r="F554" s="3">
        <f t="shared" si="24"/>
        <v>0.3</v>
      </c>
      <c r="G554" s="4" t="str">
        <f t="shared" si="25"/>
        <v>Opec Basket</v>
      </c>
      <c r="H554" s="25">
        <f t="shared" si="26"/>
        <v>14.36</v>
      </c>
      <c r="I554" s="25">
        <v>0.67730000000000001</v>
      </c>
    </row>
    <row r="555" spans="1:9">
      <c r="A555" s="15">
        <v>43949</v>
      </c>
      <c r="B555" s="25">
        <v>26.7</v>
      </c>
      <c r="C555" s="25">
        <v>12.41</v>
      </c>
      <c r="D555" s="25">
        <v>32.840000000000003</v>
      </c>
      <c r="E555" s="4"/>
      <c r="F555" s="3">
        <f t="shared" si="24"/>
        <v>0.3</v>
      </c>
      <c r="G555" s="4" t="str">
        <f t="shared" si="25"/>
        <v>Opec Basket</v>
      </c>
      <c r="H555" s="25">
        <f t="shared" si="26"/>
        <v>12.41</v>
      </c>
      <c r="I555" s="25">
        <v>0.67800000000000005</v>
      </c>
    </row>
    <row r="556" spans="1:9">
      <c r="A556" s="15">
        <v>43948</v>
      </c>
      <c r="B556" s="25">
        <v>25.58</v>
      </c>
      <c r="C556" s="25">
        <v>13.3</v>
      </c>
      <c r="D556" s="25">
        <v>31.87</v>
      </c>
      <c r="E556" s="4"/>
      <c r="F556" s="3">
        <f t="shared" si="24"/>
        <v>0.3</v>
      </c>
      <c r="G556" s="4" t="str">
        <f t="shared" si="25"/>
        <v>Opec Basket</v>
      </c>
      <c r="H556" s="25">
        <f t="shared" si="26"/>
        <v>13.3</v>
      </c>
      <c r="I556" s="25">
        <v>0.6482</v>
      </c>
    </row>
    <row r="557" spans="1:9">
      <c r="A557" s="15">
        <v>43945</v>
      </c>
      <c r="B557" s="25">
        <v>27.18</v>
      </c>
      <c r="C557" s="25">
        <v>14.31</v>
      </c>
      <c r="D557" s="25">
        <v>33.049999999999997</v>
      </c>
      <c r="E557" s="4"/>
      <c r="F557" s="3">
        <f t="shared" si="24"/>
        <v>0.3</v>
      </c>
      <c r="G557" s="4" t="str">
        <f t="shared" si="25"/>
        <v>Opec Basket</v>
      </c>
      <c r="H557" s="25">
        <f t="shared" si="26"/>
        <v>14.31</v>
      </c>
      <c r="I557" s="25">
        <v>0.7016</v>
      </c>
    </row>
    <row r="558" spans="1:9">
      <c r="A558" s="15">
        <v>43944</v>
      </c>
      <c r="B558" s="25">
        <v>28.67</v>
      </c>
      <c r="C558" s="25">
        <v>15.23</v>
      </c>
      <c r="D558" s="25">
        <v>34.11</v>
      </c>
      <c r="E558" s="4"/>
      <c r="F558" s="3">
        <f t="shared" si="24"/>
        <v>0.3</v>
      </c>
      <c r="G558" s="4" t="str">
        <f t="shared" si="25"/>
        <v>Opec Basket</v>
      </c>
      <c r="H558" s="25">
        <f t="shared" si="26"/>
        <v>15.23</v>
      </c>
      <c r="I558" s="25">
        <v>0.69159999999999999</v>
      </c>
    </row>
    <row r="559" spans="1:9">
      <c r="A559" s="15">
        <v>43943</v>
      </c>
      <c r="B559" s="25">
        <v>25.99</v>
      </c>
      <c r="C559" s="25">
        <v>12.22</v>
      </c>
      <c r="D559" s="25">
        <v>29.94</v>
      </c>
      <c r="E559" s="4"/>
      <c r="F559" s="3">
        <f t="shared" si="24"/>
        <v>0.3</v>
      </c>
      <c r="G559" s="4" t="str">
        <f t="shared" si="25"/>
        <v>Opec Basket</v>
      </c>
      <c r="H559" s="25">
        <f t="shared" si="26"/>
        <v>12.22</v>
      </c>
      <c r="I559" s="25">
        <v>0.66279999999999994</v>
      </c>
    </row>
    <row r="560" spans="1:9">
      <c r="A560" s="15">
        <v>43942</v>
      </c>
      <c r="B560" s="25">
        <v>21.45</v>
      </c>
      <c r="C560" s="25">
        <v>14.63</v>
      </c>
      <c r="D560" s="25">
        <v>24.74</v>
      </c>
      <c r="E560" s="4"/>
      <c r="F560" s="3">
        <f t="shared" si="24"/>
        <v>0.3</v>
      </c>
      <c r="G560" s="4" t="str">
        <f t="shared" si="25"/>
        <v>Opec Basket</v>
      </c>
      <c r="H560" s="25">
        <f t="shared" si="26"/>
        <v>14.63</v>
      </c>
      <c r="I560" s="25">
        <v>0.54649999999999999</v>
      </c>
    </row>
    <row r="561" spans="1:9">
      <c r="A561" s="15">
        <v>43941</v>
      </c>
      <c r="B561" s="25">
        <v>21.82</v>
      </c>
      <c r="C561" s="25">
        <v>14.19</v>
      </c>
      <c r="D561" s="25">
        <v>26.35</v>
      </c>
      <c r="E561" s="4"/>
      <c r="F561" s="3">
        <f t="shared" si="24"/>
        <v>0.3</v>
      </c>
      <c r="G561" s="4" t="str">
        <f t="shared" si="25"/>
        <v>Opec Basket</v>
      </c>
      <c r="H561" s="25">
        <f t="shared" si="26"/>
        <v>14.19</v>
      </c>
      <c r="I561" s="25">
        <v>0.5927</v>
      </c>
    </row>
    <row r="562" spans="1:9">
      <c r="A562" s="15">
        <v>43938</v>
      </c>
      <c r="B562" s="25">
        <v>30.43</v>
      </c>
      <c r="C562" s="25">
        <v>18.170000000000002</v>
      </c>
      <c r="D562" s="25">
        <v>22.76</v>
      </c>
      <c r="E562" s="4"/>
      <c r="F562" s="3">
        <f t="shared" si="24"/>
        <v>0.3</v>
      </c>
      <c r="G562" s="4" t="str">
        <f t="shared" si="25"/>
        <v>Opec Basket</v>
      </c>
      <c r="H562" s="25">
        <f t="shared" si="26"/>
        <v>18.170000000000002</v>
      </c>
      <c r="I562" s="25">
        <v>0.61680000000000001</v>
      </c>
    </row>
    <row r="563" spans="1:9">
      <c r="A563" s="15">
        <v>43937</v>
      </c>
      <c r="B563" s="25">
        <v>30.56</v>
      </c>
      <c r="C563" s="25">
        <v>17.73</v>
      </c>
      <c r="D563" s="25">
        <v>24.93</v>
      </c>
      <c r="E563" s="4"/>
      <c r="F563" s="3">
        <f t="shared" si="24"/>
        <v>0.3</v>
      </c>
      <c r="G563" s="4" t="str">
        <f t="shared" si="25"/>
        <v>Opec Basket</v>
      </c>
      <c r="H563" s="25">
        <f t="shared" si="26"/>
        <v>17.73</v>
      </c>
      <c r="I563" s="25">
        <v>0.61360000000000003</v>
      </c>
    </row>
    <row r="564" spans="1:9">
      <c r="A564" s="15">
        <v>43936</v>
      </c>
      <c r="B564" s="25">
        <v>30.71</v>
      </c>
      <c r="C564" s="25">
        <v>17.510000000000002</v>
      </c>
      <c r="D564" s="25">
        <v>26.34</v>
      </c>
      <c r="E564" s="4"/>
      <c r="F564" s="3">
        <f t="shared" si="24"/>
        <v>0.3</v>
      </c>
      <c r="G564" s="4" t="str">
        <f t="shared" si="25"/>
        <v>Opec Basket</v>
      </c>
      <c r="H564" s="25">
        <f t="shared" si="26"/>
        <v>17.510000000000002</v>
      </c>
      <c r="I564" s="25">
        <v>0.59799999999999998</v>
      </c>
    </row>
    <row r="565" spans="1:9">
      <c r="A565" s="15">
        <v>43935</v>
      </c>
      <c r="B565" s="25">
        <v>31.05</v>
      </c>
      <c r="C565" s="25">
        <v>19.7</v>
      </c>
      <c r="D565" s="25">
        <v>27.39</v>
      </c>
      <c r="E565" s="4"/>
      <c r="F565" s="3">
        <f t="shared" si="24"/>
        <v>0.3</v>
      </c>
      <c r="G565" s="4" t="str">
        <f t="shared" si="25"/>
        <v>Opec Basket</v>
      </c>
      <c r="H565" s="25">
        <f t="shared" si="26"/>
        <v>19.7</v>
      </c>
      <c r="I565" s="25">
        <v>0.60540000000000005</v>
      </c>
    </row>
    <row r="566" spans="1:9">
      <c r="A566" s="15">
        <v>43934</v>
      </c>
      <c r="B566" s="25">
        <v>30.94</v>
      </c>
      <c r="C566" s="25">
        <v>21.18</v>
      </c>
      <c r="D566" s="25">
        <v>27.15</v>
      </c>
      <c r="E566" s="4"/>
      <c r="F566" s="3">
        <f t="shared" si="24"/>
        <v>0.3</v>
      </c>
      <c r="G566" s="4" t="str">
        <f t="shared" si="25"/>
        <v>Opec Basket</v>
      </c>
      <c r="H566" s="25">
        <f t="shared" si="26"/>
        <v>21.18</v>
      </c>
      <c r="I566" s="25">
        <v>0.51049999999999995</v>
      </c>
    </row>
    <row r="567" spans="1:9">
      <c r="A567" s="29">
        <v>43930</v>
      </c>
      <c r="B567" s="36">
        <v>30.76</v>
      </c>
      <c r="C567" s="36">
        <v>21.77</v>
      </c>
      <c r="D567" s="36">
        <v>27.03</v>
      </c>
      <c r="E567" s="9"/>
      <c r="F567" s="3">
        <f t="shared" si="24"/>
        <v>0.3</v>
      </c>
      <c r="G567" s="9" t="str">
        <f t="shared" si="25"/>
        <v>Opec Basket</v>
      </c>
      <c r="H567" s="36">
        <f t="shared" si="26"/>
        <v>21.77</v>
      </c>
      <c r="I567" s="36">
        <v>0.49469999999999997</v>
      </c>
    </row>
    <row r="568" spans="1:9">
      <c r="A568" s="15">
        <v>43929</v>
      </c>
      <c r="B568" s="25">
        <v>30.53</v>
      </c>
      <c r="C568" s="25">
        <v>21.19</v>
      </c>
      <c r="D568" s="25">
        <v>26.98</v>
      </c>
      <c r="E568" s="4"/>
      <c r="F568" s="3">
        <f t="shared" si="24"/>
        <v>0.3</v>
      </c>
      <c r="G568" s="4" t="str">
        <f t="shared" si="25"/>
        <v>Opec Basket</v>
      </c>
      <c r="H568" s="25">
        <f t="shared" si="26"/>
        <v>21.19</v>
      </c>
      <c r="I568" s="25">
        <v>0.60540000000000005</v>
      </c>
    </row>
    <row r="569" spans="1:9">
      <c r="A569" s="15">
        <v>43928</v>
      </c>
      <c r="B569" s="25">
        <v>31.7</v>
      </c>
      <c r="C569" s="25">
        <v>22.67</v>
      </c>
      <c r="D569" s="25">
        <v>28.47</v>
      </c>
      <c r="E569" s="4"/>
      <c r="F569" s="3">
        <f t="shared" si="24"/>
        <v>0.3</v>
      </c>
      <c r="G569" s="4" t="str">
        <f t="shared" si="25"/>
        <v>Opec Basket</v>
      </c>
      <c r="H569" s="25">
        <f t="shared" si="26"/>
        <v>22.67</v>
      </c>
      <c r="I569" s="25">
        <v>0.69320000000000004</v>
      </c>
    </row>
    <row r="570" spans="1:9">
      <c r="A570" s="15">
        <v>43927</v>
      </c>
      <c r="B570" s="25">
        <v>29.64</v>
      </c>
      <c r="C570" s="25">
        <v>23.48</v>
      </c>
      <c r="D570" s="25">
        <v>24.88</v>
      </c>
      <c r="E570" s="4"/>
      <c r="F570" s="3">
        <f t="shared" si="24"/>
        <v>0.3</v>
      </c>
      <c r="G570" s="4" t="str">
        <f t="shared" si="25"/>
        <v>Opec Basket</v>
      </c>
      <c r="H570" s="25">
        <f t="shared" si="26"/>
        <v>23.48</v>
      </c>
      <c r="I570" s="25">
        <v>0.64590000000000003</v>
      </c>
    </row>
    <row r="571" spans="1:9">
      <c r="A571" s="15">
        <v>43924</v>
      </c>
      <c r="B571" s="25">
        <v>32.61</v>
      </c>
      <c r="C571" s="25">
        <v>23.01</v>
      </c>
      <c r="D571" s="25">
        <v>28.73</v>
      </c>
      <c r="E571" s="4"/>
      <c r="F571" s="3">
        <f t="shared" si="24"/>
        <v>0.3</v>
      </c>
      <c r="G571" s="4" t="str">
        <f t="shared" si="25"/>
        <v>Opec Basket</v>
      </c>
      <c r="H571" s="25">
        <f t="shared" si="26"/>
        <v>23.01</v>
      </c>
      <c r="I571" s="25">
        <v>0.71140000000000003</v>
      </c>
    </row>
    <row r="572" spans="1:9">
      <c r="A572" s="15">
        <v>43923</v>
      </c>
      <c r="B572" s="25">
        <v>33.46</v>
      </c>
      <c r="C572" s="25">
        <v>18.91</v>
      </c>
      <c r="D572" s="25">
        <v>30.05</v>
      </c>
      <c r="E572" s="4"/>
      <c r="F572" s="3">
        <f t="shared" si="24"/>
        <v>0.3</v>
      </c>
      <c r="G572" s="4" t="str">
        <f t="shared" si="25"/>
        <v>Opec Basket</v>
      </c>
      <c r="H572" s="25">
        <f t="shared" si="26"/>
        <v>18.91</v>
      </c>
      <c r="I572" s="25">
        <v>0.70169999999999999</v>
      </c>
    </row>
    <row r="573" spans="1:9">
      <c r="A573" s="15">
        <v>43922</v>
      </c>
      <c r="B573" s="25">
        <v>35.14</v>
      </c>
      <c r="C573" s="25">
        <v>16.850000000000001</v>
      </c>
      <c r="D573" s="25">
        <v>33.85</v>
      </c>
      <c r="E573" s="4"/>
      <c r="F573" s="3">
        <f t="shared" si="24"/>
        <v>0.3</v>
      </c>
      <c r="G573" s="4" t="str">
        <f t="shared" si="25"/>
        <v>Opec Basket</v>
      </c>
      <c r="H573" s="25">
        <f t="shared" si="26"/>
        <v>16.850000000000001</v>
      </c>
      <c r="I573" s="25">
        <v>0.91349999999999998</v>
      </c>
    </row>
    <row r="574" spans="1:9">
      <c r="A574" s="15">
        <v>43921</v>
      </c>
      <c r="B574" s="25">
        <v>35.03</v>
      </c>
      <c r="C574" s="25">
        <v>22.61</v>
      </c>
      <c r="D574" s="25">
        <v>33.22</v>
      </c>
      <c r="E574" s="4"/>
      <c r="F574" s="3">
        <f t="shared" si="24"/>
        <v>0.3</v>
      </c>
      <c r="G574" s="4" t="str">
        <f t="shared" si="25"/>
        <v>Opec Basket</v>
      </c>
      <c r="H574" s="25">
        <f t="shared" si="26"/>
        <v>22.61</v>
      </c>
      <c r="I574" s="42">
        <v>0.91900000000000004</v>
      </c>
    </row>
    <row r="575" spans="1:9">
      <c r="A575" s="15">
        <v>43920</v>
      </c>
      <c r="B575" s="25">
        <v>35.950000000000003</v>
      </c>
      <c r="C575" s="25">
        <v>21.66</v>
      </c>
      <c r="D575" s="25">
        <v>35.79</v>
      </c>
      <c r="E575" s="4"/>
      <c r="F575" s="3">
        <f t="shared" si="24"/>
        <v>0.3</v>
      </c>
      <c r="G575" s="4" t="str">
        <f t="shared" si="25"/>
        <v>Opec Basket</v>
      </c>
      <c r="H575" s="25">
        <f t="shared" si="26"/>
        <v>21.66</v>
      </c>
      <c r="I575" s="25">
        <v>1.1103000000000001</v>
      </c>
    </row>
    <row r="576" spans="1:9">
      <c r="A576" s="15">
        <v>43917</v>
      </c>
      <c r="B576" s="25">
        <v>36.880000000000003</v>
      </c>
      <c r="C576" s="25">
        <v>24.26</v>
      </c>
      <c r="D576" s="25">
        <v>37.22</v>
      </c>
      <c r="E576" s="4"/>
      <c r="F576" s="3">
        <f t="shared" si="24"/>
        <v>0.3</v>
      </c>
      <c r="G576" s="4" t="str">
        <f t="shared" si="25"/>
        <v>Opec Basket</v>
      </c>
      <c r="H576" s="25">
        <f t="shared" si="26"/>
        <v>24.26</v>
      </c>
      <c r="I576" s="25">
        <v>1.1571</v>
      </c>
    </row>
    <row r="577" spans="1:9">
      <c r="A577" s="15">
        <v>43916</v>
      </c>
      <c r="B577" s="25">
        <v>34.520000000000003</v>
      </c>
      <c r="C577" s="25">
        <v>26.04</v>
      </c>
      <c r="D577" s="25">
        <v>34.36</v>
      </c>
      <c r="E577" s="4"/>
      <c r="F577" s="3">
        <f t="shared" si="24"/>
        <v>0.3</v>
      </c>
      <c r="G577" s="4" t="str">
        <f t="shared" si="25"/>
        <v>Opec Basket</v>
      </c>
      <c r="H577" s="25">
        <f t="shared" si="26"/>
        <v>26.04</v>
      </c>
      <c r="I577" s="42">
        <v>1.1369</v>
      </c>
    </row>
    <row r="578" spans="1:9">
      <c r="A578" s="15">
        <v>43915</v>
      </c>
      <c r="B578" s="25">
        <v>42.33</v>
      </c>
      <c r="C578" s="25">
        <v>26.94</v>
      </c>
      <c r="D578" s="25">
        <v>45.27</v>
      </c>
      <c r="E578" s="4"/>
      <c r="F578" s="3">
        <f t="shared" ref="F578:F641" si="27">IF(MIN(B578:E578)=B578,0,IF(MIN(B578:E578)=C578,0.3,IF(MIN(B578:E578)=D578,0.75,IF(MIN(B578:E578)=E578,1,))))</f>
        <v>0.3</v>
      </c>
      <c r="G578" s="4" t="str">
        <f t="shared" ref="G578:G641" si="28">IF(MIN(B578:E578)=B578,$B$1,IF(MIN(B578:E578)=C578,$C$1,IF(MIN(B578:E578)=D578,$D$1,IF(MIN(B578:E578)=E578,$E$1,))))</f>
        <v>Opec Basket</v>
      </c>
      <c r="H578" s="25">
        <f t="shared" ref="H578:H641" si="29">IF(MIN(B578:E578)=B578,B578,IF(MIN(B578:E578)=C578,C578,IF(MIN(B578:E578)=D578,D578,IF(MIN(B578:E578)=E578,E578,))))</f>
        <v>26.94</v>
      </c>
      <c r="I578" s="25">
        <v>1.389</v>
      </c>
    </row>
    <row r="579" spans="1:9">
      <c r="A579" s="15">
        <v>43914</v>
      </c>
      <c r="B579" s="25">
        <v>46.09</v>
      </c>
      <c r="C579" s="25">
        <v>26.53</v>
      </c>
      <c r="D579" s="25">
        <v>49.99</v>
      </c>
      <c r="E579" s="4"/>
      <c r="F579" s="3">
        <f t="shared" si="27"/>
        <v>0.3</v>
      </c>
      <c r="G579" s="4" t="str">
        <f t="shared" si="28"/>
        <v>Opec Basket</v>
      </c>
      <c r="H579" s="25">
        <f t="shared" si="29"/>
        <v>26.53</v>
      </c>
      <c r="I579" s="25">
        <v>1.5218</v>
      </c>
    </row>
    <row r="580" spans="1:9">
      <c r="A580" s="15">
        <v>43913</v>
      </c>
      <c r="B580" s="25">
        <v>46.85</v>
      </c>
      <c r="C580" s="25">
        <v>24.72</v>
      </c>
      <c r="D580" s="25">
        <v>51.13</v>
      </c>
      <c r="E580" s="4"/>
      <c r="F580" s="3">
        <f t="shared" si="27"/>
        <v>0.3</v>
      </c>
      <c r="G580" s="4" t="str">
        <f t="shared" si="28"/>
        <v>Opec Basket</v>
      </c>
      <c r="H580" s="25">
        <f t="shared" si="29"/>
        <v>24.72</v>
      </c>
      <c r="I580" s="25">
        <v>1.5555000000000001</v>
      </c>
    </row>
    <row r="581" spans="1:9">
      <c r="A581" s="15">
        <v>43910</v>
      </c>
      <c r="B581" s="25">
        <v>47.21</v>
      </c>
      <c r="C581" s="25">
        <v>28.57</v>
      </c>
      <c r="D581" s="25">
        <v>51.86</v>
      </c>
      <c r="E581" s="4"/>
      <c r="F581" s="3">
        <f t="shared" si="27"/>
        <v>0.3</v>
      </c>
      <c r="G581" s="4" t="str">
        <f t="shared" si="28"/>
        <v>Opec Basket</v>
      </c>
      <c r="H581" s="25">
        <f t="shared" si="29"/>
        <v>28.57</v>
      </c>
      <c r="I581" s="25">
        <v>1.5313000000000001</v>
      </c>
    </row>
    <row r="582" spans="1:9">
      <c r="A582" s="15">
        <v>43909</v>
      </c>
      <c r="B582" s="25">
        <v>46.8</v>
      </c>
      <c r="C582" s="25">
        <v>26.73</v>
      </c>
      <c r="D582" s="25">
        <v>51.9</v>
      </c>
      <c r="E582" s="4"/>
      <c r="F582" s="3">
        <f t="shared" si="27"/>
        <v>0.3</v>
      </c>
      <c r="G582" s="4" t="str">
        <f t="shared" si="28"/>
        <v>Opec Basket</v>
      </c>
      <c r="H582" s="25">
        <f t="shared" si="29"/>
        <v>26.73</v>
      </c>
      <c r="I582" s="25">
        <v>1.5396000000000001</v>
      </c>
    </row>
    <row r="583" spans="1:9">
      <c r="A583" s="15">
        <v>43908</v>
      </c>
      <c r="B583" s="25">
        <v>50.54</v>
      </c>
      <c r="C583" s="25">
        <v>27.31</v>
      </c>
      <c r="D583" s="25">
        <v>50.52</v>
      </c>
      <c r="E583" s="4"/>
      <c r="F583" s="3">
        <f t="shared" si="27"/>
        <v>0.3</v>
      </c>
      <c r="G583" s="4" t="str">
        <f t="shared" si="28"/>
        <v>Opec Basket</v>
      </c>
      <c r="H583" s="25">
        <f t="shared" si="29"/>
        <v>27.31</v>
      </c>
      <c r="I583" s="25">
        <v>1.4827999999999999</v>
      </c>
    </row>
    <row r="584" spans="1:9">
      <c r="A584" s="15">
        <v>43907</v>
      </c>
      <c r="B584" s="25">
        <v>50.66</v>
      </c>
      <c r="C584" s="25">
        <v>30.36</v>
      </c>
      <c r="D584" s="25">
        <v>52.18</v>
      </c>
      <c r="E584" s="4"/>
      <c r="F584" s="3">
        <f t="shared" si="27"/>
        <v>0.3</v>
      </c>
      <c r="G584" s="4" t="str">
        <f t="shared" si="28"/>
        <v>Opec Basket</v>
      </c>
      <c r="H584" s="25">
        <f t="shared" si="29"/>
        <v>30.36</v>
      </c>
      <c r="I584" s="25">
        <v>1.5206</v>
      </c>
    </row>
    <row r="585" spans="1:9">
      <c r="A585" s="30">
        <v>43906</v>
      </c>
      <c r="B585" s="37">
        <v>50.84</v>
      </c>
      <c r="C585" s="37">
        <v>30.63</v>
      </c>
      <c r="D585" s="37">
        <v>53.43</v>
      </c>
      <c r="E585" s="6"/>
      <c r="F585" s="3">
        <f t="shared" si="27"/>
        <v>0.3</v>
      </c>
      <c r="G585" s="6" t="str">
        <f t="shared" si="28"/>
        <v>Opec Basket</v>
      </c>
      <c r="H585" s="37">
        <f t="shared" si="29"/>
        <v>30.63</v>
      </c>
      <c r="I585" s="37">
        <v>1.5645</v>
      </c>
    </row>
    <row r="586" spans="1:9">
      <c r="A586" s="15">
        <v>43903</v>
      </c>
      <c r="B586" s="25">
        <v>51.02</v>
      </c>
      <c r="C586" s="25">
        <v>34.14</v>
      </c>
      <c r="D586" s="25">
        <v>54.95</v>
      </c>
      <c r="E586" s="4"/>
      <c r="F586" s="3">
        <f t="shared" si="27"/>
        <v>0.3</v>
      </c>
      <c r="G586" s="4" t="str">
        <f t="shared" si="28"/>
        <v>Opec Basket</v>
      </c>
      <c r="H586" s="25">
        <f t="shared" si="29"/>
        <v>34.14</v>
      </c>
      <c r="I586" s="25">
        <v>1.6418999999999999</v>
      </c>
    </row>
    <row r="587" spans="1:9">
      <c r="A587" s="15">
        <v>43902</v>
      </c>
      <c r="B587" s="25">
        <v>51.34</v>
      </c>
      <c r="C587" s="25">
        <v>33.270000000000003</v>
      </c>
      <c r="D587" s="25">
        <v>56.3</v>
      </c>
      <c r="E587" s="4"/>
      <c r="F587" s="3">
        <f t="shared" si="27"/>
        <v>0.3</v>
      </c>
      <c r="G587" s="4" t="str">
        <f t="shared" si="28"/>
        <v>Opec Basket</v>
      </c>
      <c r="H587" s="25">
        <f t="shared" si="29"/>
        <v>33.270000000000003</v>
      </c>
      <c r="I587" s="25">
        <v>1.7132000000000001</v>
      </c>
    </row>
    <row r="588" spans="1:9">
      <c r="A588" s="15">
        <v>43901</v>
      </c>
      <c r="B588" s="25">
        <v>51.86</v>
      </c>
      <c r="C588" s="25">
        <v>35.56</v>
      </c>
      <c r="D588" s="25">
        <v>58.5</v>
      </c>
      <c r="E588" s="4"/>
      <c r="F588" s="3">
        <f t="shared" si="27"/>
        <v>0.3</v>
      </c>
      <c r="G588" s="4" t="str">
        <f t="shared" si="28"/>
        <v>Opec Basket</v>
      </c>
      <c r="H588" s="25">
        <f t="shared" si="29"/>
        <v>35.56</v>
      </c>
      <c r="I588" s="25">
        <v>1.7612000000000001</v>
      </c>
    </row>
    <row r="589" spans="1:9">
      <c r="A589" s="15">
        <v>43900</v>
      </c>
      <c r="B589" s="25">
        <v>52.02</v>
      </c>
      <c r="C589" s="25">
        <v>35.729999999999997</v>
      </c>
      <c r="D589" s="25">
        <v>59.31</v>
      </c>
      <c r="E589" s="4"/>
      <c r="F589" s="3">
        <f t="shared" si="27"/>
        <v>0.3</v>
      </c>
      <c r="G589" s="4" t="str">
        <f t="shared" si="28"/>
        <v>Opec Basket</v>
      </c>
      <c r="H589" s="25">
        <f t="shared" si="29"/>
        <v>35.729999999999997</v>
      </c>
      <c r="I589" s="25">
        <v>1.7845</v>
      </c>
    </row>
    <row r="590" spans="1:9">
      <c r="A590" s="15">
        <v>43899</v>
      </c>
      <c r="B590" s="25">
        <v>51.87</v>
      </c>
      <c r="C590" s="25">
        <v>34.72</v>
      </c>
      <c r="D590" s="25">
        <v>59.12</v>
      </c>
      <c r="E590" s="4"/>
      <c r="F590" s="3">
        <f t="shared" si="27"/>
        <v>0.3</v>
      </c>
      <c r="G590" s="4" t="str">
        <f t="shared" si="28"/>
        <v>Opec Basket</v>
      </c>
      <c r="H590" s="25">
        <f t="shared" si="29"/>
        <v>34.72</v>
      </c>
      <c r="I590" s="25">
        <v>1.7819</v>
      </c>
    </row>
    <row r="591" spans="1:9">
      <c r="A591" s="15">
        <v>43896</v>
      </c>
      <c r="B591" s="25">
        <v>51.36</v>
      </c>
      <c r="C591" s="25">
        <v>48.35</v>
      </c>
      <c r="D591" s="25">
        <v>57.75</v>
      </c>
      <c r="E591" s="4"/>
      <c r="F591" s="3">
        <f t="shared" si="27"/>
        <v>0.3</v>
      </c>
      <c r="G591" s="4" t="str">
        <f t="shared" si="28"/>
        <v>Opec Basket</v>
      </c>
      <c r="H591" s="25">
        <f t="shared" si="29"/>
        <v>48.35</v>
      </c>
      <c r="I591" s="25">
        <v>1.6148</v>
      </c>
    </row>
    <row r="592" spans="1:9">
      <c r="A592" s="15">
        <v>43895</v>
      </c>
      <c r="B592" s="25">
        <v>51.37</v>
      </c>
      <c r="C592" s="25">
        <v>51.75</v>
      </c>
      <c r="D592" s="25">
        <v>57.32</v>
      </c>
      <c r="E592" s="4"/>
      <c r="F592" s="3">
        <f t="shared" si="27"/>
        <v>0</v>
      </c>
      <c r="G592" s="4" t="str">
        <f t="shared" si="28"/>
        <v>WTI Crude</v>
      </c>
      <c r="H592" s="25">
        <f t="shared" si="29"/>
        <v>51.37</v>
      </c>
      <c r="I592" s="25">
        <v>1.5832999999999999</v>
      </c>
    </row>
    <row r="593" spans="1:9">
      <c r="A593" s="15">
        <v>43894</v>
      </c>
      <c r="B593" s="25">
        <v>51.03</v>
      </c>
      <c r="C593" s="25">
        <v>52.01</v>
      </c>
      <c r="D593" s="25">
        <v>56.34</v>
      </c>
      <c r="E593" s="4"/>
      <c r="F593" s="3">
        <f t="shared" si="27"/>
        <v>0</v>
      </c>
      <c r="G593" s="4" t="str">
        <f t="shared" si="28"/>
        <v>WTI Crude</v>
      </c>
      <c r="H593" s="25">
        <f t="shared" si="29"/>
        <v>51.03</v>
      </c>
      <c r="I593" s="25">
        <v>1.7226999999999999</v>
      </c>
    </row>
    <row r="594" spans="1:9">
      <c r="A594" s="15">
        <v>43893</v>
      </c>
      <c r="B594" s="25">
        <v>50.88</v>
      </c>
      <c r="C594" s="25">
        <v>52.66</v>
      </c>
      <c r="D594" s="25">
        <v>55.79</v>
      </c>
      <c r="E594" s="4"/>
      <c r="F594" s="3">
        <f t="shared" si="27"/>
        <v>0</v>
      </c>
      <c r="G594" s="4" t="str">
        <f t="shared" si="28"/>
        <v>WTI Crude</v>
      </c>
      <c r="H594" s="25">
        <f t="shared" si="29"/>
        <v>50.88</v>
      </c>
      <c r="I594" s="25">
        <v>1.581</v>
      </c>
    </row>
    <row r="595" spans="1:9">
      <c r="A595" s="15">
        <v>43892</v>
      </c>
      <c r="B595" s="25">
        <v>50.1</v>
      </c>
      <c r="C595" s="25">
        <v>51.68</v>
      </c>
      <c r="D595" s="25">
        <v>54.01</v>
      </c>
      <c r="E595" s="4"/>
      <c r="F595" s="3">
        <f t="shared" si="27"/>
        <v>0</v>
      </c>
      <c r="G595" s="4" t="str">
        <f t="shared" si="28"/>
        <v>WTI Crude</v>
      </c>
      <c r="H595" s="25">
        <f t="shared" si="29"/>
        <v>50.1</v>
      </c>
      <c r="I595" s="25">
        <v>1.5142</v>
      </c>
    </row>
    <row r="596" spans="1:9">
      <c r="A596" s="15">
        <v>43889</v>
      </c>
      <c r="B596" s="25">
        <v>49.84</v>
      </c>
      <c r="C596" s="25">
        <v>50.19</v>
      </c>
      <c r="D596" s="25">
        <v>53.27</v>
      </c>
      <c r="E596" s="4"/>
      <c r="F596" s="3">
        <f t="shared" si="27"/>
        <v>0</v>
      </c>
      <c r="G596" s="4" t="str">
        <f t="shared" si="28"/>
        <v>WTI Crude</v>
      </c>
      <c r="H596" s="25">
        <f t="shared" si="29"/>
        <v>49.84</v>
      </c>
      <c r="I596" s="25">
        <v>1.5213000000000001</v>
      </c>
    </row>
    <row r="597" spans="1:9">
      <c r="A597" s="15">
        <v>43888</v>
      </c>
      <c r="B597" s="25">
        <v>50.4</v>
      </c>
      <c r="C597" s="25">
        <v>51.92</v>
      </c>
      <c r="D597" s="25">
        <v>54.47</v>
      </c>
      <c r="E597" s="4"/>
      <c r="F597" s="3">
        <f t="shared" si="27"/>
        <v>0</v>
      </c>
      <c r="G597" s="4" t="str">
        <f t="shared" si="28"/>
        <v>WTI Crude</v>
      </c>
      <c r="H597" s="25">
        <f t="shared" si="29"/>
        <v>50.4</v>
      </c>
      <c r="I597" s="25">
        <v>1.5239</v>
      </c>
    </row>
    <row r="598" spans="1:9">
      <c r="A598" s="15">
        <v>43887</v>
      </c>
      <c r="B598" s="25">
        <v>50.88</v>
      </c>
      <c r="C598" s="25">
        <v>54.04</v>
      </c>
      <c r="D598" s="25">
        <v>54.93</v>
      </c>
      <c r="E598" s="4"/>
      <c r="F598" s="3">
        <f t="shared" si="27"/>
        <v>0</v>
      </c>
      <c r="G598" s="4" t="str">
        <f t="shared" si="28"/>
        <v>WTI Crude</v>
      </c>
      <c r="H598" s="25">
        <f t="shared" si="29"/>
        <v>50.88</v>
      </c>
      <c r="I598" s="25">
        <v>1.498</v>
      </c>
    </row>
    <row r="599" spans="1:9">
      <c r="A599" s="15">
        <v>43886</v>
      </c>
      <c r="B599" s="25">
        <v>50.71</v>
      </c>
      <c r="C599" s="25">
        <v>55.91</v>
      </c>
      <c r="D599" s="25">
        <v>55.28</v>
      </c>
      <c r="E599" s="4"/>
      <c r="F599" s="3">
        <f t="shared" si="27"/>
        <v>0</v>
      </c>
      <c r="G599" s="4" t="str">
        <f t="shared" si="28"/>
        <v>WTI Crude</v>
      </c>
      <c r="H599" s="25">
        <f t="shared" si="29"/>
        <v>50.71</v>
      </c>
      <c r="I599" s="25">
        <v>1.4863</v>
      </c>
    </row>
    <row r="600" spans="1:9">
      <c r="A600" s="15">
        <v>43885</v>
      </c>
      <c r="B600" s="25">
        <v>49.7</v>
      </c>
      <c r="C600" s="25">
        <v>56.14</v>
      </c>
      <c r="D600" s="25">
        <v>53.96</v>
      </c>
      <c r="E600" s="4"/>
      <c r="F600" s="3">
        <f t="shared" si="27"/>
        <v>0</v>
      </c>
      <c r="G600" s="4" t="str">
        <f t="shared" si="28"/>
        <v>WTI Crude</v>
      </c>
      <c r="H600" s="25">
        <f t="shared" si="29"/>
        <v>49.7</v>
      </c>
      <c r="I600" s="25">
        <v>1.4432</v>
      </c>
    </row>
    <row r="601" spans="1:9">
      <c r="A601" s="15">
        <v>43882</v>
      </c>
      <c r="B601" s="25">
        <v>50.16</v>
      </c>
      <c r="C601" s="25">
        <v>58.21</v>
      </c>
      <c r="D601" s="25">
        <v>54.45</v>
      </c>
      <c r="E601" s="4"/>
      <c r="F601" s="3">
        <f t="shared" si="27"/>
        <v>0</v>
      </c>
      <c r="G601" s="4" t="str">
        <f t="shared" si="28"/>
        <v>WTI Crude</v>
      </c>
      <c r="H601" s="25">
        <f t="shared" si="29"/>
        <v>50.16</v>
      </c>
      <c r="I601" s="25">
        <v>1.4737</v>
      </c>
    </row>
    <row r="602" spans="1:9">
      <c r="A602" s="15">
        <v>43881</v>
      </c>
      <c r="B602" s="25">
        <v>57.53</v>
      </c>
      <c r="C602" s="25">
        <v>58.98</v>
      </c>
      <c r="D602" s="25">
        <v>58.16</v>
      </c>
      <c r="E602" s="4"/>
      <c r="F602" s="3">
        <f t="shared" si="27"/>
        <v>0</v>
      </c>
      <c r="G602" s="4" t="str">
        <f t="shared" si="28"/>
        <v>WTI Crude</v>
      </c>
      <c r="H602" s="25">
        <f t="shared" si="29"/>
        <v>57.53</v>
      </c>
      <c r="I602" s="25">
        <v>1.5041</v>
      </c>
    </row>
    <row r="603" spans="1:9">
      <c r="A603" s="15">
        <v>43880</v>
      </c>
      <c r="B603" s="25">
        <v>57.56</v>
      </c>
      <c r="C603" s="25">
        <v>58.39</v>
      </c>
      <c r="D603" s="25">
        <v>58.29</v>
      </c>
      <c r="E603" s="4"/>
      <c r="F603" s="3">
        <f t="shared" si="27"/>
        <v>0</v>
      </c>
      <c r="G603" s="4" t="str">
        <f t="shared" si="28"/>
        <v>WTI Crude</v>
      </c>
      <c r="H603" s="25">
        <f t="shared" si="29"/>
        <v>57.56</v>
      </c>
      <c r="I603" s="25">
        <v>1.5055000000000001</v>
      </c>
    </row>
    <row r="604" spans="1:9">
      <c r="A604" s="15">
        <v>43879</v>
      </c>
      <c r="B604" s="25">
        <v>57.67</v>
      </c>
      <c r="C604" s="25">
        <v>56.72</v>
      </c>
      <c r="D604" s="25">
        <v>59.81</v>
      </c>
      <c r="E604" s="4"/>
      <c r="F604" s="3">
        <f t="shared" si="27"/>
        <v>0.3</v>
      </c>
      <c r="G604" s="4" t="str">
        <f t="shared" si="28"/>
        <v>Opec Basket</v>
      </c>
      <c r="H604" s="25">
        <f t="shared" si="29"/>
        <v>56.72</v>
      </c>
      <c r="I604" s="25">
        <v>1.5407999999999999</v>
      </c>
    </row>
    <row r="605" spans="1:9">
      <c r="A605" s="15">
        <v>43878</v>
      </c>
      <c r="B605" s="25">
        <v>57.69</v>
      </c>
      <c r="C605" s="25">
        <v>57.28</v>
      </c>
      <c r="D605" s="25">
        <v>59.51</v>
      </c>
      <c r="E605" s="4"/>
      <c r="F605" s="3">
        <f t="shared" si="27"/>
        <v>0.3</v>
      </c>
      <c r="G605" s="4" t="str">
        <f t="shared" si="28"/>
        <v>Opec Basket</v>
      </c>
      <c r="H605" s="25">
        <f t="shared" si="29"/>
        <v>57.28</v>
      </c>
      <c r="I605" s="25">
        <v>1.5143</v>
      </c>
    </row>
    <row r="606" spans="1:9">
      <c r="A606" s="15">
        <v>43875</v>
      </c>
      <c r="B606" s="25">
        <v>57.63</v>
      </c>
      <c r="C606" s="25">
        <v>56.77</v>
      </c>
      <c r="D606" s="25">
        <v>59.32</v>
      </c>
      <c r="E606" s="4"/>
      <c r="F606" s="3">
        <f t="shared" si="27"/>
        <v>0.3</v>
      </c>
      <c r="G606" s="4" t="str">
        <f t="shared" si="28"/>
        <v>Opec Basket</v>
      </c>
      <c r="H606" s="25">
        <f t="shared" si="29"/>
        <v>56.77</v>
      </c>
      <c r="I606" s="25">
        <v>1.4930000000000001</v>
      </c>
    </row>
    <row r="607" spans="1:9">
      <c r="A607" s="15">
        <v>43874</v>
      </c>
      <c r="B607" s="25">
        <v>57.88</v>
      </c>
      <c r="C607" s="25">
        <v>55.9</v>
      </c>
      <c r="D607" s="25">
        <v>60.69</v>
      </c>
      <c r="E607" s="4"/>
      <c r="F607" s="3">
        <f t="shared" si="27"/>
        <v>0.3</v>
      </c>
      <c r="G607" s="4" t="str">
        <f t="shared" si="28"/>
        <v>Opec Basket</v>
      </c>
      <c r="H607" s="25">
        <f t="shared" si="29"/>
        <v>55.9</v>
      </c>
      <c r="I607" s="25">
        <v>1.5259</v>
      </c>
    </row>
    <row r="608" spans="1:9">
      <c r="A608" s="15">
        <v>43873</v>
      </c>
      <c r="B608" s="25">
        <v>58.28</v>
      </c>
      <c r="C608" s="25">
        <v>55.59</v>
      </c>
      <c r="D608" s="25">
        <v>62.04</v>
      </c>
      <c r="E608" s="4"/>
      <c r="F608" s="3">
        <f t="shared" si="27"/>
        <v>0.3</v>
      </c>
      <c r="G608" s="4" t="str">
        <f t="shared" si="28"/>
        <v>Opec Basket</v>
      </c>
      <c r="H608" s="25">
        <f t="shared" si="29"/>
        <v>55.59</v>
      </c>
      <c r="I608" s="25">
        <v>1.573</v>
      </c>
    </row>
    <row r="609" spans="1:9">
      <c r="A609" s="15">
        <v>43872</v>
      </c>
      <c r="B609" s="25">
        <v>58.66</v>
      </c>
      <c r="C609" s="25">
        <v>54.2</v>
      </c>
      <c r="D609" s="25">
        <v>63.21</v>
      </c>
      <c r="E609" s="4"/>
      <c r="F609" s="3">
        <f t="shared" si="27"/>
        <v>0.3</v>
      </c>
      <c r="G609" s="4" t="str">
        <f t="shared" si="28"/>
        <v>Opec Basket</v>
      </c>
      <c r="H609" s="25">
        <f t="shared" si="29"/>
        <v>54.2</v>
      </c>
      <c r="I609" s="25">
        <v>1.5933999999999999</v>
      </c>
    </row>
    <row r="610" spans="1:9">
      <c r="A610" s="15">
        <v>43871</v>
      </c>
      <c r="B610" s="25">
        <v>59.28</v>
      </c>
      <c r="C610" s="25">
        <v>54.21</v>
      </c>
      <c r="D610" s="25">
        <v>64.59</v>
      </c>
      <c r="E610" s="4"/>
      <c r="F610" s="3">
        <f t="shared" si="27"/>
        <v>0.3</v>
      </c>
      <c r="G610" s="4" t="str">
        <f t="shared" si="28"/>
        <v>Opec Basket</v>
      </c>
      <c r="H610" s="25">
        <f t="shared" si="29"/>
        <v>54.21</v>
      </c>
      <c r="I610" s="25">
        <v>1.6365000000000001</v>
      </c>
    </row>
    <row r="611" spans="1:9">
      <c r="A611" s="15">
        <v>43868</v>
      </c>
      <c r="B611" s="25">
        <v>59.37</v>
      </c>
      <c r="C611" s="25">
        <v>55.13</v>
      </c>
      <c r="D611" s="25">
        <v>64.849999999999994</v>
      </c>
      <c r="E611" s="4"/>
      <c r="F611" s="3">
        <f t="shared" si="27"/>
        <v>0.3</v>
      </c>
      <c r="G611" s="4" t="str">
        <f t="shared" si="28"/>
        <v>Opec Basket</v>
      </c>
      <c r="H611" s="25">
        <f t="shared" si="29"/>
        <v>55.13</v>
      </c>
      <c r="I611" s="25">
        <v>1.6549</v>
      </c>
    </row>
    <row r="612" spans="1:9">
      <c r="A612" s="15">
        <v>43867</v>
      </c>
      <c r="B612" s="25">
        <v>59.35</v>
      </c>
      <c r="C612" s="25">
        <v>55.74</v>
      </c>
      <c r="D612" s="25">
        <v>64.62</v>
      </c>
      <c r="E612" s="4"/>
      <c r="F612" s="3">
        <f t="shared" si="27"/>
        <v>0.3</v>
      </c>
      <c r="G612" s="4" t="str">
        <f t="shared" si="28"/>
        <v>Opec Basket</v>
      </c>
      <c r="H612" s="25">
        <f t="shared" si="29"/>
        <v>55.74</v>
      </c>
      <c r="I612" s="25">
        <v>1.667</v>
      </c>
    </row>
    <row r="613" spans="1:9">
      <c r="A613" s="15">
        <v>43866</v>
      </c>
      <c r="B613" s="25">
        <v>58.98</v>
      </c>
      <c r="C613" s="25">
        <v>55.01</v>
      </c>
      <c r="D613" s="25">
        <v>64</v>
      </c>
      <c r="E613" s="4"/>
      <c r="F613" s="3">
        <f t="shared" si="27"/>
        <v>0.3</v>
      </c>
      <c r="G613" s="4" t="str">
        <f t="shared" si="28"/>
        <v>Opec Basket</v>
      </c>
      <c r="H613" s="25">
        <f t="shared" si="29"/>
        <v>55.01</v>
      </c>
      <c r="I613" s="25">
        <v>1.6492</v>
      </c>
    </row>
    <row r="614" spans="1:9">
      <c r="A614" s="15">
        <v>43865</v>
      </c>
      <c r="B614" s="25">
        <v>59.22</v>
      </c>
      <c r="C614" s="25">
        <v>54.68</v>
      </c>
      <c r="D614" s="25">
        <v>64.489999999999995</v>
      </c>
      <c r="E614" s="4"/>
      <c r="F614" s="3">
        <f t="shared" si="27"/>
        <v>0.3</v>
      </c>
      <c r="G614" s="4" t="str">
        <f t="shared" si="28"/>
        <v>Opec Basket</v>
      </c>
      <c r="H614" s="25">
        <f t="shared" si="29"/>
        <v>54.68</v>
      </c>
      <c r="I614" s="25">
        <v>1.6641999999999999</v>
      </c>
    </row>
    <row r="615" spans="1:9">
      <c r="A615" s="15">
        <v>43864</v>
      </c>
      <c r="B615" s="25">
        <v>59.12</v>
      </c>
      <c r="C615" s="25">
        <v>55.53</v>
      </c>
      <c r="D615" s="25">
        <v>64.2</v>
      </c>
      <c r="E615" s="4"/>
      <c r="F615" s="3">
        <f t="shared" si="27"/>
        <v>0.3</v>
      </c>
      <c r="G615" s="4" t="str">
        <f t="shared" si="28"/>
        <v>Opec Basket</v>
      </c>
      <c r="H615" s="25">
        <f t="shared" si="29"/>
        <v>55.53</v>
      </c>
      <c r="I615" s="25">
        <v>1.6573</v>
      </c>
    </row>
    <row r="616" spans="1:9">
      <c r="A616" s="15">
        <v>43861</v>
      </c>
      <c r="B616" s="25">
        <v>59.74</v>
      </c>
      <c r="C616" s="25">
        <v>58.94</v>
      </c>
      <c r="D616" s="25">
        <v>64.98</v>
      </c>
      <c r="E616" s="4"/>
      <c r="F616" s="3">
        <f t="shared" si="27"/>
        <v>0.3</v>
      </c>
      <c r="G616" s="4" t="str">
        <f t="shared" si="28"/>
        <v>Opec Basket</v>
      </c>
      <c r="H616" s="25">
        <f t="shared" si="29"/>
        <v>58.94</v>
      </c>
      <c r="I616" s="25">
        <v>1.6596</v>
      </c>
    </row>
    <row r="617" spans="1:9">
      <c r="A617" s="15">
        <v>43860</v>
      </c>
      <c r="B617" s="25">
        <v>60.09</v>
      </c>
      <c r="C617" s="25">
        <v>58.8</v>
      </c>
      <c r="D617" s="25">
        <v>65.37</v>
      </c>
      <c r="E617" s="4"/>
      <c r="F617" s="3">
        <f t="shared" si="27"/>
        <v>0.3</v>
      </c>
      <c r="G617" s="4" t="str">
        <f t="shared" si="28"/>
        <v>Opec Basket</v>
      </c>
      <c r="H617" s="25">
        <f t="shared" si="29"/>
        <v>58.8</v>
      </c>
      <c r="I617" s="25">
        <v>1.6527000000000001</v>
      </c>
    </row>
    <row r="618" spans="1:9">
      <c r="A618" s="15">
        <v>43859</v>
      </c>
      <c r="B618" s="25">
        <v>60.11</v>
      </c>
      <c r="C618" s="25">
        <v>61.04</v>
      </c>
      <c r="D618" s="25">
        <v>65.44</v>
      </c>
      <c r="E618" s="4"/>
      <c r="F618" s="3">
        <f t="shared" si="27"/>
        <v>0</v>
      </c>
      <c r="G618" s="4" t="str">
        <f t="shared" si="28"/>
        <v>WTI Crude</v>
      </c>
      <c r="H618" s="25">
        <f t="shared" si="29"/>
        <v>60.11</v>
      </c>
      <c r="I618" s="25">
        <v>1.6488</v>
      </c>
    </row>
    <row r="619" spans="1:9">
      <c r="A619" s="15">
        <v>43858</v>
      </c>
      <c r="B619" s="25">
        <v>62.6</v>
      </c>
      <c r="C619" s="25">
        <v>60.67</v>
      </c>
      <c r="D619" s="25">
        <v>68.27</v>
      </c>
      <c r="E619" s="4"/>
      <c r="F619" s="3">
        <f t="shared" si="27"/>
        <v>0.3</v>
      </c>
      <c r="G619" s="4" t="str">
        <f t="shared" si="28"/>
        <v>Opec Basket</v>
      </c>
      <c r="H619" s="25">
        <f t="shared" si="29"/>
        <v>60.67</v>
      </c>
      <c r="I619" s="25">
        <v>1.7222</v>
      </c>
    </row>
    <row r="620" spans="1:9">
      <c r="A620" s="15">
        <v>43857</v>
      </c>
      <c r="B620" s="25">
        <v>63.07</v>
      </c>
      <c r="C620" s="25">
        <v>61.98</v>
      </c>
      <c r="D620" s="25">
        <v>68.91</v>
      </c>
      <c r="E620" s="4"/>
      <c r="F620" s="3">
        <f t="shared" si="27"/>
        <v>0.3</v>
      </c>
      <c r="G620" s="4" t="str">
        <f t="shared" si="28"/>
        <v>Opec Basket</v>
      </c>
      <c r="H620" s="25">
        <f t="shared" si="29"/>
        <v>61.98</v>
      </c>
      <c r="I620" s="25">
        <v>1.7544</v>
      </c>
    </row>
    <row r="621" spans="1:9">
      <c r="A621" s="15">
        <v>43854</v>
      </c>
      <c r="B621" s="25">
        <v>62.87</v>
      </c>
      <c r="C621" s="25">
        <v>62.52</v>
      </c>
      <c r="D621" s="25">
        <v>68.599999999999994</v>
      </c>
      <c r="E621" s="4"/>
      <c r="F621" s="3">
        <f t="shared" si="27"/>
        <v>0.3</v>
      </c>
      <c r="G621" s="4" t="str">
        <f t="shared" si="28"/>
        <v>Opec Basket</v>
      </c>
      <c r="H621" s="25">
        <f t="shared" si="29"/>
        <v>62.52</v>
      </c>
      <c r="I621" s="25">
        <v>1.7487999999999999</v>
      </c>
    </row>
    <row r="622" spans="1:9">
      <c r="A622" s="15">
        <v>43853</v>
      </c>
      <c r="B622" s="25">
        <v>61.09</v>
      </c>
      <c r="C622" s="25">
        <v>63.26</v>
      </c>
      <c r="D622" s="25">
        <v>66.25</v>
      </c>
      <c r="E622" s="4"/>
      <c r="F622" s="3">
        <f t="shared" si="27"/>
        <v>0</v>
      </c>
      <c r="G622" s="4" t="str">
        <f t="shared" si="28"/>
        <v>WTI Crude</v>
      </c>
      <c r="H622" s="25">
        <f t="shared" si="29"/>
        <v>61.09</v>
      </c>
      <c r="I622" s="25">
        <v>1.7041999999999999</v>
      </c>
    </row>
    <row r="623" spans="1:9">
      <c r="A623" s="15">
        <v>43852</v>
      </c>
      <c r="B623" s="25">
        <v>59.8</v>
      </c>
      <c r="C623" s="25">
        <v>64.66</v>
      </c>
      <c r="D623" s="25">
        <v>66</v>
      </c>
      <c r="E623" s="4"/>
      <c r="F623" s="3">
        <f t="shared" si="27"/>
        <v>0</v>
      </c>
      <c r="G623" s="4" t="str">
        <f t="shared" si="28"/>
        <v>WTI Crude</v>
      </c>
      <c r="H623" s="25">
        <f t="shared" si="29"/>
        <v>59.8</v>
      </c>
      <c r="I623" s="25">
        <v>1.6904999999999999</v>
      </c>
    </row>
    <row r="624" spans="1:9">
      <c r="A624" s="15">
        <v>43851</v>
      </c>
      <c r="B624" s="25">
        <v>59.83</v>
      </c>
      <c r="C624" s="25">
        <v>65.260000000000005</v>
      </c>
      <c r="D624" s="25">
        <v>68.44</v>
      </c>
      <c r="E624" s="4"/>
      <c r="F624" s="3">
        <f t="shared" si="27"/>
        <v>0</v>
      </c>
      <c r="G624" s="4" t="str">
        <f t="shared" si="28"/>
        <v>WTI Crude</v>
      </c>
      <c r="H624" s="25">
        <f t="shared" si="29"/>
        <v>59.83</v>
      </c>
      <c r="I624" s="25">
        <v>1.724</v>
      </c>
    </row>
    <row r="625" spans="1:9">
      <c r="A625" s="15">
        <v>43850</v>
      </c>
      <c r="B625" s="25">
        <v>59.84</v>
      </c>
      <c r="C625" s="25">
        <v>66.11</v>
      </c>
      <c r="D625" s="25">
        <v>68.16</v>
      </c>
      <c r="E625" s="4"/>
      <c r="F625" s="3">
        <f t="shared" si="27"/>
        <v>0</v>
      </c>
      <c r="G625" s="4" t="str">
        <f t="shared" si="28"/>
        <v>WTI Crude</v>
      </c>
      <c r="H625" s="25">
        <f t="shared" si="29"/>
        <v>59.84</v>
      </c>
      <c r="I625" s="25">
        <v>1.7446999999999999</v>
      </c>
    </row>
    <row r="626" spans="1:9">
      <c r="A626" s="15">
        <v>43847</v>
      </c>
      <c r="B626" s="25">
        <v>59.83</v>
      </c>
      <c r="C626" s="25">
        <v>65.58</v>
      </c>
      <c r="D626" s="25">
        <v>67.92</v>
      </c>
      <c r="E626" s="4"/>
      <c r="F626" s="3">
        <f t="shared" si="27"/>
        <v>0</v>
      </c>
      <c r="G626" s="4" t="str">
        <f t="shared" si="28"/>
        <v>WTI Crude</v>
      </c>
      <c r="H626" s="25">
        <f t="shared" si="29"/>
        <v>59.83</v>
      </c>
      <c r="I626" s="25">
        <v>1.7539</v>
      </c>
    </row>
    <row r="627" spans="1:9">
      <c r="A627" s="15">
        <v>43846</v>
      </c>
      <c r="B627" s="25">
        <v>59.72</v>
      </c>
      <c r="C627" s="25">
        <v>65.62</v>
      </c>
      <c r="D627" s="25">
        <v>67.2</v>
      </c>
      <c r="E627" s="4"/>
      <c r="F627" s="3">
        <f t="shared" si="27"/>
        <v>0</v>
      </c>
      <c r="G627" s="4" t="str">
        <f t="shared" si="28"/>
        <v>WTI Crude</v>
      </c>
      <c r="H627" s="25">
        <f t="shared" si="29"/>
        <v>59.72</v>
      </c>
      <c r="I627" s="25">
        <v>1.7274</v>
      </c>
    </row>
    <row r="628" spans="1:9">
      <c r="A628" s="15">
        <v>43845</v>
      </c>
      <c r="B628" s="25">
        <v>59.58</v>
      </c>
      <c r="C628" s="25">
        <v>65.319999999999993</v>
      </c>
      <c r="D628" s="25">
        <v>66.39</v>
      </c>
      <c r="E628" s="4"/>
      <c r="F628" s="3">
        <f t="shared" si="27"/>
        <v>0</v>
      </c>
      <c r="G628" s="4" t="str">
        <f t="shared" si="28"/>
        <v>WTI Crude</v>
      </c>
      <c r="H628" s="25">
        <f t="shared" si="29"/>
        <v>59.58</v>
      </c>
      <c r="I628" s="25">
        <v>1.7064999999999999</v>
      </c>
    </row>
    <row r="629" spans="1:9">
      <c r="A629" s="15">
        <v>43844</v>
      </c>
      <c r="B629" s="25">
        <v>59.56</v>
      </c>
      <c r="C629" s="25">
        <v>65.63</v>
      </c>
      <c r="D629" s="25">
        <v>66.14</v>
      </c>
      <c r="E629" s="4"/>
      <c r="F629" s="3">
        <f t="shared" si="27"/>
        <v>0</v>
      </c>
      <c r="G629" s="4" t="str">
        <f t="shared" si="28"/>
        <v>WTI Crude</v>
      </c>
      <c r="H629" s="25">
        <f t="shared" si="29"/>
        <v>59.56</v>
      </c>
      <c r="I629" s="25">
        <v>1.7072000000000001</v>
      </c>
    </row>
    <row r="630" spans="1:9">
      <c r="A630" s="15">
        <v>43843</v>
      </c>
      <c r="B630" s="25">
        <v>59.81</v>
      </c>
      <c r="C630" s="25">
        <v>66.069999999999993</v>
      </c>
      <c r="D630" s="25">
        <v>66.540000000000006</v>
      </c>
      <c r="E630" s="4"/>
      <c r="F630" s="3">
        <f t="shared" si="27"/>
        <v>0</v>
      </c>
      <c r="G630" s="4" t="str">
        <f t="shared" si="28"/>
        <v>WTI Crude</v>
      </c>
      <c r="H630" s="25">
        <f t="shared" si="29"/>
        <v>59.81</v>
      </c>
      <c r="I630" s="25">
        <v>1.7097</v>
      </c>
    </row>
    <row r="631" spans="1:9">
      <c r="A631" s="15">
        <v>43840</v>
      </c>
      <c r="B631" s="25">
        <v>59.68</v>
      </c>
      <c r="C631" s="25">
        <v>67.02</v>
      </c>
      <c r="D631" s="25">
        <v>66.17</v>
      </c>
      <c r="E631" s="4"/>
      <c r="F631" s="3">
        <f t="shared" si="27"/>
        <v>0</v>
      </c>
      <c r="G631" s="4" t="str">
        <f t="shared" si="28"/>
        <v>WTI Crude</v>
      </c>
      <c r="H631" s="25">
        <f t="shared" si="29"/>
        <v>59.68</v>
      </c>
      <c r="I631" s="25">
        <v>1.6904999999999999</v>
      </c>
    </row>
    <row r="632" spans="1:9">
      <c r="A632" s="15">
        <v>43839</v>
      </c>
      <c r="B632" s="25">
        <v>59.69</v>
      </c>
      <c r="C632" s="25">
        <v>67.239999999999995</v>
      </c>
      <c r="D632" s="25">
        <v>66.099999999999994</v>
      </c>
      <c r="E632" s="4"/>
      <c r="F632" s="3">
        <f t="shared" si="27"/>
        <v>0</v>
      </c>
      <c r="G632" s="4" t="str">
        <f t="shared" si="28"/>
        <v>WTI Crude</v>
      </c>
      <c r="H632" s="25">
        <f t="shared" si="29"/>
        <v>59.69</v>
      </c>
      <c r="I632" s="25">
        <v>1.6899</v>
      </c>
    </row>
    <row r="633" spans="1:9">
      <c r="A633" s="15">
        <v>43838</v>
      </c>
      <c r="B633" s="25">
        <v>59.34</v>
      </c>
      <c r="C633" s="25">
        <v>69.58</v>
      </c>
      <c r="D633" s="25">
        <v>65.34</v>
      </c>
      <c r="E633" s="4"/>
      <c r="F633" s="3">
        <f t="shared" si="27"/>
        <v>0</v>
      </c>
      <c r="G633" s="4" t="str">
        <f t="shared" si="28"/>
        <v>WTI Crude</v>
      </c>
      <c r="H633" s="25">
        <f t="shared" si="29"/>
        <v>59.34</v>
      </c>
      <c r="I633" s="25">
        <v>1.6677999999999999</v>
      </c>
    </row>
    <row r="634" spans="1:9">
      <c r="A634" s="15">
        <v>43837</v>
      </c>
      <c r="B634" s="25">
        <v>59.26</v>
      </c>
      <c r="C634" s="25">
        <v>69.599999999999994</v>
      </c>
      <c r="D634" s="25">
        <v>65.22</v>
      </c>
      <c r="E634" s="4"/>
      <c r="F634" s="3">
        <f t="shared" si="27"/>
        <v>0</v>
      </c>
      <c r="G634" s="4" t="str">
        <f t="shared" si="28"/>
        <v>WTI Crude</v>
      </c>
      <c r="H634" s="25">
        <f t="shared" si="29"/>
        <v>59.26</v>
      </c>
      <c r="I634" s="25">
        <v>1.6632</v>
      </c>
    </row>
    <row r="635" spans="1:9">
      <c r="A635" s="15">
        <v>43836</v>
      </c>
      <c r="B635" s="25">
        <v>58.74</v>
      </c>
      <c r="C635" s="25">
        <v>70.87</v>
      </c>
      <c r="D635" s="25">
        <v>64.2</v>
      </c>
      <c r="E635" s="4"/>
      <c r="F635" s="3">
        <f t="shared" si="27"/>
        <v>0</v>
      </c>
      <c r="G635" s="4" t="str">
        <f t="shared" si="28"/>
        <v>WTI Crude</v>
      </c>
      <c r="H635" s="25">
        <f t="shared" si="29"/>
        <v>58.74</v>
      </c>
      <c r="I635" s="25">
        <v>1.6283000000000001</v>
      </c>
    </row>
    <row r="636" spans="1:9">
      <c r="A636" s="15">
        <v>43833</v>
      </c>
      <c r="B636" s="25">
        <v>58.49</v>
      </c>
      <c r="C636" s="25">
        <v>69.38</v>
      </c>
      <c r="D636" s="25">
        <v>63.72</v>
      </c>
      <c r="E636" s="4"/>
      <c r="F636" s="3">
        <f t="shared" si="27"/>
        <v>0</v>
      </c>
      <c r="G636" s="4" t="str">
        <f t="shared" si="28"/>
        <v>WTI Crude</v>
      </c>
      <c r="H636" s="25">
        <f t="shared" si="29"/>
        <v>58.49</v>
      </c>
      <c r="I636" s="25">
        <v>1.6261000000000001</v>
      </c>
    </row>
    <row r="637" spans="1:9">
      <c r="A637" s="15">
        <v>43832</v>
      </c>
      <c r="B637" s="25">
        <v>58.81</v>
      </c>
      <c r="C637" s="25">
        <v>67.12</v>
      </c>
      <c r="D637" s="25">
        <v>64.34</v>
      </c>
      <c r="E637" s="4"/>
      <c r="F637" s="3">
        <f t="shared" si="27"/>
        <v>0</v>
      </c>
      <c r="G637" s="4" t="str">
        <f t="shared" si="28"/>
        <v>WTI Crude</v>
      </c>
      <c r="H637" s="25">
        <f t="shared" si="29"/>
        <v>58.81</v>
      </c>
      <c r="I637" s="25">
        <v>1.6525000000000001</v>
      </c>
    </row>
    <row r="638" spans="1:9">
      <c r="A638" s="15">
        <v>43830</v>
      </c>
      <c r="B638" s="25">
        <v>58.65</v>
      </c>
      <c r="C638" s="25">
        <v>67.959999999999994</v>
      </c>
      <c r="D638" s="25">
        <v>64.25</v>
      </c>
      <c r="E638" s="4"/>
      <c r="F638" s="3">
        <f t="shared" si="27"/>
        <v>0</v>
      </c>
      <c r="G638" s="4" t="str">
        <f t="shared" si="28"/>
        <v>WTI Crude</v>
      </c>
      <c r="H638" s="25">
        <f t="shared" si="29"/>
        <v>58.65</v>
      </c>
      <c r="I638" s="25">
        <v>1.6548</v>
      </c>
    </row>
    <row r="639" spans="1:9">
      <c r="A639" s="15">
        <v>43829</v>
      </c>
      <c r="B639" s="25">
        <v>58.79</v>
      </c>
      <c r="C639" s="25">
        <v>68.89</v>
      </c>
      <c r="D639" s="25">
        <v>64.39</v>
      </c>
      <c r="E639" s="4"/>
      <c r="F639" s="3">
        <f t="shared" si="27"/>
        <v>0</v>
      </c>
      <c r="G639" s="4" t="str">
        <f t="shared" si="28"/>
        <v>WTI Crude</v>
      </c>
      <c r="H639" s="25">
        <f t="shared" si="29"/>
        <v>58.79</v>
      </c>
      <c r="I639" s="25">
        <v>1.6474</v>
      </c>
    </row>
    <row r="640" spans="1:9">
      <c r="A640" s="15">
        <v>43826</v>
      </c>
      <c r="B640" s="25">
        <v>58.17</v>
      </c>
      <c r="C640" s="25">
        <v>69.069999999999993</v>
      </c>
      <c r="D640" s="25">
        <v>63.39</v>
      </c>
      <c r="E640" s="4"/>
      <c r="F640" s="3">
        <f t="shared" si="27"/>
        <v>0</v>
      </c>
      <c r="G640" s="4" t="str">
        <f t="shared" si="28"/>
        <v>WTI Crude</v>
      </c>
      <c r="H640" s="25">
        <f t="shared" si="29"/>
        <v>58.17</v>
      </c>
      <c r="I640" s="25">
        <v>1.6211</v>
      </c>
    </row>
    <row r="641" spans="1:9">
      <c r="A641" s="15">
        <v>43825</v>
      </c>
      <c r="B641" s="25">
        <v>58.17</v>
      </c>
      <c r="C641" s="25">
        <v>68.48</v>
      </c>
      <c r="D641" s="25">
        <v>63</v>
      </c>
      <c r="E641" s="4"/>
      <c r="F641" s="3">
        <f t="shared" si="27"/>
        <v>0</v>
      </c>
      <c r="G641" s="4" t="str">
        <f t="shared" si="28"/>
        <v>WTI Crude</v>
      </c>
      <c r="H641" s="25">
        <f t="shared" si="29"/>
        <v>58.17</v>
      </c>
      <c r="I641" s="25">
        <v>1.6042000000000001</v>
      </c>
    </row>
    <row r="642" spans="1:9">
      <c r="A642" s="15">
        <v>43823</v>
      </c>
      <c r="B642" s="25">
        <v>56.07</v>
      </c>
      <c r="C642" s="25">
        <v>67.989999999999995</v>
      </c>
      <c r="D642" s="25">
        <v>60.82</v>
      </c>
      <c r="E642" s="4"/>
      <c r="F642" s="3">
        <f t="shared" ref="F642:F680" si="30">IF(MIN(B642:E642)=B642,0,IF(MIN(B642:E642)=C642,0.3,IF(MIN(B642:E642)=D642,0.75,IF(MIN(B642:E642)=E642,1,))))</f>
        <v>0</v>
      </c>
      <c r="G642" s="4" t="str">
        <f t="shared" ref="G642:G680" si="31">IF(MIN(B642:E642)=B642,$B$1,IF(MIN(B642:E642)=C642,$C$1,IF(MIN(B642:E642)=D642,$D$1,IF(MIN(B642:E642)=E642,$E$1,))))</f>
        <v>WTI Crude</v>
      </c>
      <c r="H642" s="25">
        <f t="shared" ref="H642:H680" si="32">IF(MIN(B642:E642)=B642,B642,IF(MIN(B642:E642)=C642,C642,IF(MIN(B642:E642)=D642,D642,IF(MIN(B642:E642)=E642,E642,))))</f>
        <v>56.07</v>
      </c>
      <c r="I642" s="25">
        <v>1.5629</v>
      </c>
    </row>
    <row r="643" spans="1:9">
      <c r="A643" s="15">
        <v>43822</v>
      </c>
      <c r="B643" s="25">
        <v>55.94</v>
      </c>
      <c r="C643" s="25">
        <v>67.58</v>
      </c>
      <c r="D643" s="25">
        <v>60.92</v>
      </c>
      <c r="E643" s="4"/>
      <c r="F643" s="3">
        <f t="shared" si="30"/>
        <v>0</v>
      </c>
      <c r="G643" s="4" t="str">
        <f t="shared" si="31"/>
        <v>WTI Crude</v>
      </c>
      <c r="H643" s="25">
        <f t="shared" si="32"/>
        <v>55.94</v>
      </c>
      <c r="I643" s="25">
        <v>1.5732999999999999</v>
      </c>
    </row>
    <row r="644" spans="1:9">
      <c r="A644" s="15">
        <v>43819</v>
      </c>
      <c r="B644" s="25">
        <v>57.07</v>
      </c>
      <c r="C644" s="25">
        <v>68</v>
      </c>
      <c r="D644" s="25">
        <v>62.43</v>
      </c>
      <c r="E644" s="4"/>
      <c r="F644" s="3">
        <f t="shared" si="30"/>
        <v>0</v>
      </c>
      <c r="G644" s="4" t="str">
        <f t="shared" si="31"/>
        <v>WTI Crude</v>
      </c>
      <c r="H644" s="25">
        <f t="shared" si="32"/>
        <v>57.07</v>
      </c>
      <c r="I644" s="25">
        <v>1.591</v>
      </c>
    </row>
    <row r="645" spans="1:9">
      <c r="A645" s="15">
        <v>43818</v>
      </c>
      <c r="B645" s="25">
        <v>57.22</v>
      </c>
      <c r="C645" s="25">
        <v>67.930000000000007</v>
      </c>
      <c r="D645" s="25">
        <v>64.06</v>
      </c>
      <c r="E645" s="4"/>
      <c r="F645" s="3">
        <f t="shared" si="30"/>
        <v>0</v>
      </c>
      <c r="G645" s="4" t="str">
        <f t="shared" si="31"/>
        <v>WTI Crude</v>
      </c>
      <c r="H645" s="25">
        <f t="shared" si="32"/>
        <v>57.22</v>
      </c>
      <c r="I645" s="25">
        <v>1.6792</v>
      </c>
    </row>
    <row r="646" spans="1:9">
      <c r="A646" s="15">
        <v>43817</v>
      </c>
      <c r="B646" s="25">
        <v>57.25</v>
      </c>
      <c r="C646" s="25">
        <v>67.77</v>
      </c>
      <c r="D646" s="25">
        <v>64.27</v>
      </c>
      <c r="E646" s="4"/>
      <c r="F646" s="3">
        <f t="shared" si="30"/>
        <v>0</v>
      </c>
      <c r="G646" s="4" t="str">
        <f t="shared" si="31"/>
        <v>WTI Crude</v>
      </c>
      <c r="H646" s="25">
        <f t="shared" si="32"/>
        <v>57.25</v>
      </c>
      <c r="I646" s="25">
        <v>1.6976</v>
      </c>
    </row>
    <row r="647" spans="1:9">
      <c r="A647" s="15">
        <v>43816</v>
      </c>
      <c r="B647" s="25">
        <v>57.19</v>
      </c>
      <c r="C647" s="25">
        <v>67.48</v>
      </c>
      <c r="D647" s="25">
        <v>63.65</v>
      </c>
      <c r="E647" s="4"/>
      <c r="F647" s="3">
        <f t="shared" si="30"/>
        <v>0</v>
      </c>
      <c r="G647" s="4" t="str">
        <f t="shared" si="31"/>
        <v>WTI Crude</v>
      </c>
      <c r="H647" s="25">
        <f t="shared" si="32"/>
        <v>57.19</v>
      </c>
      <c r="I647" s="25">
        <v>1.6715</v>
      </c>
    </row>
    <row r="648" spans="1:9">
      <c r="A648" s="15">
        <v>43815</v>
      </c>
      <c r="B648" s="25">
        <v>57.14</v>
      </c>
      <c r="C648" s="25">
        <v>67.22</v>
      </c>
      <c r="D648" s="25">
        <v>63.39</v>
      </c>
      <c r="E648" s="4"/>
      <c r="F648" s="3">
        <f t="shared" si="30"/>
        <v>0</v>
      </c>
      <c r="G648" s="4" t="str">
        <f t="shared" si="31"/>
        <v>WTI Crude</v>
      </c>
      <c r="H648" s="25">
        <f t="shared" si="32"/>
        <v>57.14</v>
      </c>
      <c r="I648" s="25">
        <v>1.6742999999999999</v>
      </c>
    </row>
    <row r="649" spans="1:9">
      <c r="A649" s="15">
        <v>43812</v>
      </c>
      <c r="B649" s="25">
        <v>57.34</v>
      </c>
      <c r="C649" s="25">
        <v>66.760000000000005</v>
      </c>
      <c r="D649" s="25">
        <v>63.97</v>
      </c>
      <c r="E649" s="4"/>
      <c r="F649" s="3">
        <f t="shared" si="30"/>
        <v>0</v>
      </c>
      <c r="G649" s="4" t="str">
        <f t="shared" si="31"/>
        <v>WTI Crude</v>
      </c>
      <c r="H649" s="25">
        <f t="shared" si="32"/>
        <v>57.34</v>
      </c>
      <c r="I649" s="25">
        <v>1.6982999999999999</v>
      </c>
    </row>
    <row r="650" spans="1:9">
      <c r="A650" s="15">
        <v>43811</v>
      </c>
      <c r="B650" s="25">
        <v>56.87</v>
      </c>
      <c r="C650" s="25">
        <v>65.81</v>
      </c>
      <c r="D650" s="25">
        <v>62.4</v>
      </c>
      <c r="E650" s="4"/>
      <c r="F650" s="3">
        <f t="shared" si="30"/>
        <v>0</v>
      </c>
      <c r="G650" s="4" t="str">
        <f t="shared" si="31"/>
        <v>WTI Crude</v>
      </c>
      <c r="H650" s="25">
        <f t="shared" si="32"/>
        <v>56.87</v>
      </c>
      <c r="I650" s="25">
        <v>1.6563000000000001</v>
      </c>
    </row>
    <row r="651" spans="1:9">
      <c r="A651" s="15">
        <v>43810</v>
      </c>
      <c r="B651" s="25">
        <v>56.28</v>
      </c>
      <c r="C651" s="25">
        <v>65.38</v>
      </c>
      <c r="D651" s="25">
        <v>60.91</v>
      </c>
      <c r="E651" s="4"/>
      <c r="F651" s="3">
        <f t="shared" si="30"/>
        <v>0</v>
      </c>
      <c r="G651" s="4" t="str">
        <f t="shared" si="31"/>
        <v>WTI Crude</v>
      </c>
      <c r="H651" s="25">
        <f t="shared" si="32"/>
        <v>56.28</v>
      </c>
      <c r="I651" s="25">
        <v>1.6036999999999999</v>
      </c>
    </row>
    <row r="652" spans="1:9">
      <c r="A652" s="15">
        <v>43809</v>
      </c>
      <c r="B652" s="25">
        <v>57</v>
      </c>
      <c r="C652" s="25">
        <v>65.66</v>
      </c>
      <c r="D652" s="25">
        <v>62.44</v>
      </c>
      <c r="E652" s="4"/>
      <c r="F652" s="3">
        <f t="shared" si="30"/>
        <v>0</v>
      </c>
      <c r="G652" s="4" t="str">
        <f t="shared" si="31"/>
        <v>WTI Crude</v>
      </c>
      <c r="H652" s="25">
        <f t="shared" si="32"/>
        <v>57</v>
      </c>
      <c r="I652" s="25">
        <v>1.6160000000000001</v>
      </c>
    </row>
    <row r="653" spans="1:9">
      <c r="A653" s="15">
        <v>43808</v>
      </c>
      <c r="B653" s="25">
        <v>57.31</v>
      </c>
      <c r="C653" s="25">
        <v>65.569999999999993</v>
      </c>
      <c r="D653" s="25">
        <v>63.3</v>
      </c>
      <c r="E653" s="4"/>
      <c r="F653" s="3">
        <f t="shared" si="30"/>
        <v>0</v>
      </c>
      <c r="G653" s="4" t="str">
        <f t="shared" si="31"/>
        <v>WTI Crude</v>
      </c>
      <c r="H653" s="25">
        <f t="shared" si="32"/>
        <v>57.31</v>
      </c>
      <c r="I653" s="25">
        <v>1.6308</v>
      </c>
    </row>
    <row r="654" spans="1:9">
      <c r="A654" s="15">
        <v>43805</v>
      </c>
      <c r="B654" s="25">
        <v>56.83</v>
      </c>
      <c r="C654" s="25">
        <v>65.239999999999995</v>
      </c>
      <c r="D654" s="25">
        <v>62.28</v>
      </c>
      <c r="E654" s="4"/>
      <c r="F654" s="3">
        <f t="shared" si="30"/>
        <v>0</v>
      </c>
      <c r="G654" s="4" t="str">
        <f t="shared" si="31"/>
        <v>WTI Crude</v>
      </c>
      <c r="H654" s="25">
        <f t="shared" si="32"/>
        <v>56.83</v>
      </c>
      <c r="I654" s="25">
        <v>1.6115999999999999</v>
      </c>
    </row>
    <row r="655" spans="1:9">
      <c r="A655" s="15">
        <v>43804</v>
      </c>
      <c r="B655" s="25">
        <v>57.01</v>
      </c>
      <c r="C655" s="25">
        <v>64.81</v>
      </c>
      <c r="D655" s="25">
        <v>62.37</v>
      </c>
      <c r="E655" s="4"/>
      <c r="F655" s="3">
        <f t="shared" si="30"/>
        <v>0</v>
      </c>
      <c r="G655" s="4" t="str">
        <f t="shared" si="31"/>
        <v>WTI Crude</v>
      </c>
      <c r="H655" s="25">
        <f t="shared" si="32"/>
        <v>57.01</v>
      </c>
      <c r="I655" s="25">
        <v>1.6309</v>
      </c>
    </row>
    <row r="656" spans="1:9">
      <c r="A656" s="15">
        <v>43803</v>
      </c>
      <c r="B656" s="25">
        <v>56.81</v>
      </c>
      <c r="C656" s="25">
        <v>63.39</v>
      </c>
      <c r="D656" s="25">
        <v>62.06</v>
      </c>
      <c r="E656" s="4"/>
      <c r="F656" s="3">
        <f t="shared" si="30"/>
        <v>0</v>
      </c>
      <c r="G656" s="4" t="str">
        <f t="shared" si="31"/>
        <v>WTI Crude</v>
      </c>
      <c r="H656" s="25">
        <f t="shared" si="32"/>
        <v>56.81</v>
      </c>
      <c r="I656" s="25">
        <v>1.6144000000000001</v>
      </c>
    </row>
    <row r="657" spans="1:9">
      <c r="A657" s="15">
        <v>43802</v>
      </c>
      <c r="B657" s="25">
        <v>56.85</v>
      </c>
      <c r="C657" s="25">
        <v>62.57</v>
      </c>
      <c r="D657" s="25">
        <v>62.18</v>
      </c>
      <c r="E657" s="4"/>
      <c r="F657" s="3">
        <f t="shared" si="30"/>
        <v>0</v>
      </c>
      <c r="G657" s="4" t="str">
        <f t="shared" si="31"/>
        <v>WTI Crude</v>
      </c>
      <c r="H657" s="25">
        <f t="shared" si="32"/>
        <v>56.85</v>
      </c>
      <c r="I657" s="25">
        <v>1.6099000000000001</v>
      </c>
    </row>
    <row r="658" spans="1:9">
      <c r="A658" s="15">
        <v>43801</v>
      </c>
      <c r="B658" s="25">
        <v>57.11</v>
      </c>
      <c r="C658" s="25">
        <v>62.5</v>
      </c>
      <c r="D658" s="25">
        <v>62.51</v>
      </c>
      <c r="E658" s="4"/>
      <c r="F658" s="3">
        <f t="shared" si="30"/>
        <v>0</v>
      </c>
      <c r="G658" s="4" t="str">
        <f t="shared" si="31"/>
        <v>WTI Crude</v>
      </c>
      <c r="H658" s="25">
        <f t="shared" si="32"/>
        <v>57.11</v>
      </c>
      <c r="I658" s="25">
        <v>1.6336999999999999</v>
      </c>
    </row>
    <row r="659" spans="1:9">
      <c r="A659" s="15">
        <v>43798</v>
      </c>
      <c r="B659" s="25">
        <v>57.04</v>
      </c>
      <c r="C659" s="25">
        <v>63.83</v>
      </c>
      <c r="D659" s="25">
        <v>62.29</v>
      </c>
      <c r="E659" s="4"/>
      <c r="F659" s="3">
        <f t="shared" si="30"/>
        <v>0</v>
      </c>
      <c r="G659" s="4" t="str">
        <f t="shared" si="31"/>
        <v>WTI Crude</v>
      </c>
      <c r="H659" s="25">
        <f t="shared" si="32"/>
        <v>57.04</v>
      </c>
      <c r="I659" s="25">
        <v>1.6355</v>
      </c>
    </row>
    <row r="660" spans="1:9">
      <c r="A660" s="15">
        <v>43797</v>
      </c>
      <c r="B660" s="25">
        <v>56.41</v>
      </c>
      <c r="C660" s="25">
        <v>63.94</v>
      </c>
      <c r="D660" s="25">
        <v>61.74</v>
      </c>
      <c r="E660" s="4"/>
      <c r="F660" s="3">
        <f t="shared" si="30"/>
        <v>0</v>
      </c>
      <c r="G660" s="4" t="str">
        <f t="shared" si="31"/>
        <v>WTI Crude</v>
      </c>
      <c r="H660" s="25">
        <f t="shared" si="32"/>
        <v>56.41</v>
      </c>
      <c r="I660" s="25">
        <v>1.6262000000000001</v>
      </c>
    </row>
    <row r="661" spans="1:9">
      <c r="A661" s="15">
        <v>43796</v>
      </c>
      <c r="B661" s="25">
        <v>57.16</v>
      </c>
      <c r="C661" s="25">
        <v>64.400000000000006</v>
      </c>
      <c r="D661" s="25">
        <v>62.96</v>
      </c>
      <c r="E661" s="4"/>
      <c r="F661" s="3">
        <f t="shared" si="30"/>
        <v>0</v>
      </c>
      <c r="G661" s="4" t="str">
        <f t="shared" si="31"/>
        <v>WTI Crude</v>
      </c>
      <c r="H661" s="25">
        <f t="shared" si="32"/>
        <v>57.16</v>
      </c>
      <c r="I661" s="25">
        <v>1.6746000000000001</v>
      </c>
    </row>
    <row r="662" spans="1:9">
      <c r="A662" s="15">
        <v>43795</v>
      </c>
      <c r="B662" s="25">
        <v>56.54</v>
      </c>
      <c r="C662" s="25">
        <v>63.92</v>
      </c>
      <c r="D662" s="25">
        <v>62.13</v>
      </c>
      <c r="E662" s="4"/>
      <c r="F662" s="3">
        <f t="shared" si="30"/>
        <v>0</v>
      </c>
      <c r="G662" s="4" t="str">
        <f t="shared" si="31"/>
        <v>WTI Crude</v>
      </c>
      <c r="H662" s="25">
        <f t="shared" si="32"/>
        <v>56.54</v>
      </c>
      <c r="I662" s="25">
        <v>1.6637</v>
      </c>
    </row>
    <row r="663" spans="1:9">
      <c r="A663" s="15">
        <v>43794</v>
      </c>
      <c r="B663" s="25">
        <v>56.22</v>
      </c>
      <c r="C663" s="25">
        <v>64.209999999999994</v>
      </c>
      <c r="D663" s="25">
        <v>61.69</v>
      </c>
      <c r="E663" s="4"/>
      <c r="F663" s="3">
        <f t="shared" si="30"/>
        <v>0</v>
      </c>
      <c r="G663" s="4" t="str">
        <f t="shared" si="31"/>
        <v>WTI Crude</v>
      </c>
      <c r="H663" s="25">
        <f t="shared" si="32"/>
        <v>56.22</v>
      </c>
      <c r="I663" s="25">
        <v>1.6556999999999999</v>
      </c>
    </row>
    <row r="664" spans="1:9">
      <c r="A664" s="15">
        <v>43791</v>
      </c>
      <c r="B664" s="25">
        <v>54.01</v>
      </c>
      <c r="C664" s="25">
        <v>64.56</v>
      </c>
      <c r="D664" s="25">
        <v>60.23</v>
      </c>
      <c r="E664" s="4"/>
      <c r="F664" s="3">
        <f t="shared" si="30"/>
        <v>0</v>
      </c>
      <c r="G664" s="4" t="str">
        <f t="shared" si="31"/>
        <v>WTI Crude</v>
      </c>
      <c r="H664" s="25">
        <f t="shared" si="32"/>
        <v>54.01</v>
      </c>
      <c r="I664" s="25">
        <v>1.5946</v>
      </c>
    </row>
    <row r="665" spans="1:9">
      <c r="A665" s="15">
        <v>43790</v>
      </c>
      <c r="B665" s="25">
        <v>54.04</v>
      </c>
      <c r="C665" s="25">
        <v>63.68</v>
      </c>
      <c r="D665" s="25">
        <v>60.61</v>
      </c>
      <c r="E665" s="4"/>
      <c r="F665" s="3">
        <f t="shared" si="30"/>
        <v>0</v>
      </c>
      <c r="G665" s="4" t="str">
        <f t="shared" si="31"/>
        <v>WTI Crude</v>
      </c>
      <c r="H665" s="25">
        <f t="shared" si="32"/>
        <v>54.04</v>
      </c>
      <c r="I665" s="25">
        <v>1.6645000000000001</v>
      </c>
    </row>
    <row r="666" spans="1:9">
      <c r="A666" s="15">
        <v>43789</v>
      </c>
      <c r="B666" s="25">
        <v>54.09</v>
      </c>
      <c r="C666" s="25">
        <v>62.22</v>
      </c>
      <c r="D666" s="25">
        <v>61.59</v>
      </c>
      <c r="E666" s="4"/>
      <c r="F666" s="3">
        <f t="shared" si="30"/>
        <v>0</v>
      </c>
      <c r="G666" s="4" t="str">
        <f t="shared" si="31"/>
        <v>WTI Crude</v>
      </c>
      <c r="H666" s="25">
        <f t="shared" si="32"/>
        <v>54.09</v>
      </c>
      <c r="I666" s="25">
        <v>1.6415999999999999</v>
      </c>
    </row>
    <row r="667" spans="1:9">
      <c r="A667" s="15">
        <v>43788</v>
      </c>
      <c r="B667" s="25">
        <v>54.12</v>
      </c>
      <c r="C667" s="25">
        <v>62.51</v>
      </c>
      <c r="D667" s="25">
        <v>61.57</v>
      </c>
      <c r="E667" s="4"/>
      <c r="F667" s="3">
        <f t="shared" si="30"/>
        <v>0</v>
      </c>
      <c r="G667" s="4" t="str">
        <f t="shared" si="31"/>
        <v>WTI Crude</v>
      </c>
      <c r="H667" s="25">
        <f t="shared" si="32"/>
        <v>54.12</v>
      </c>
      <c r="I667" s="25">
        <v>1.6344000000000001</v>
      </c>
    </row>
    <row r="668" spans="1:9">
      <c r="A668" s="15">
        <v>43787</v>
      </c>
      <c r="B668" s="25">
        <v>54.27</v>
      </c>
      <c r="C668" s="25">
        <v>63.44</v>
      </c>
      <c r="D668" s="25">
        <v>62.02</v>
      </c>
      <c r="E668" s="4"/>
      <c r="F668" s="3">
        <f t="shared" si="30"/>
        <v>0</v>
      </c>
      <c r="G668" s="4" t="str">
        <f t="shared" si="31"/>
        <v>WTI Crude</v>
      </c>
      <c r="H668" s="25">
        <f t="shared" si="32"/>
        <v>54.27</v>
      </c>
      <c r="I668" s="25">
        <v>1.6355999999999999</v>
      </c>
    </row>
    <row r="669" spans="1:9">
      <c r="A669" s="15">
        <v>43784</v>
      </c>
      <c r="B669" s="25">
        <v>54.18</v>
      </c>
      <c r="C669" s="25">
        <v>63.12</v>
      </c>
      <c r="D669" s="25">
        <v>61.67</v>
      </c>
      <c r="E669" s="4"/>
      <c r="F669" s="3">
        <f t="shared" si="30"/>
        <v>0</v>
      </c>
      <c r="G669" s="4" t="str">
        <f t="shared" si="31"/>
        <v>WTI Crude</v>
      </c>
      <c r="H669" s="25">
        <f t="shared" si="32"/>
        <v>54.18</v>
      </c>
      <c r="I669" s="25">
        <v>1.6258999999999999</v>
      </c>
    </row>
    <row r="670" spans="1:9">
      <c r="A670" s="15">
        <v>43783</v>
      </c>
      <c r="B670" s="25">
        <v>54.11</v>
      </c>
      <c r="C670" s="25">
        <v>63</v>
      </c>
      <c r="D670" s="25">
        <v>61.17</v>
      </c>
      <c r="E670" s="4"/>
      <c r="F670" s="3">
        <f t="shared" si="30"/>
        <v>0</v>
      </c>
      <c r="G670" s="4" t="str">
        <f t="shared" si="31"/>
        <v>WTI Crude</v>
      </c>
      <c r="H670" s="25">
        <f t="shared" si="32"/>
        <v>54.11</v>
      </c>
      <c r="I670" s="25">
        <v>1.6133</v>
      </c>
    </row>
    <row r="671" spans="1:9">
      <c r="A671" s="15">
        <v>43782</v>
      </c>
      <c r="B671" s="25">
        <v>53.65</v>
      </c>
      <c r="C671" s="25">
        <v>62.48</v>
      </c>
      <c r="D671" s="25">
        <v>59.7</v>
      </c>
      <c r="E671" s="4"/>
      <c r="F671" s="3">
        <f t="shared" si="30"/>
        <v>0</v>
      </c>
      <c r="G671" s="4" t="str">
        <f t="shared" si="31"/>
        <v>WTI Crude</v>
      </c>
      <c r="H671" s="25">
        <f t="shared" si="32"/>
        <v>53.65</v>
      </c>
      <c r="I671" s="25">
        <v>1.569</v>
      </c>
    </row>
    <row r="672" spans="1:9">
      <c r="A672" s="15">
        <v>43781</v>
      </c>
      <c r="B672" s="25">
        <v>53.32</v>
      </c>
      <c r="C672" s="25">
        <v>62.82</v>
      </c>
      <c r="D672" s="25">
        <v>58.96</v>
      </c>
      <c r="E672" s="4"/>
      <c r="F672" s="3">
        <f t="shared" si="30"/>
        <v>0</v>
      </c>
      <c r="G672" s="4" t="str">
        <f t="shared" si="31"/>
        <v>WTI Crude</v>
      </c>
      <c r="H672" s="25">
        <f t="shared" si="32"/>
        <v>53.32</v>
      </c>
      <c r="I672" s="25">
        <v>1.5637000000000001</v>
      </c>
    </row>
    <row r="673" spans="1:9">
      <c r="A673" s="15">
        <v>43780</v>
      </c>
      <c r="B673" s="25">
        <v>53.47</v>
      </c>
      <c r="C673" s="25">
        <v>62.26</v>
      </c>
      <c r="D673" s="25">
        <v>59.42</v>
      </c>
      <c r="E673" s="4"/>
      <c r="F673" s="3">
        <f t="shared" si="30"/>
        <v>0</v>
      </c>
      <c r="G673" s="4" t="str">
        <f t="shared" si="31"/>
        <v>WTI Crude</v>
      </c>
      <c r="H673" s="25">
        <f t="shared" si="32"/>
        <v>53.47</v>
      </c>
      <c r="I673" s="25">
        <v>1.5778000000000001</v>
      </c>
    </row>
    <row r="674" spans="1:9">
      <c r="A674" s="15">
        <v>43777</v>
      </c>
      <c r="B674" s="25">
        <v>53.54</v>
      </c>
      <c r="C674" s="25">
        <v>61.98</v>
      </c>
      <c r="D674" s="25">
        <v>59.91</v>
      </c>
      <c r="E674" s="4"/>
      <c r="F674" s="3">
        <f t="shared" si="30"/>
        <v>0</v>
      </c>
      <c r="G674" s="4" t="str">
        <f t="shared" si="31"/>
        <v>WTI Crude</v>
      </c>
      <c r="H674" s="25">
        <f t="shared" si="32"/>
        <v>53.54</v>
      </c>
      <c r="I674" s="25">
        <v>1.5819000000000001</v>
      </c>
    </row>
    <row r="675" spans="1:9">
      <c r="A675" s="15">
        <v>43776</v>
      </c>
      <c r="B675" s="25">
        <v>53.26</v>
      </c>
      <c r="C675" s="25">
        <v>62.32</v>
      </c>
      <c r="D675" s="25">
        <v>59.42</v>
      </c>
      <c r="E675" s="4"/>
      <c r="F675" s="3">
        <f t="shared" si="30"/>
        <v>0</v>
      </c>
      <c r="G675" s="4" t="str">
        <f t="shared" si="31"/>
        <v>WTI Crude</v>
      </c>
      <c r="H675" s="25">
        <f t="shared" si="32"/>
        <v>53.26</v>
      </c>
      <c r="I675" s="25">
        <v>1.5842000000000001</v>
      </c>
    </row>
    <row r="676" spans="1:9">
      <c r="A676" s="15">
        <v>43775</v>
      </c>
      <c r="B676" s="25">
        <v>52.97</v>
      </c>
      <c r="C676" s="25">
        <v>62.39</v>
      </c>
      <c r="D676" s="25">
        <v>58.74</v>
      </c>
      <c r="E676" s="4"/>
      <c r="F676" s="3">
        <f t="shared" si="30"/>
        <v>0</v>
      </c>
      <c r="G676" s="4" t="str">
        <f t="shared" si="31"/>
        <v>WTI Crude</v>
      </c>
      <c r="H676" s="25">
        <f t="shared" si="32"/>
        <v>52.97</v>
      </c>
      <c r="I676" s="25">
        <v>1.5704</v>
      </c>
    </row>
    <row r="677" spans="1:9">
      <c r="A677" s="15">
        <v>43774</v>
      </c>
      <c r="B677" s="25">
        <v>53.41</v>
      </c>
      <c r="C677" s="25">
        <v>62.57</v>
      </c>
      <c r="D677" s="25">
        <v>59.35</v>
      </c>
      <c r="E677" s="4"/>
      <c r="F677" s="3">
        <f t="shared" si="30"/>
        <v>0</v>
      </c>
      <c r="G677" s="4" t="str">
        <f t="shared" si="31"/>
        <v>WTI Crude</v>
      </c>
      <c r="H677" s="25">
        <f t="shared" si="32"/>
        <v>53.41</v>
      </c>
      <c r="I677" s="25">
        <v>1.5702</v>
      </c>
    </row>
    <row r="678" spans="1:9">
      <c r="A678" s="15">
        <v>43773</v>
      </c>
      <c r="B678" s="25">
        <v>54.09</v>
      </c>
      <c r="C678" s="25">
        <v>62</v>
      </c>
      <c r="D678" s="25">
        <v>60.51</v>
      </c>
      <c r="E678" s="4"/>
      <c r="F678" s="3">
        <f t="shared" si="30"/>
        <v>0</v>
      </c>
      <c r="G678" s="4" t="str">
        <f t="shared" si="31"/>
        <v>WTI Crude</v>
      </c>
      <c r="H678" s="25">
        <f t="shared" si="32"/>
        <v>54.09</v>
      </c>
      <c r="I678" s="25">
        <v>1.6388</v>
      </c>
    </row>
    <row r="679" spans="1:9">
      <c r="A679" s="15">
        <v>43770</v>
      </c>
      <c r="B679" s="25">
        <v>53.32</v>
      </c>
      <c r="C679" s="25">
        <v>60.19</v>
      </c>
      <c r="D679" s="25">
        <v>59.1</v>
      </c>
      <c r="E679" s="4"/>
      <c r="F679" s="3">
        <f t="shared" si="30"/>
        <v>0</v>
      </c>
      <c r="G679" s="4" t="str">
        <f t="shared" si="31"/>
        <v>WTI Crude</v>
      </c>
      <c r="H679" s="25">
        <f t="shared" si="32"/>
        <v>53.32</v>
      </c>
      <c r="I679" s="25">
        <v>1.6233</v>
      </c>
    </row>
    <row r="680" spans="1:9">
      <c r="A680" s="15">
        <v>43769</v>
      </c>
      <c r="B680" s="25">
        <v>52.66</v>
      </c>
      <c r="C680" s="25">
        <v>60.52</v>
      </c>
      <c r="D680" s="25">
        <v>58.32</v>
      </c>
      <c r="E680" s="4"/>
      <c r="F680" s="3">
        <f t="shared" si="30"/>
        <v>0</v>
      </c>
      <c r="G680" s="4" t="str">
        <f t="shared" si="31"/>
        <v>WTI Crude</v>
      </c>
      <c r="H680" s="25">
        <f t="shared" si="32"/>
        <v>52.66</v>
      </c>
      <c r="I680" s="25">
        <v>1.5871</v>
      </c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267A98-E478-418F-8DD5-EBD4CA421931}">
  <sheetPr codeName="Sheet9"/>
  <dimension ref="A1:N21"/>
  <sheetViews>
    <sheetView showGridLines="0" zoomScaleNormal="100" workbookViewId="0">
      <selection activeCell="E3" sqref="E3"/>
    </sheetView>
  </sheetViews>
  <sheetFormatPr defaultRowHeight="15.75"/>
  <cols>
    <col min="1" max="3" width="9" style="50"/>
    <col min="4" max="4" width="14.5" style="50" bestFit="1" customWidth="1"/>
    <col min="5" max="5" width="15.875" style="50" bestFit="1" customWidth="1"/>
    <col min="6" max="6" width="10.625" style="50" bestFit="1" customWidth="1"/>
    <col min="7" max="7" width="13.75" style="50" bestFit="1" customWidth="1"/>
    <col min="8" max="8" width="13.125" style="50" bestFit="1" customWidth="1"/>
    <col min="9" max="9" width="9" style="50"/>
    <col min="10" max="10" width="14.5" style="50" bestFit="1" customWidth="1"/>
    <col min="11" max="11" width="18.625" style="50" bestFit="1" customWidth="1"/>
    <col min="12" max="12" width="13.25" style="50" bestFit="1" customWidth="1"/>
    <col min="13" max="13" width="16.375" style="50" bestFit="1" customWidth="1"/>
    <col min="14" max="14" width="15.75" style="50" bestFit="1" customWidth="1"/>
    <col min="15" max="16384" width="9" style="50"/>
  </cols>
  <sheetData>
    <row r="1" spans="4:14">
      <c r="D1" s="48" t="s">
        <v>48</v>
      </c>
      <c r="E1" s="49" t="s">
        <v>49</v>
      </c>
      <c r="F1" s="49" t="s">
        <v>50</v>
      </c>
      <c r="G1" s="49" t="s">
        <v>51</v>
      </c>
      <c r="H1" s="49" t="s">
        <v>52</v>
      </c>
      <c r="J1"/>
      <c r="K1"/>
      <c r="L1"/>
      <c r="M1"/>
      <c r="N1"/>
    </row>
    <row r="2" spans="4:14">
      <c r="D2" s="51" t="s">
        <v>53</v>
      </c>
      <c r="E2" s="52">
        <f>IF(SUM(Table1[[#This Row],[Which is Cheaper_V1]])&lt;1,"N/A",IF(SUM(Table1[[#This Row],[Which is Cheaper_V1]])=0,0,IF(SUM(Table1[[#This Row],[Which is Cheaper_V1]])=0.3,0.3,IF(SUM(Table1[[#This Row],[Which is Cheaper_V1]])=0.75,0.75,1))))</f>
        <v>1</v>
      </c>
      <c r="F2" s="52">
        <v>0</v>
      </c>
      <c r="G2" s="52">
        <f>H2-E2</f>
        <v>0</v>
      </c>
      <c r="H2" s="52">
        <v>1</v>
      </c>
      <c r="J2"/>
      <c r="K2"/>
      <c r="L2"/>
      <c r="M2"/>
      <c r="N2"/>
    </row>
    <row r="3" spans="4:14">
      <c r="D3" s="48" t="s">
        <v>55</v>
      </c>
      <c r="E3" s="53">
        <f>CORREL('Gasoline Prices'!$B$4:$B$677,'Cheapest crude price'!$B$4:$B$677)</f>
        <v>0.96555095912814104</v>
      </c>
      <c r="F3" s="53">
        <v>0.01</v>
      </c>
      <c r="G3" s="52">
        <f>H3-E3</f>
        <v>3.444904087185896E-2</v>
      </c>
      <c r="H3" s="53">
        <v>1</v>
      </c>
      <c r="J3"/>
      <c r="K3"/>
      <c r="L3"/>
      <c r="M3"/>
      <c r="N3"/>
    </row>
    <row r="4" spans="4:14">
      <c r="D4" s="51" t="s">
        <v>54</v>
      </c>
      <c r="E4" s="52" t="str">
        <f>Table1[[#This Row],[Which is Cheaper?]]</f>
        <v>WCS</v>
      </c>
      <c r="F4" s="52">
        <v>0.05</v>
      </c>
      <c r="G4" s="52" t="e">
        <f>H4-E4</f>
        <v>#VALUE!</v>
      </c>
      <c r="H4" s="52">
        <v>1</v>
      </c>
      <c r="J4"/>
      <c r="K4"/>
      <c r="L4"/>
      <c r="M4"/>
      <c r="N4"/>
    </row>
    <row r="5" spans="4:14">
      <c r="E5" s="50" t="e">
        <f>IF(SUM(#REF!)&gt;1,"N/A",IF(SUM(#REF!)=0,"WTI",IF(SUM(#REF!)=0.3,"OPEC",IF(SUM(#REF!)=0.75,"Brent","WCS"))))</f>
        <v>#REF!</v>
      </c>
      <c r="J5"/>
      <c r="K5"/>
      <c r="L5"/>
      <c r="M5"/>
      <c r="N5"/>
    </row>
    <row r="6" spans="4:14">
      <c r="E6" s="50" t="e" cm="1">
        <f t="array" ref="E6">IF(SUM(#REF!)&lt;=4,(#REF!),"day")</f>
        <v>#REF!</v>
      </c>
      <c r="J6"/>
      <c r="K6"/>
      <c r="L6"/>
    </row>
    <row r="7" spans="4:14">
      <c r="J7"/>
      <c r="K7"/>
      <c r="L7"/>
    </row>
    <row r="8" spans="4:14">
      <c r="J8"/>
      <c r="K8"/>
      <c r="L8"/>
    </row>
    <row r="9" spans="4:14">
      <c r="J9"/>
      <c r="K9"/>
      <c r="L9"/>
    </row>
    <row r="10" spans="4:14">
      <c r="J10"/>
      <c r="K10"/>
      <c r="L10"/>
    </row>
    <row r="11" spans="4:14">
      <c r="J11"/>
      <c r="K11"/>
      <c r="L11"/>
    </row>
    <row r="12" spans="4:14">
      <c r="J12"/>
      <c r="K12"/>
      <c r="L12"/>
    </row>
    <row r="13" spans="4:14">
      <c r="J13"/>
      <c r="K13"/>
      <c r="L13"/>
    </row>
    <row r="14" spans="4:14">
      <c r="J14"/>
      <c r="K14"/>
      <c r="L14"/>
    </row>
    <row r="15" spans="4:14">
      <c r="J15"/>
      <c r="K15"/>
      <c r="L15"/>
    </row>
    <row r="16" spans="4:14">
      <c r="J16"/>
      <c r="K16"/>
      <c r="L16"/>
    </row>
    <row r="17" spans="1:12">
      <c r="J17"/>
      <c r="K17"/>
      <c r="L17"/>
    </row>
    <row r="18" spans="1:12">
      <c r="J18"/>
      <c r="K18"/>
      <c r="L18"/>
    </row>
    <row r="20" spans="1:12">
      <c r="A20" s="50" t="s">
        <v>56</v>
      </c>
    </row>
    <row r="21" spans="1:12">
      <c r="A21" s="50" t="str">
        <f>IF(CORREL('Gasoline Prices'!$B$2:$B$677,'Cheapest crude price'!$B$2:$B$677)&gt;0.9,"Very Highly Correlated: "&amp;ROUND(CORREL('Gasoline Prices'!$B$2:$B$677,'Cheapest crude price'!$B$2:$B$677),2)*100&amp;"%.",IF(CORREL('Gasoline Prices'!$B$2:$B$677,'Cheapest crude price'!$B$2:$B$677)&gt;0.69,"Highly Correlated: "&amp;ROUND(CORREL('Gasoline Prices'!$B$2:$B$677,'Cheapest crude price'!$B$2:$B$677),2)*100&amp;"%.",IF(0.699&gt;CORREL('Gasoline Prices'!$B$2:$B$677,'Cheapest crude price'!$B$2:$B$677)&gt;0.5,"Moderately Correlated: "&amp;ROUND(CORREL('Gasoline Prices'!$B$2:$B$677,'Cheapest crude price'!$B$2:$B$677),2)*100&amp;"%.",IF(0.499&gt;CORREL('Gasoline Prices'!$B$2:$B$677,'Cheapest crude price'!$B$2:$B$677)&gt;0.3,"Low Correlation: "&amp;ROUND(CORREL('Gasoline Prices'!$B$2:$B$677,'Cheapest crude price'!$B$2:$B$677),2)*100&amp;"%.",))))</f>
        <v>Very Highly Correlated: 97%.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2DDD91-E689-474A-9489-E7BB553BA261}">
  <sheetPr codeName="Sheet10"/>
  <dimension ref="A1"/>
  <sheetViews>
    <sheetView workbookViewId="0">
      <selection activeCell="U15" sqref="U15"/>
    </sheetView>
  </sheetViews>
  <sheetFormatPr defaultRowHeight="15.75"/>
  <cols>
    <col min="1" max="16384" width="9" style="54"/>
  </cols>
  <sheetData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DashBoard</vt:lpstr>
      <vt:lpstr>CrudeOilNput</vt:lpstr>
      <vt:lpstr>Cheapest crude price</vt:lpstr>
      <vt:lpstr>Gasoline Prices</vt:lpstr>
      <vt:lpstr>GasPrice at Pump</vt:lpstr>
      <vt:lpstr>Crude to Gas Correlation </vt:lpstr>
      <vt:lpstr>Comparing the Data</vt:lpstr>
      <vt:lpstr>oil and gas price minmax data</vt:lpstr>
      <vt:lpstr>data for which is cheaper </vt:lpstr>
      <vt:lpstr>Speedometer</vt:lpstr>
      <vt:lpstr>Misc boarders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WolfPack</dc:creator>
  <cp:lastModifiedBy>WolfPack</cp:lastModifiedBy>
  <dcterms:created xsi:type="dcterms:W3CDTF">2022-06-20T16:59:14Z</dcterms:created>
  <dcterms:modified xsi:type="dcterms:W3CDTF">2022-07-01T15:04:29Z</dcterms:modified>
</cp:coreProperties>
</file>